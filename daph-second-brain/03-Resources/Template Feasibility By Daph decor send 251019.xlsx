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hai3\Downloads\"/>
    </mc:Choice>
  </mc:AlternateContent>
  <xr:revisionPtr revIDLastSave="0" documentId="13_ncr:1_{4B49E91C-2E3B-416F-927D-96A6DE62E0EE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ASSUMP." sheetId="44" r:id="rId1"/>
    <sheet name="Budget Plan" sheetId="28" r:id="rId2"/>
    <sheet name="REVENUE" sheetId="37" r:id="rId3"/>
    <sheet name="Infrastructure (Direct Cost)" sheetId="34" state="hidden" r:id="rId4"/>
    <sheet name="Developer (Direct Cost)" sheetId="39" r:id="rId5"/>
    <sheet name="Marketing (SGA)" sheetId="33" r:id="rId6"/>
    <sheet name="Officer ( SGA) พนักงาน" sheetId="32" r:id="rId7"/>
    <sheet name="Other Expense (SGA)" sheetId="40" state="hidden" r:id="rId8"/>
    <sheet name="Summary Year (original)" sheetId="43" state="hidden" r:id="rId9"/>
    <sheet name="BOM 4 vm 99.90% Disk SSD" sheetId="6" state="hidden" r:id="rId10"/>
    <sheet name="Diagram-99.90%" sheetId="12" state="hidden" r:id="rId11"/>
    <sheet name="Cost Managed service" sheetId="7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</externalReferences>
  <definedNames>
    <definedName name="\" localSheetId="1">#REF!</definedName>
    <definedName name="\">#REF!</definedName>
    <definedName name="\_JUNK">#N/A</definedName>
    <definedName name="\0">#N/A</definedName>
    <definedName name="\a" localSheetId="1">#REF!</definedName>
    <definedName name="\a">#REF!</definedName>
    <definedName name="\b" localSheetId="1">#REF!</definedName>
    <definedName name="\b">#REF!</definedName>
    <definedName name="\c" localSheetId="1">#REF!</definedName>
    <definedName name="\c">#REF!</definedName>
    <definedName name="\cac">#REF!</definedName>
    <definedName name="\d">#REF!</definedName>
    <definedName name="\da">#REF!</definedName>
    <definedName name="\dfhdtjht">#REF!</definedName>
    <definedName name="\e">#N/A</definedName>
    <definedName name="\f">#N/A</definedName>
    <definedName name="\fdfdr" localSheetId="1">#REF!</definedName>
    <definedName name="\fdfdr">#REF!</definedName>
    <definedName name="\FDWFDWF" localSheetId="1">#REF!</definedName>
    <definedName name="\FDWFDWF">#REF!</definedName>
    <definedName name="\g">#N/A</definedName>
    <definedName name="\h">#N/A</definedName>
    <definedName name="\hhh" localSheetId="1">#REF!</definedName>
    <definedName name="\hhh">#REF!</definedName>
    <definedName name="\I" localSheetId="1">#REF!</definedName>
    <definedName name="\I">#REF!</definedName>
    <definedName name="\iii" localSheetId="1">#REF!</definedName>
    <definedName name="\iii">#REF!</definedName>
    <definedName name="\J">#REF!</definedName>
    <definedName name="\K">#REF!</definedName>
    <definedName name="\ka">#REF!</definedName>
    <definedName name="\kkkk">#REF!</definedName>
    <definedName name="\l">#N/A</definedName>
    <definedName name="\lll" localSheetId="1">#REF!</definedName>
    <definedName name="\lll">#REF!</definedName>
    <definedName name="\M" localSheetId="1">#REF!</definedName>
    <definedName name="\M">#REF!</definedName>
    <definedName name="\ma" localSheetId="1">#REF!</definedName>
    <definedName name="\ma">#REF!</definedName>
    <definedName name="\N">#REF!</definedName>
    <definedName name="\na">#REF!</definedName>
    <definedName name="\O">#REF!</definedName>
    <definedName name="\p">#N/A</definedName>
    <definedName name="\pa" localSheetId="1">#REF!</definedName>
    <definedName name="\pa">#REF!</definedName>
    <definedName name="\par" localSheetId="1">#REF!</definedName>
    <definedName name="\par">#REF!</definedName>
    <definedName name="\pppp" localSheetId="1">#REF!</definedName>
    <definedName name="\pppp">#REF!</definedName>
    <definedName name="\Q">#N/A</definedName>
    <definedName name="\qa" localSheetId="1">#REF!</definedName>
    <definedName name="\qa">#REF!</definedName>
    <definedName name="\qaqa" localSheetId="1">#REF!</definedName>
    <definedName name="\qaqa">#REF!</definedName>
    <definedName name="\r" localSheetId="1">[69]MCMD95!$Q$121</definedName>
    <definedName name="\r">[70]MCMD95!$Q$121</definedName>
    <definedName name="\ra" localSheetId="1">#REF!</definedName>
    <definedName name="\ra">#REF!</definedName>
    <definedName name="\s">#N/A</definedName>
    <definedName name="\sasa" localSheetId="1">#REF!</definedName>
    <definedName name="\sasa">#REF!</definedName>
    <definedName name="\ssss" localSheetId="1">#REF!</definedName>
    <definedName name="\ssss">#REF!</definedName>
    <definedName name="\uuu" localSheetId="1">#REF!</definedName>
    <definedName name="\uuu">#REF!</definedName>
    <definedName name="\wa">#REF!</definedName>
    <definedName name="\Y">#REF!</definedName>
    <definedName name="\Z">#REF!</definedName>
    <definedName name="\zaliza">#REF!</definedName>
    <definedName name="_.Net_Enterprise_Server_Apps">'[49]MS Box'!#REF!</definedName>
    <definedName name="_____________________AGM2" localSheetId="1" hidden="1">{#N/A,#N/A,TRUE,"M [OS-05]-00(1)"}</definedName>
    <definedName name="_____________________AGM2" hidden="1">{#N/A,#N/A,TRUE,"M [OS-05]-00(1)"}</definedName>
    <definedName name="____________________AGM2" localSheetId="1" hidden="1">{#N/A,#N/A,TRUE,"M [OS-05]-00(1)"}</definedName>
    <definedName name="____________________AGM2" hidden="1">{#N/A,#N/A,TRUE,"M [OS-05]-00(1)"}</definedName>
    <definedName name="___________________AGM2" localSheetId="1" hidden="1">{#N/A,#N/A,TRUE,"M [OS-05]-00(1)"}</definedName>
    <definedName name="___________________AGM2" hidden="1">{#N/A,#N/A,TRUE,"M [OS-05]-00(1)"}</definedName>
    <definedName name="___________________K2" localSheetId="1" hidden="1">#REF!</definedName>
    <definedName name="___________________K2" hidden="1">#REF!</definedName>
    <definedName name="___________________OCT334" localSheetId="1">'[1]FF-3'!$A$1:$IV$8</definedName>
    <definedName name="___________________OCT334">'[2]FF-3'!$A$1:$IV$8</definedName>
    <definedName name="__________________AGM2" localSheetId="1" hidden="1">{#N/A,#N/A,TRUE,"M [OS-05]-00(1)"}</definedName>
    <definedName name="__________________AGM2" hidden="1">{#N/A,#N/A,TRUE,"M [OS-05]-00(1)"}</definedName>
    <definedName name="_______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H3" localSheetId="1" hidden="1">{#N/A,#N/A,FALSE,"Sheet1"}</definedName>
    <definedName name="__________________H3" hidden="1">{#N/A,#N/A,FALSE,"Sheet1"}</definedName>
    <definedName name="__________________K2" localSheetId="1" hidden="1">#REF!</definedName>
    <definedName name="__________________K2" hidden="1">#REF!</definedName>
    <definedName name="__________________KA1" localSheetId="1" hidden="1">{#N/A,#N/A,FALSE,"Sheet1"}</definedName>
    <definedName name="__________________KA1" hidden="1">{#N/A,#N/A,FALSE,"Sheet1"}</definedName>
    <definedName name="__________________N4" localSheetId="1" hidden="1">{#N/A,#N/A,FALSE,"Sheet1"}</definedName>
    <definedName name="__________________N4" hidden="1">{#N/A,#N/A,FALSE,"Sheet1"}</definedName>
    <definedName name="__________________OCT334" localSheetId="1">'[1]FF-3'!$A$1:$IV$8</definedName>
    <definedName name="__________________OCT334">'[2]FF-3'!$A$1:$IV$8</definedName>
    <definedName name="_______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UB1" localSheetId="1" hidden="1">{"'Feb 99'!$A$1:$G$30"}</definedName>
    <definedName name="__________________UB1" hidden="1">{"'Feb 99'!$A$1:$G$30"}</definedName>
    <definedName name="__________________UB2" localSheetId="1" hidden="1">{"'Feb 99'!$A$1:$G$30"}</definedName>
    <definedName name="__________________UB2" hidden="1">{"'Feb 99'!$A$1:$G$30"}</definedName>
    <definedName name="_______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_a21420" localSheetId="1">#REF!</definedName>
    <definedName name="_________________a21420">#REF!</definedName>
    <definedName name="_________________a21430" localSheetId="1">#REF!</definedName>
    <definedName name="_________________a21430">#REF!</definedName>
    <definedName name="_________________A222" localSheetId="1">#REF!</definedName>
    <definedName name="_________________A222">#REF!</definedName>
    <definedName name="_________________a22220">#REF!</definedName>
    <definedName name="_________________a22241">#REF!</definedName>
    <definedName name="_________________a22242">#REF!</definedName>
    <definedName name="_________________a22260">#REF!</definedName>
    <definedName name="_________________a22270">#REF!</definedName>
    <definedName name="_________________a24385">#REF!</definedName>
    <definedName name="_________________a24391">#REF!</definedName>
    <definedName name="_________________a24392">#REF!</definedName>
    <definedName name="_________________a24393">#REF!</definedName>
    <definedName name="_________________a24394">#REF!</definedName>
    <definedName name="_________________a27120">#REF!</definedName>
    <definedName name="_________________a27150">#REF!</definedName>
    <definedName name="_________________a32320">#REF!</definedName>
    <definedName name="_________________a32730">#REF!</definedName>
    <definedName name="_________________a33130">#REF!</definedName>
    <definedName name="_________________a33140">#REF!</definedName>
    <definedName name="_________________a33160">#REF!</definedName>
    <definedName name="_________________a33170">#REF!</definedName>
    <definedName name="_________________a33190">#REF!</definedName>
    <definedName name="_________________a33210">#REF!</definedName>
    <definedName name="_________________a33230">#REF!</definedName>
    <definedName name="_________________a33240">#REF!</definedName>
    <definedName name="_________________a34010">#REF!</definedName>
    <definedName name="_________________a41230">#REF!</definedName>
    <definedName name="_________________a41240">#REF!</definedName>
    <definedName name="_________________a42781">#REF!</definedName>
    <definedName name="_________________a42782">#REF!</definedName>
    <definedName name="_________________a42783">#REF!</definedName>
    <definedName name="_________________A43220">#REF!</definedName>
    <definedName name="_________________a43230">#REF!</definedName>
    <definedName name="_________________a43260">#REF!</definedName>
    <definedName name="_________________a43270">#REF!</definedName>
    <definedName name="_________________a43320">#REF!</definedName>
    <definedName name="_________________a43330">#REF!</definedName>
    <definedName name="_________________a43360">#REF!</definedName>
    <definedName name="_________________a43370">#REF!</definedName>
    <definedName name="_________________a43530">#REF!</definedName>
    <definedName name="_________________a43540">#REF!</definedName>
    <definedName name="_________________a43560">#REF!</definedName>
    <definedName name="_________________a43570">#REF!</definedName>
    <definedName name="_________________a43630">#REF!</definedName>
    <definedName name="_________________a43640">#REF!</definedName>
    <definedName name="_________________a43660">#REF!</definedName>
    <definedName name="_________________a43670">#REF!</definedName>
    <definedName name="_________________a43730">#REF!</definedName>
    <definedName name="_________________a43750">#REF!</definedName>
    <definedName name="_________________a43760">#REF!</definedName>
    <definedName name="_________________a43770">#REF!</definedName>
    <definedName name="_________________a43780">#REF!</definedName>
    <definedName name="_________________a48610">#REF!</definedName>
    <definedName name="_________________a48611">#REF!</definedName>
    <definedName name="_________________a48620">#REF!</definedName>
    <definedName name="_________________a48621">#REF!</definedName>
    <definedName name="_________________a48781">#REF!</definedName>
    <definedName name="_________________a48782">#REF!</definedName>
    <definedName name="_________________a48783">#REF!</definedName>
    <definedName name="_________________a48784">#REF!</definedName>
    <definedName name="_________________a51530">#REF!</definedName>
    <definedName name="_________________a51560">#REF!</definedName>
    <definedName name="_________________a51620">#REF!</definedName>
    <definedName name="_________________a52010">#REF!</definedName>
    <definedName name="_________________a53110">#REF!</definedName>
    <definedName name="_________________a61430">#REF!</definedName>
    <definedName name="_________________a61470">#REF!</definedName>
    <definedName name="_________________a61620">#REF!</definedName>
    <definedName name="_________________a63110">#REF!</definedName>
    <definedName name="_________________a73310">#REF!</definedName>
    <definedName name="_________________a83175">#REF!</definedName>
    <definedName name="_________________a85160">#REF!</definedName>
    <definedName name="_________________a85250">#REF!</definedName>
    <definedName name="_________________a85510">#REF!</definedName>
    <definedName name="_________________a85520">#REF!</definedName>
    <definedName name="_________________a85530">#REF!</definedName>
    <definedName name="_________________a85540">#REF!</definedName>
    <definedName name="_________________a85550">#REF!</definedName>
    <definedName name="_________________a85570">#REF!</definedName>
    <definedName name="_________________a85580">#REF!</definedName>
    <definedName name="_________________a85590">#REF!</definedName>
    <definedName name="_________________a85611">#REF!</definedName>
    <definedName name="_________________a85621">#REF!</definedName>
    <definedName name="_________________a90300">#REF!</definedName>
    <definedName name="_________________a90400">#REF!</definedName>
    <definedName name="_________________a90510">#REF!</definedName>
    <definedName name="_________________a90520">#REF!</definedName>
    <definedName name="_________________a90530">#REF!</definedName>
    <definedName name="_________________a90540">#REF!</definedName>
    <definedName name="_________________a90610">#REF!</definedName>
    <definedName name="_________________a90620">#REF!</definedName>
    <definedName name="_________________a90630">#REF!</definedName>
    <definedName name="_________________a90640">#REF!</definedName>
    <definedName name="_________________a90710">#REF!</definedName>
    <definedName name="_________________a90720">#REF!</definedName>
    <definedName name="_________________a90730">#REF!</definedName>
    <definedName name="_________________a90740">#REF!</definedName>
    <definedName name="_________________a90810">#REF!</definedName>
    <definedName name="_________________a90820">#REF!</definedName>
    <definedName name="_________________a90830">#REF!</definedName>
    <definedName name="_________________a90840">#REF!</definedName>
    <definedName name="_________________a90910">#REF!</definedName>
    <definedName name="_________________a90920">#REF!</definedName>
    <definedName name="_________________a90930">#REF!</definedName>
    <definedName name="_________________a90940">#REF!</definedName>
    <definedName name="_________________a90950">#REF!</definedName>
    <definedName name="_________________a91310">#REF!</definedName>
    <definedName name="_________________a91320">#REF!</definedName>
    <definedName name="_________________a91330">#REF!</definedName>
    <definedName name="_________________a91340">#REF!</definedName>
    <definedName name="_________________a91350">#REF!</definedName>
    <definedName name="_________________a91710">#REF!</definedName>
    <definedName name="_________________a91720">#REF!</definedName>
    <definedName name="_________________a91730">#REF!</definedName>
    <definedName name="_________________a91740">#REF!</definedName>
    <definedName name="_________________a93100">#REF!</definedName>
    <definedName name="_________________a93200">#REF!</definedName>
    <definedName name="_________________a99340">#REF!</definedName>
    <definedName name="_________________a99350">#REF!</definedName>
    <definedName name="_________________AA1">#REF!</definedName>
    <definedName name="_________________ACT1">#REF!</definedName>
    <definedName name="_________________ACT2">#REF!</definedName>
    <definedName name="_________________ACT3">#REF!</definedName>
    <definedName name="_________________ADJ1">#REF!</definedName>
    <definedName name="_________________ADJ2">#REF!</definedName>
    <definedName name="_________________aje1">#REF!</definedName>
    <definedName name="_________________arf2001">#REF!</definedName>
    <definedName name="_________________b90710">#REF!</definedName>
    <definedName name="_________________b90720">#REF!</definedName>
    <definedName name="_________________b90730">#REF!</definedName>
    <definedName name="_________________b90740">#REF!</definedName>
    <definedName name="_________________b95310">#REF!</definedName>
    <definedName name="_________________b95320">#REF!</definedName>
    <definedName name="_________________b95330">#REF!</definedName>
    <definedName name="_________________b95340">#REF!</definedName>
    <definedName name="_________________BA1">#REF!</definedName>
    <definedName name="_________________BC1">#REF!</definedName>
    <definedName name="_________________bc2">#REF!</definedName>
    <definedName name="_________________CAP1">#REF!</definedName>
    <definedName name="_________________cap2">#REF!</definedName>
    <definedName name="_________________cap3">#REF!</definedName>
    <definedName name="_________________cap4">#REF!</definedName>
    <definedName name="_________________cap5">#REF!</definedName>
    <definedName name="_________________cf2">#REF!</definedName>
    <definedName name="_________________cf3">#REF!</definedName>
    <definedName name="_________________COH1">#REF!</definedName>
    <definedName name="_________________COH2">#REF!</definedName>
    <definedName name="_________________COH3">#REF!</definedName>
    <definedName name="_________________e1">#REF!</definedName>
    <definedName name="_________________fsa1" localSheetId="1">[3]FSA!$B$1:$K$46</definedName>
    <definedName name="_________________fsa1">[4]FSA!$B$1:$K$46</definedName>
    <definedName name="_________________fsa2" localSheetId="1">[3]FSA!$A$47:$K$73</definedName>
    <definedName name="_________________fsa2">[4]FSA!$A$47:$K$73</definedName>
    <definedName name="_________________fsa3" localSheetId="1">[3]FSA!$A$74:$K$114</definedName>
    <definedName name="_________________fsa3">[4]FSA!$A$74:$K$114</definedName>
    <definedName name="_________________fsa4" localSheetId="1">[3]FSA!$A$116:$K$161</definedName>
    <definedName name="_________________fsa4">[4]FSA!$A$116:$K$161</definedName>
    <definedName name="_________________IA1" localSheetId="1">#REF!</definedName>
    <definedName name="_________________IA1">#REF!</definedName>
    <definedName name="_________________iw1" localSheetId="1">[5]FS!#REF!</definedName>
    <definedName name="_________________iw1">[6]FS!#REF!</definedName>
    <definedName name="_________________K1" localSheetId="1">#REF!</definedName>
    <definedName name="_________________K1">#REF!</definedName>
    <definedName name="_________________K2" localSheetId="1" hidden="1">#REF!</definedName>
    <definedName name="_________________K2" hidden="1">#REF!</definedName>
    <definedName name="_________________K4" localSheetId="1">#REF!</definedName>
    <definedName name="_________________K4">#REF!</definedName>
    <definedName name="_________________LD1">#N/A</definedName>
    <definedName name="_________________LD2">#N/A</definedName>
    <definedName name="_________________M1" localSheetId="1">'[7]FF-1'!#REF!</definedName>
    <definedName name="_________________M1">'[8]FF-1'!#REF!</definedName>
    <definedName name="_________________MAN1" localSheetId="1">#REF!</definedName>
    <definedName name="_________________MAN1">#REF!</definedName>
    <definedName name="_________________N1" localSheetId="1">#REF!</definedName>
    <definedName name="_________________N1">#REF!</definedName>
    <definedName name="_________________N2" localSheetId="1">'[9]CA Sheet'!$R$36</definedName>
    <definedName name="_________________N2">'[10]CA Sheet'!$R$36</definedName>
    <definedName name="_________________no1" localSheetId="1">[11]Info!#REF!</definedName>
    <definedName name="_________________no1">[12]Info!#REF!</definedName>
    <definedName name="_________________o2" localSheetId="1">#REF!</definedName>
    <definedName name="_________________o2">#REF!</definedName>
    <definedName name="_________________OCT334" localSheetId="1">'[1]FF-3'!$A$1:$IV$8</definedName>
    <definedName name="_________________OCT334">'[2]FF-3'!$A$1:$IV$8</definedName>
    <definedName name="_________________Pbs1" localSheetId="1">#REF!</definedName>
    <definedName name="_________________Pbs1">#REF!</definedName>
    <definedName name="_________________Pbs2" localSheetId="1">#REF!</definedName>
    <definedName name="_________________Pbs2">#REF!</definedName>
    <definedName name="_________________PG2">#N/A</definedName>
    <definedName name="_________________Pnl10" localSheetId="1">'[13]Pnl-10'!$A$1:$I$31</definedName>
    <definedName name="_________________Pnl10">'[14]Pnl-10'!$A$1:$I$31</definedName>
    <definedName name="_________________Pnl20" localSheetId="1">'[13]20'!$A$1:$K$87</definedName>
    <definedName name="_________________Pnl20">'[14]20'!$A$1:$K$87</definedName>
    <definedName name="_________________Pnl30" localSheetId="1">'[13]30'!$A$1:$L$52</definedName>
    <definedName name="_________________Pnl30">'[14]30'!$A$1:$L$52</definedName>
    <definedName name="_________________Pnl70" localSheetId="1">'[13]70'!$A$1:$K$34</definedName>
    <definedName name="_________________Pnl70">'[14]70'!$A$1:$K$34</definedName>
    <definedName name="_________________Pyt98" localSheetId="1">#REF!</definedName>
    <definedName name="_________________Pyt98">#REF!</definedName>
    <definedName name="_________________qer13" localSheetId="1">#REF!</definedName>
    <definedName name="_________________qer13">#REF!</definedName>
    <definedName name="_________________SB1" localSheetId="1">[15]LOOSECHKLIST!$I$1069</definedName>
    <definedName name="_________________SB1">[16]LOOSECHKLIST!$I$1069</definedName>
    <definedName name="_________________SB2" localSheetId="1">[15]LOOSECHKLIST!$A$888:$IV$888</definedName>
    <definedName name="_________________SB2">[16]LOOSECHKLIST!$A$888:$IV$888</definedName>
    <definedName name="_________________SB3" localSheetId="1">[15]LOOSECHKLIST!$A$828:$IV$828</definedName>
    <definedName name="_________________SB3">[16]LOOSECHKLIST!$A$828:$IV$828</definedName>
    <definedName name="_________________SB4" localSheetId="1">[15]LOOSECHKLIST!$A$395:$IV$395</definedName>
    <definedName name="_________________SB4">[16]LOOSECHKLIST!$A$395:$IV$395</definedName>
    <definedName name="_________________tax2" localSheetId="1">#REF!</definedName>
    <definedName name="_________________tax2">#REF!</definedName>
    <definedName name="_________________tax3" localSheetId="1">#REF!</definedName>
    <definedName name="_________________tax3">#REF!</definedName>
    <definedName name="_________________top05" localSheetId="1">#REF!</definedName>
    <definedName name="_________________top05">#REF!</definedName>
    <definedName name="_________________TOP1">#REF!</definedName>
    <definedName name="_________________TOP2">#REF!</definedName>
    <definedName name="_________________VAR1">#REF!</definedName>
    <definedName name="_________________VAR2">#REF!</definedName>
    <definedName name="_________________VAR3">#REF!</definedName>
    <definedName name="_________________weg33" localSheetId="1">[17]!_xlbgnm.weg33</definedName>
    <definedName name="_________________weg33">[18]!_xlbgnm.weg33</definedName>
    <definedName name="_________________YA1" localSheetId="1">#REF!</definedName>
    <definedName name="_________________YA1">#REF!</definedName>
    <definedName name="________________a21420" localSheetId="1">#REF!</definedName>
    <definedName name="________________a21420">#REF!</definedName>
    <definedName name="________________a21430" localSheetId="1">#REF!</definedName>
    <definedName name="________________a21430">#REF!</definedName>
    <definedName name="________________A222">#REF!</definedName>
    <definedName name="________________a22220">#REF!</definedName>
    <definedName name="________________a22241">#REF!</definedName>
    <definedName name="________________a22242">#REF!</definedName>
    <definedName name="________________a22260">#REF!</definedName>
    <definedName name="________________a22270">#REF!</definedName>
    <definedName name="________________a24385">#REF!</definedName>
    <definedName name="________________a24391">#REF!</definedName>
    <definedName name="________________a24392">#REF!</definedName>
    <definedName name="________________a24393">#REF!</definedName>
    <definedName name="________________a24394">#REF!</definedName>
    <definedName name="________________a27120">#REF!</definedName>
    <definedName name="________________a27150">#REF!</definedName>
    <definedName name="________________a32320">#REF!</definedName>
    <definedName name="________________a32730">#REF!</definedName>
    <definedName name="________________a33130">#REF!</definedName>
    <definedName name="________________a33140">#REF!</definedName>
    <definedName name="________________a33160">#REF!</definedName>
    <definedName name="________________a33170">#REF!</definedName>
    <definedName name="________________a33190">#REF!</definedName>
    <definedName name="________________a33210">#REF!</definedName>
    <definedName name="________________a33230">#REF!</definedName>
    <definedName name="________________a33240">#REF!</definedName>
    <definedName name="________________a34010">#REF!</definedName>
    <definedName name="________________a41230">#REF!</definedName>
    <definedName name="________________a41240">#REF!</definedName>
    <definedName name="________________a42781">#REF!</definedName>
    <definedName name="________________a42782">#REF!</definedName>
    <definedName name="________________a42783">#REF!</definedName>
    <definedName name="________________A43220">#REF!</definedName>
    <definedName name="________________a43230">#REF!</definedName>
    <definedName name="________________a43260">#REF!</definedName>
    <definedName name="________________a43270">#REF!</definedName>
    <definedName name="________________a43320">#REF!</definedName>
    <definedName name="________________a43330">#REF!</definedName>
    <definedName name="________________a43360">#REF!</definedName>
    <definedName name="________________a43370">#REF!</definedName>
    <definedName name="________________a43530">#REF!</definedName>
    <definedName name="________________a43540">#REF!</definedName>
    <definedName name="________________a43560">#REF!</definedName>
    <definedName name="________________a43570">#REF!</definedName>
    <definedName name="________________a43630">#REF!</definedName>
    <definedName name="________________a43640">#REF!</definedName>
    <definedName name="________________a43660">#REF!</definedName>
    <definedName name="________________a43670">#REF!</definedName>
    <definedName name="________________a43730">#REF!</definedName>
    <definedName name="________________a43750">#REF!</definedName>
    <definedName name="________________a43760">#REF!</definedName>
    <definedName name="________________a43770">#REF!</definedName>
    <definedName name="________________a43780">#REF!</definedName>
    <definedName name="________________a48610">#REF!</definedName>
    <definedName name="________________a48611">#REF!</definedName>
    <definedName name="________________a48620">#REF!</definedName>
    <definedName name="________________a48621">#REF!</definedName>
    <definedName name="________________a48781">#REF!</definedName>
    <definedName name="________________a48782">#REF!</definedName>
    <definedName name="________________a48783">#REF!</definedName>
    <definedName name="________________a48784">#REF!</definedName>
    <definedName name="________________a51530">#REF!</definedName>
    <definedName name="________________a51560">#REF!</definedName>
    <definedName name="________________a51620">#REF!</definedName>
    <definedName name="________________a52010">#REF!</definedName>
    <definedName name="________________a53110">#REF!</definedName>
    <definedName name="________________a61430">#REF!</definedName>
    <definedName name="________________a61470">#REF!</definedName>
    <definedName name="________________a61620">#REF!</definedName>
    <definedName name="________________a63110">#REF!</definedName>
    <definedName name="________________a73310">#REF!</definedName>
    <definedName name="________________a83175">#REF!</definedName>
    <definedName name="________________a85160">#REF!</definedName>
    <definedName name="________________a85250">#REF!</definedName>
    <definedName name="________________a85510">#REF!</definedName>
    <definedName name="________________a85520">#REF!</definedName>
    <definedName name="________________a85530">#REF!</definedName>
    <definedName name="________________a85540">#REF!</definedName>
    <definedName name="________________a85550">#REF!</definedName>
    <definedName name="________________a85570">#REF!</definedName>
    <definedName name="________________a85580">#REF!</definedName>
    <definedName name="________________a85590">#REF!</definedName>
    <definedName name="________________a85611">#REF!</definedName>
    <definedName name="________________a85621">#REF!</definedName>
    <definedName name="________________a90300">#REF!</definedName>
    <definedName name="________________a90400">#REF!</definedName>
    <definedName name="________________a90510">#REF!</definedName>
    <definedName name="________________a90520">#REF!</definedName>
    <definedName name="________________a90530">#REF!</definedName>
    <definedName name="________________a90540">#REF!</definedName>
    <definedName name="________________a90610">#REF!</definedName>
    <definedName name="________________a90620">#REF!</definedName>
    <definedName name="________________a90630">#REF!</definedName>
    <definedName name="________________a90640">#REF!</definedName>
    <definedName name="________________a90710">#REF!</definedName>
    <definedName name="________________a90720">#REF!</definedName>
    <definedName name="________________a90730">#REF!</definedName>
    <definedName name="________________a90740">#REF!</definedName>
    <definedName name="________________a90810">#REF!</definedName>
    <definedName name="________________a90820">#REF!</definedName>
    <definedName name="________________a90830">#REF!</definedName>
    <definedName name="________________a90840">#REF!</definedName>
    <definedName name="________________a90910">#REF!</definedName>
    <definedName name="________________a90920">#REF!</definedName>
    <definedName name="________________a90930">#REF!</definedName>
    <definedName name="________________a90940">#REF!</definedName>
    <definedName name="________________a90950">#REF!</definedName>
    <definedName name="________________a91310">#REF!</definedName>
    <definedName name="________________a91320">#REF!</definedName>
    <definedName name="________________a91330">#REF!</definedName>
    <definedName name="________________a91340">#REF!</definedName>
    <definedName name="________________a91350">#REF!</definedName>
    <definedName name="________________a91710">#REF!</definedName>
    <definedName name="________________a91720">#REF!</definedName>
    <definedName name="________________a91730">#REF!</definedName>
    <definedName name="________________a91740">#REF!</definedName>
    <definedName name="________________a93100">#REF!</definedName>
    <definedName name="________________a93200">#REF!</definedName>
    <definedName name="________________a99340">#REF!</definedName>
    <definedName name="________________a99350">#REF!</definedName>
    <definedName name="________________AA1">#REF!</definedName>
    <definedName name="________________ACT1">#REF!</definedName>
    <definedName name="________________ACT2">#REF!</definedName>
    <definedName name="________________ACT3">#REF!</definedName>
    <definedName name="________________ADJ1">#REF!</definedName>
    <definedName name="________________ADJ2">#REF!</definedName>
    <definedName name="________________AGM2" localSheetId="1" hidden="1">{#N/A,#N/A,TRUE,"M [OS-05]-00(1)"}</definedName>
    <definedName name="________________AGM2" hidden="1">{#N/A,#N/A,TRUE,"M [OS-05]-00(1)"}</definedName>
    <definedName name="________________aje1" localSheetId="1">#REF!</definedName>
    <definedName name="________________aje1">#REF!</definedName>
    <definedName name="________________arf2001" localSheetId="1">#REF!</definedName>
    <definedName name="________________arf2001">#REF!</definedName>
    <definedName name="_____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b90710" localSheetId="1">#REF!</definedName>
    <definedName name="________________b90710">#REF!</definedName>
    <definedName name="________________b90720" localSheetId="1">#REF!</definedName>
    <definedName name="________________b90720">#REF!</definedName>
    <definedName name="________________b90730" localSheetId="1">#REF!</definedName>
    <definedName name="________________b90730">#REF!</definedName>
    <definedName name="________________b90740">#REF!</definedName>
    <definedName name="________________b95310">#REF!</definedName>
    <definedName name="________________b95320">#REF!</definedName>
    <definedName name="________________b95330">#REF!</definedName>
    <definedName name="________________b95340">#REF!</definedName>
    <definedName name="________________BA1">#REF!</definedName>
    <definedName name="________________BC1">#REF!</definedName>
    <definedName name="________________bc2">#REF!</definedName>
    <definedName name="________________CAP1">#REF!</definedName>
    <definedName name="________________cap2">#REF!</definedName>
    <definedName name="________________cap3">#REF!</definedName>
    <definedName name="________________cap4">#REF!</definedName>
    <definedName name="________________cap5">#REF!</definedName>
    <definedName name="________________cf2">#REF!</definedName>
    <definedName name="________________cf3">#REF!</definedName>
    <definedName name="________________COH1">#REF!</definedName>
    <definedName name="________________COH2">#REF!</definedName>
    <definedName name="________________COH3">#REF!</definedName>
    <definedName name="________________e1">#REF!</definedName>
    <definedName name="________________fsa1" localSheetId="1">[3]FSA!$B$1:$K$46</definedName>
    <definedName name="________________fsa1">[4]FSA!$B$1:$K$46</definedName>
    <definedName name="________________fsa2" localSheetId="1">[3]FSA!$A$47:$K$73</definedName>
    <definedName name="________________fsa2">[4]FSA!$A$47:$K$73</definedName>
    <definedName name="________________fsa3" localSheetId="1">[3]FSA!$A$74:$K$114</definedName>
    <definedName name="________________fsa3">[4]FSA!$A$74:$K$114</definedName>
    <definedName name="________________fsa4" localSheetId="1">[3]FSA!$A$116:$K$161</definedName>
    <definedName name="________________fsa4">[4]FSA!$A$116:$K$161</definedName>
    <definedName name="________________H3" localSheetId="1" hidden="1">{#N/A,#N/A,FALSE,"Sheet1"}</definedName>
    <definedName name="________________H3" hidden="1">{#N/A,#N/A,FALSE,"Sheet1"}</definedName>
    <definedName name="________________IA1" localSheetId="1">#REF!</definedName>
    <definedName name="________________IA1">#REF!</definedName>
    <definedName name="________________iw1" localSheetId="1">[5]FS!#REF!</definedName>
    <definedName name="________________iw1">[6]FS!#REF!</definedName>
    <definedName name="________________K1" localSheetId="1">#REF!</definedName>
    <definedName name="________________K1">#REF!</definedName>
    <definedName name="________________K2" localSheetId="1" hidden="1">#REF!</definedName>
    <definedName name="________________K2" hidden="1">#REF!</definedName>
    <definedName name="________________K4" localSheetId="1">#REF!</definedName>
    <definedName name="________________K4">#REF!</definedName>
    <definedName name="________________KA1" localSheetId="1" hidden="1">{#N/A,#N/A,FALSE,"Sheet1"}</definedName>
    <definedName name="________________KA1" hidden="1">{#N/A,#N/A,FALSE,"Sheet1"}</definedName>
    <definedName name="________________LD1">#N/A</definedName>
    <definedName name="________________LD2">#N/A</definedName>
    <definedName name="________________M1" localSheetId="1">'[7]FF-1'!#REF!</definedName>
    <definedName name="________________M1">'[8]FF-1'!#REF!</definedName>
    <definedName name="________________MAN1" localSheetId="1">#REF!</definedName>
    <definedName name="________________MAN1">#REF!</definedName>
    <definedName name="________________N1" localSheetId="1">#REF!</definedName>
    <definedName name="________________N1">#REF!</definedName>
    <definedName name="________________N2" localSheetId="1">'[9]CA Sheet'!$R$36</definedName>
    <definedName name="________________N2">'[10]CA Sheet'!$R$36</definedName>
    <definedName name="________________N4" localSheetId="1" hidden="1">{#N/A,#N/A,FALSE,"Sheet1"}</definedName>
    <definedName name="________________N4" hidden="1">{#N/A,#N/A,FALSE,"Sheet1"}</definedName>
    <definedName name="________________no1" localSheetId="1">[11]Info!#REF!</definedName>
    <definedName name="________________no1">[12]Info!#REF!</definedName>
    <definedName name="________________o2" localSheetId="1">#REF!</definedName>
    <definedName name="________________o2">#REF!</definedName>
    <definedName name="________________OCT334" localSheetId="1">'[1]FF-3'!$A$1:$IV$8</definedName>
    <definedName name="________________OCT334">'[2]FF-3'!$A$1:$IV$8</definedName>
    <definedName name="________________Pbs1" localSheetId="1">#REF!</definedName>
    <definedName name="________________Pbs1">#REF!</definedName>
    <definedName name="________________Pbs2" localSheetId="1">#REF!</definedName>
    <definedName name="________________Pbs2">#REF!</definedName>
    <definedName name="________________PG2">#N/A</definedName>
    <definedName name="________________Pnl10" localSheetId="1">'[13]Pnl-10'!$A$1:$I$31</definedName>
    <definedName name="________________Pnl10">'[14]Pnl-10'!$A$1:$I$31</definedName>
    <definedName name="________________Pnl20" localSheetId="1">'[13]20'!$A$1:$K$87</definedName>
    <definedName name="________________Pnl20">'[14]20'!$A$1:$K$87</definedName>
    <definedName name="________________Pnl30" localSheetId="1">'[13]30'!$A$1:$L$52</definedName>
    <definedName name="________________Pnl30">'[14]30'!$A$1:$L$52</definedName>
    <definedName name="________________Pnl70" localSheetId="1">'[13]70'!$A$1:$K$34</definedName>
    <definedName name="________________Pnl70">'[14]70'!$A$1:$K$34</definedName>
    <definedName name="________________Pyt98" localSheetId="1">#REF!</definedName>
    <definedName name="________________Pyt98">#REF!</definedName>
    <definedName name="________________qer13" localSheetId="1">#REF!</definedName>
    <definedName name="________________qer13">#REF!</definedName>
    <definedName name="_____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SB1" localSheetId="1">[15]LOOSECHKLIST!$I$1069</definedName>
    <definedName name="________________SB1">[16]LOOSECHKLIST!$I$1069</definedName>
    <definedName name="________________SB2" localSheetId="1">[15]LOOSECHKLIST!$A$888:$IV$888</definedName>
    <definedName name="________________SB2">[16]LOOSECHKLIST!$A$888:$IV$888</definedName>
    <definedName name="________________SB3" localSheetId="1">[15]LOOSECHKLIST!$A$828:$IV$828</definedName>
    <definedName name="________________SB3">[16]LOOSECHKLIST!$A$828:$IV$828</definedName>
    <definedName name="________________SB4" localSheetId="1">[15]LOOSECHKLIST!$A$395:$IV$395</definedName>
    <definedName name="________________SB4">[16]LOOSECHKLIST!$A$395:$IV$395</definedName>
    <definedName name="_____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tax2" localSheetId="1">#REF!</definedName>
    <definedName name="________________tax2">#REF!</definedName>
    <definedName name="________________tax3" localSheetId="1">#REF!</definedName>
    <definedName name="________________tax3">#REF!</definedName>
    <definedName name="________________top05" localSheetId="1">#REF!</definedName>
    <definedName name="________________top05">#REF!</definedName>
    <definedName name="________________TOP1">#REF!</definedName>
    <definedName name="________________TOP2">#REF!</definedName>
    <definedName name="_____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UB1" localSheetId="1" hidden="1">{"'Feb 99'!$A$1:$G$30"}</definedName>
    <definedName name="________________UB1" hidden="1">{"'Feb 99'!$A$1:$G$30"}</definedName>
    <definedName name="________________UB2" localSheetId="1" hidden="1">{"'Feb 99'!$A$1:$G$30"}</definedName>
    <definedName name="________________UB2" hidden="1">{"'Feb 99'!$A$1:$G$30"}</definedName>
    <definedName name="________________VAR1">#REF!</definedName>
    <definedName name="________________VAR2">#REF!</definedName>
    <definedName name="________________VAR3">#REF!</definedName>
    <definedName name="_____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weg33" localSheetId="1">[17]!_xlbgnm.weg33</definedName>
    <definedName name="________________weg33">[18]!_xlbgnm.weg33</definedName>
    <definedName name="_____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_YA1" localSheetId="1">#REF!</definedName>
    <definedName name="________________YA1">#REF!</definedName>
    <definedName name="_______________a21420" localSheetId="1">#REF!</definedName>
    <definedName name="_______________a21420">#REF!</definedName>
    <definedName name="_______________a21430" localSheetId="1">#REF!</definedName>
    <definedName name="_______________a21430">#REF!</definedName>
    <definedName name="_______________A222">#REF!</definedName>
    <definedName name="_______________a22220">#REF!</definedName>
    <definedName name="_______________a22241">#REF!</definedName>
    <definedName name="_______________a22242">#REF!</definedName>
    <definedName name="_______________a22260">#REF!</definedName>
    <definedName name="_______________a22270">#REF!</definedName>
    <definedName name="_______________a24385">#REF!</definedName>
    <definedName name="_______________a24391">#REF!</definedName>
    <definedName name="_______________a24392">#REF!</definedName>
    <definedName name="_______________a24393">#REF!</definedName>
    <definedName name="_______________a24394">#REF!</definedName>
    <definedName name="_______________a27120">#REF!</definedName>
    <definedName name="_______________a27150">#REF!</definedName>
    <definedName name="_______________a32320">#REF!</definedName>
    <definedName name="_______________a32730">#REF!</definedName>
    <definedName name="_______________a33130">#REF!</definedName>
    <definedName name="_______________a33140">#REF!</definedName>
    <definedName name="_______________a33160">#REF!</definedName>
    <definedName name="_______________a33170">#REF!</definedName>
    <definedName name="_______________a33190">#REF!</definedName>
    <definedName name="_______________a33210">#REF!</definedName>
    <definedName name="_______________a33230">#REF!</definedName>
    <definedName name="_______________a33240">#REF!</definedName>
    <definedName name="_______________a34010">#REF!</definedName>
    <definedName name="_______________a41230">#REF!</definedName>
    <definedName name="_______________a41240">#REF!</definedName>
    <definedName name="_______________a42781">#REF!</definedName>
    <definedName name="_______________a42782">#REF!</definedName>
    <definedName name="_______________a42783">#REF!</definedName>
    <definedName name="_______________A43220">#REF!</definedName>
    <definedName name="_______________a43230">#REF!</definedName>
    <definedName name="_______________a43260">#REF!</definedName>
    <definedName name="_______________a43270">#REF!</definedName>
    <definedName name="_______________a43320">#REF!</definedName>
    <definedName name="_______________a43330">#REF!</definedName>
    <definedName name="_______________a43360">#REF!</definedName>
    <definedName name="_______________a43370">#REF!</definedName>
    <definedName name="_______________a43530">#REF!</definedName>
    <definedName name="_______________a43540">#REF!</definedName>
    <definedName name="_______________a43560">#REF!</definedName>
    <definedName name="_______________a43570">#REF!</definedName>
    <definedName name="_______________a43630">#REF!</definedName>
    <definedName name="_______________a43640">#REF!</definedName>
    <definedName name="_______________a43660">#REF!</definedName>
    <definedName name="_______________a43670">#REF!</definedName>
    <definedName name="_______________a43730">#REF!</definedName>
    <definedName name="_______________a43750">#REF!</definedName>
    <definedName name="_______________a43760">#REF!</definedName>
    <definedName name="_______________a43770">#REF!</definedName>
    <definedName name="_______________a43780">#REF!</definedName>
    <definedName name="_______________a48610">#REF!</definedName>
    <definedName name="_______________a48611">#REF!</definedName>
    <definedName name="_______________a48620">#REF!</definedName>
    <definedName name="_______________a48621">#REF!</definedName>
    <definedName name="_______________a48781">#REF!</definedName>
    <definedName name="_______________a48782">#REF!</definedName>
    <definedName name="_______________a48783">#REF!</definedName>
    <definedName name="_______________a48784">#REF!</definedName>
    <definedName name="_______________a51530">#REF!</definedName>
    <definedName name="_______________a51560">#REF!</definedName>
    <definedName name="_______________a51620">#REF!</definedName>
    <definedName name="_______________a52010">#REF!</definedName>
    <definedName name="_______________a53110">#REF!</definedName>
    <definedName name="_______________a61430">#REF!</definedName>
    <definedName name="_______________a61470">#REF!</definedName>
    <definedName name="_______________a61620">#REF!</definedName>
    <definedName name="_______________a63110">#REF!</definedName>
    <definedName name="_______________a73310">#REF!</definedName>
    <definedName name="_______________a83175">#REF!</definedName>
    <definedName name="_______________a85160">#REF!</definedName>
    <definedName name="_______________a85250">#REF!</definedName>
    <definedName name="_______________a85510">#REF!</definedName>
    <definedName name="_______________a85520">#REF!</definedName>
    <definedName name="_______________a85530">#REF!</definedName>
    <definedName name="_______________a85540">#REF!</definedName>
    <definedName name="_______________a85550">#REF!</definedName>
    <definedName name="_______________a85570">#REF!</definedName>
    <definedName name="_______________a85580">#REF!</definedName>
    <definedName name="_______________a85590">#REF!</definedName>
    <definedName name="_______________a85611">#REF!</definedName>
    <definedName name="_______________a85621">#REF!</definedName>
    <definedName name="_______________a90300">#REF!</definedName>
    <definedName name="_______________a90400">#REF!</definedName>
    <definedName name="_______________a90510">#REF!</definedName>
    <definedName name="_______________a90520">#REF!</definedName>
    <definedName name="_______________a90530">#REF!</definedName>
    <definedName name="_______________a90540">#REF!</definedName>
    <definedName name="_______________a90610">#REF!</definedName>
    <definedName name="_______________a90620">#REF!</definedName>
    <definedName name="_______________a90630">#REF!</definedName>
    <definedName name="_______________a90640">#REF!</definedName>
    <definedName name="_______________a90710">#REF!</definedName>
    <definedName name="_______________a90720">#REF!</definedName>
    <definedName name="_______________a90730">#REF!</definedName>
    <definedName name="_______________a90740">#REF!</definedName>
    <definedName name="_______________a90810">#REF!</definedName>
    <definedName name="_______________a90820">#REF!</definedName>
    <definedName name="_______________a90830">#REF!</definedName>
    <definedName name="_______________a90840">#REF!</definedName>
    <definedName name="_______________a90910">#REF!</definedName>
    <definedName name="_______________a90920">#REF!</definedName>
    <definedName name="_______________a90930">#REF!</definedName>
    <definedName name="_______________a90940">#REF!</definedName>
    <definedName name="_______________a90950">#REF!</definedName>
    <definedName name="_______________a91310">#REF!</definedName>
    <definedName name="_______________a91320">#REF!</definedName>
    <definedName name="_______________a91330">#REF!</definedName>
    <definedName name="_______________a91340">#REF!</definedName>
    <definedName name="_______________a91350">#REF!</definedName>
    <definedName name="_______________a91710">#REF!</definedName>
    <definedName name="_______________a91720">#REF!</definedName>
    <definedName name="_______________a91730">#REF!</definedName>
    <definedName name="_______________a91740">#REF!</definedName>
    <definedName name="_______________a93100">#REF!</definedName>
    <definedName name="_______________a93200">#REF!</definedName>
    <definedName name="_______________a99340">#REF!</definedName>
    <definedName name="_______________a99350">#REF!</definedName>
    <definedName name="_______________AA1">#REF!</definedName>
    <definedName name="_______________ACT1">#REF!</definedName>
    <definedName name="_______________ACT2">#REF!</definedName>
    <definedName name="_______________ACT3">#REF!</definedName>
    <definedName name="_______________ADJ1">#REF!</definedName>
    <definedName name="_______________ADJ2">#REF!</definedName>
    <definedName name="_______________AGM2" localSheetId="1" hidden="1">{#N/A,#N/A,TRUE,"M [OS-05]-00(1)"}</definedName>
    <definedName name="_______________AGM2" hidden="1">{#N/A,#N/A,TRUE,"M [OS-05]-00(1)"}</definedName>
    <definedName name="_______________aje1" localSheetId="1">#REF!</definedName>
    <definedName name="_______________aje1">#REF!</definedName>
    <definedName name="_______________arf2001" localSheetId="1">#REF!</definedName>
    <definedName name="_______________arf2001">#REF!</definedName>
    <definedName name="____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b90710" localSheetId="1">#REF!</definedName>
    <definedName name="_______________b90710">#REF!</definedName>
    <definedName name="_______________b90720" localSheetId="1">#REF!</definedName>
    <definedName name="_______________b90720">#REF!</definedName>
    <definedName name="_______________b90730" localSheetId="1">#REF!</definedName>
    <definedName name="_______________b90730">#REF!</definedName>
    <definedName name="_______________b90740">#REF!</definedName>
    <definedName name="_______________b95310">#REF!</definedName>
    <definedName name="_______________b95320">#REF!</definedName>
    <definedName name="_______________b95330">#REF!</definedName>
    <definedName name="_______________b95340">#REF!</definedName>
    <definedName name="_______________BA1">#REF!</definedName>
    <definedName name="_______________BC1">#REF!</definedName>
    <definedName name="_______________bc2">#REF!</definedName>
    <definedName name="_______________CAP1">#REF!</definedName>
    <definedName name="_______________cap2">#REF!</definedName>
    <definedName name="_______________cap3">#REF!</definedName>
    <definedName name="_______________cap4">#REF!</definedName>
    <definedName name="_______________cap5">#REF!</definedName>
    <definedName name="_______________cf2">#REF!</definedName>
    <definedName name="_______________cf3">#REF!</definedName>
    <definedName name="_______________COH1">#REF!</definedName>
    <definedName name="_______________COH2">#REF!</definedName>
    <definedName name="_______________COH3">#REF!</definedName>
    <definedName name="_______________e1">#REF!</definedName>
    <definedName name="_______________fsa1" localSheetId="1">[3]FSA!$B$1:$K$46</definedName>
    <definedName name="_______________fsa1">[4]FSA!$B$1:$K$46</definedName>
    <definedName name="_______________fsa2" localSheetId="1">[3]FSA!$A$47:$K$73</definedName>
    <definedName name="_______________fsa2">[4]FSA!$A$47:$K$73</definedName>
    <definedName name="_______________fsa3" localSheetId="1">[3]FSA!$A$74:$K$114</definedName>
    <definedName name="_______________fsa3">[4]FSA!$A$74:$K$114</definedName>
    <definedName name="_______________fsa4" localSheetId="1">[3]FSA!$A$116:$K$161</definedName>
    <definedName name="_______________fsa4">[4]FSA!$A$116:$K$161</definedName>
    <definedName name="_______________H3" localSheetId="1" hidden="1">{#N/A,#N/A,FALSE,"Sheet1"}</definedName>
    <definedName name="_______________H3" hidden="1">{#N/A,#N/A,FALSE,"Sheet1"}</definedName>
    <definedName name="_______________IA1" localSheetId="1">#REF!</definedName>
    <definedName name="_______________IA1">#REF!</definedName>
    <definedName name="_______________iw1" localSheetId="1">[5]FS!#REF!</definedName>
    <definedName name="_______________iw1">[6]FS!#REF!</definedName>
    <definedName name="_______________K1" localSheetId="1">#REF!</definedName>
    <definedName name="_______________K1">#REF!</definedName>
    <definedName name="_______________K2" localSheetId="1" hidden="1">#REF!</definedName>
    <definedName name="_______________K2" hidden="1">#REF!</definedName>
    <definedName name="_______________K4" localSheetId="1">#REF!</definedName>
    <definedName name="_______________K4">#REF!</definedName>
    <definedName name="_______________KA1" localSheetId="1" hidden="1">{#N/A,#N/A,FALSE,"Sheet1"}</definedName>
    <definedName name="_______________KA1" hidden="1">{#N/A,#N/A,FALSE,"Sheet1"}</definedName>
    <definedName name="_______________LD1">#N/A</definedName>
    <definedName name="_______________LD2">#N/A</definedName>
    <definedName name="_______________M1" localSheetId="1">'[7]FF-1'!#REF!</definedName>
    <definedName name="_______________M1">'[8]FF-1'!#REF!</definedName>
    <definedName name="_______________MAN1" localSheetId="1">#REF!</definedName>
    <definedName name="_______________MAN1">#REF!</definedName>
    <definedName name="_______________N1" localSheetId="1">#REF!</definedName>
    <definedName name="_______________N1">#REF!</definedName>
    <definedName name="_______________N2" localSheetId="1">'[9]CA Sheet'!$R$36</definedName>
    <definedName name="_______________N2">'[10]CA Sheet'!$R$36</definedName>
    <definedName name="_______________N4" localSheetId="1" hidden="1">{#N/A,#N/A,FALSE,"Sheet1"}</definedName>
    <definedName name="_______________N4" hidden="1">{#N/A,#N/A,FALSE,"Sheet1"}</definedName>
    <definedName name="_______________no1" localSheetId="1">[11]Info!#REF!</definedName>
    <definedName name="_______________no1">[12]Info!#REF!</definedName>
    <definedName name="_______________o2" localSheetId="1">#REF!</definedName>
    <definedName name="_______________o2">#REF!</definedName>
    <definedName name="_______________OCT334" localSheetId="1">'[1]FF-3'!$A$1:$IV$8</definedName>
    <definedName name="_______________OCT334">'[2]FF-3'!$A$1:$IV$8</definedName>
    <definedName name="_______________Pbs1" localSheetId="1">#REF!</definedName>
    <definedName name="_______________Pbs1">#REF!</definedName>
    <definedName name="_______________Pbs2" localSheetId="1">#REF!</definedName>
    <definedName name="_______________Pbs2">#REF!</definedName>
    <definedName name="_______________PG2">#N/A</definedName>
    <definedName name="_______________Pnl10" localSheetId="1">'[13]Pnl-10'!$A$1:$I$31</definedName>
    <definedName name="_______________Pnl10">'[14]Pnl-10'!$A$1:$I$31</definedName>
    <definedName name="_______________Pnl20" localSheetId="1">'[13]20'!$A$1:$K$87</definedName>
    <definedName name="_______________Pnl20">'[14]20'!$A$1:$K$87</definedName>
    <definedName name="_______________Pnl30" localSheetId="1">'[13]30'!$A$1:$L$52</definedName>
    <definedName name="_______________Pnl30">'[14]30'!$A$1:$L$52</definedName>
    <definedName name="_______________Pnl70" localSheetId="1">'[13]70'!$A$1:$K$34</definedName>
    <definedName name="_______________Pnl70">'[14]70'!$A$1:$K$34</definedName>
    <definedName name="_______________Pyt98" localSheetId="1">#REF!</definedName>
    <definedName name="_______________Pyt98">#REF!</definedName>
    <definedName name="_______________qer13" localSheetId="1">#REF!</definedName>
    <definedName name="_______________qer13">#REF!</definedName>
    <definedName name="____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SB1" localSheetId="1">[15]LOOSECHKLIST!$I$1069</definedName>
    <definedName name="_______________SB1">[16]LOOSECHKLIST!$I$1069</definedName>
    <definedName name="_______________SB2" localSheetId="1">[15]LOOSECHKLIST!$A$888:$IV$888</definedName>
    <definedName name="_______________SB2">[16]LOOSECHKLIST!$A$888:$IV$888</definedName>
    <definedName name="_______________SB3" localSheetId="1">[15]LOOSECHKLIST!$A$828:$IV$828</definedName>
    <definedName name="_______________SB3">[16]LOOSECHKLIST!$A$828:$IV$828</definedName>
    <definedName name="_______________SB4" localSheetId="1">[15]LOOSECHKLIST!$A$395:$IV$395</definedName>
    <definedName name="_______________SB4">[16]LOOSECHKLIST!$A$395:$IV$395</definedName>
    <definedName name="____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tax2" localSheetId="1">#REF!</definedName>
    <definedName name="_______________tax2">#REF!</definedName>
    <definedName name="_______________tax3" localSheetId="1">#REF!</definedName>
    <definedName name="_______________tax3">#REF!</definedName>
    <definedName name="_______________top05" localSheetId="1">#REF!</definedName>
    <definedName name="_______________top05">#REF!</definedName>
    <definedName name="_______________TOP1">#REF!</definedName>
    <definedName name="_______________TOP2">#REF!</definedName>
    <definedName name="____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UB1" localSheetId="1" hidden="1">{"'Feb 99'!$A$1:$G$30"}</definedName>
    <definedName name="_______________UB1" hidden="1">{"'Feb 99'!$A$1:$G$30"}</definedName>
    <definedName name="_______________UB2" localSheetId="1" hidden="1">{"'Feb 99'!$A$1:$G$30"}</definedName>
    <definedName name="_______________UB2" hidden="1">{"'Feb 99'!$A$1:$G$30"}</definedName>
    <definedName name="_______________VAR1">#REF!</definedName>
    <definedName name="_______________VAR2">#REF!</definedName>
    <definedName name="_______________VAR3">#REF!</definedName>
    <definedName name="____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weg33" localSheetId="1">[19]!_xlbgnm.weg33</definedName>
    <definedName name="_______________weg33">[20]!_xlbgnm.weg33</definedName>
    <definedName name="____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YA1" localSheetId="1">#REF!</definedName>
    <definedName name="_______________YA1">#REF!</definedName>
    <definedName name="______________a21420" localSheetId="1">#REF!</definedName>
    <definedName name="______________a21420">#REF!</definedName>
    <definedName name="______________a21430" localSheetId="1">#REF!</definedName>
    <definedName name="______________a21430">#REF!</definedName>
    <definedName name="______________A222">#REF!</definedName>
    <definedName name="______________a22220">#REF!</definedName>
    <definedName name="______________a22241">#REF!</definedName>
    <definedName name="______________a22242">#REF!</definedName>
    <definedName name="______________a22260">#REF!</definedName>
    <definedName name="______________a22270">#REF!</definedName>
    <definedName name="______________a24385">#REF!</definedName>
    <definedName name="______________a24391">#REF!</definedName>
    <definedName name="______________a24392">#REF!</definedName>
    <definedName name="______________a24393">#REF!</definedName>
    <definedName name="______________a24394">#REF!</definedName>
    <definedName name="______________a27120">#REF!</definedName>
    <definedName name="______________a27150">#REF!</definedName>
    <definedName name="______________a32320">#REF!</definedName>
    <definedName name="______________a32730">#REF!</definedName>
    <definedName name="______________a33130">#REF!</definedName>
    <definedName name="______________a33140">#REF!</definedName>
    <definedName name="______________a33160">#REF!</definedName>
    <definedName name="______________a33170">#REF!</definedName>
    <definedName name="______________a33190">#REF!</definedName>
    <definedName name="______________a33210">#REF!</definedName>
    <definedName name="______________a33230">#REF!</definedName>
    <definedName name="______________a33240">#REF!</definedName>
    <definedName name="______________a34010">#REF!</definedName>
    <definedName name="______________a41230">#REF!</definedName>
    <definedName name="______________a41240">#REF!</definedName>
    <definedName name="______________a42781">#REF!</definedName>
    <definedName name="______________a42782">#REF!</definedName>
    <definedName name="______________a42783">#REF!</definedName>
    <definedName name="______________A43220">#REF!</definedName>
    <definedName name="______________a43230">#REF!</definedName>
    <definedName name="______________a43260">#REF!</definedName>
    <definedName name="______________a43270">#REF!</definedName>
    <definedName name="______________a43320">#REF!</definedName>
    <definedName name="______________a43330">#REF!</definedName>
    <definedName name="______________a43360">#REF!</definedName>
    <definedName name="______________a43370">#REF!</definedName>
    <definedName name="______________a43530">#REF!</definedName>
    <definedName name="______________a43540">#REF!</definedName>
    <definedName name="______________a43560">#REF!</definedName>
    <definedName name="______________a43570">#REF!</definedName>
    <definedName name="______________a43630">#REF!</definedName>
    <definedName name="______________a43640">#REF!</definedName>
    <definedName name="______________a43660">#REF!</definedName>
    <definedName name="______________a43670">#REF!</definedName>
    <definedName name="______________a43730">#REF!</definedName>
    <definedName name="______________a43750">#REF!</definedName>
    <definedName name="______________a43760">#REF!</definedName>
    <definedName name="______________a43770">#REF!</definedName>
    <definedName name="______________a43780">#REF!</definedName>
    <definedName name="______________a48610">#REF!</definedName>
    <definedName name="______________a48611">#REF!</definedName>
    <definedName name="______________a48620">#REF!</definedName>
    <definedName name="______________a48621">#REF!</definedName>
    <definedName name="______________a48781">#REF!</definedName>
    <definedName name="______________a48782">#REF!</definedName>
    <definedName name="______________a48783">#REF!</definedName>
    <definedName name="______________a48784">#REF!</definedName>
    <definedName name="______________a51530">#REF!</definedName>
    <definedName name="______________a51560">#REF!</definedName>
    <definedName name="______________a51620">#REF!</definedName>
    <definedName name="______________a52010">#REF!</definedName>
    <definedName name="______________a53110">#REF!</definedName>
    <definedName name="______________a61430">#REF!</definedName>
    <definedName name="______________a61470">#REF!</definedName>
    <definedName name="______________a61620">#REF!</definedName>
    <definedName name="______________a63110">#REF!</definedName>
    <definedName name="______________a73310">#REF!</definedName>
    <definedName name="______________a83175">#REF!</definedName>
    <definedName name="______________a85160">#REF!</definedName>
    <definedName name="______________a85250">#REF!</definedName>
    <definedName name="______________a85510">#REF!</definedName>
    <definedName name="______________a85520">#REF!</definedName>
    <definedName name="______________a85530">#REF!</definedName>
    <definedName name="______________a85540">#REF!</definedName>
    <definedName name="______________a85550">#REF!</definedName>
    <definedName name="______________a85570">#REF!</definedName>
    <definedName name="______________a85580">#REF!</definedName>
    <definedName name="______________a85590">#REF!</definedName>
    <definedName name="______________a85611">#REF!</definedName>
    <definedName name="______________a85621">#REF!</definedName>
    <definedName name="______________a90300">#REF!</definedName>
    <definedName name="______________a90400">#REF!</definedName>
    <definedName name="______________a90510">#REF!</definedName>
    <definedName name="______________a90520">#REF!</definedName>
    <definedName name="______________a90530">#REF!</definedName>
    <definedName name="______________a90540">#REF!</definedName>
    <definedName name="______________a90610">#REF!</definedName>
    <definedName name="______________a90620">#REF!</definedName>
    <definedName name="______________a90630">#REF!</definedName>
    <definedName name="______________a90640">#REF!</definedName>
    <definedName name="______________a90710">#REF!</definedName>
    <definedName name="______________a90720">#REF!</definedName>
    <definedName name="______________a90730">#REF!</definedName>
    <definedName name="______________a90740">#REF!</definedName>
    <definedName name="______________a90810">#REF!</definedName>
    <definedName name="______________a90820">#REF!</definedName>
    <definedName name="______________a90830">#REF!</definedName>
    <definedName name="______________a90840">#REF!</definedName>
    <definedName name="______________a90910">#REF!</definedName>
    <definedName name="______________a90920">#REF!</definedName>
    <definedName name="______________a90930">#REF!</definedName>
    <definedName name="______________a90940">#REF!</definedName>
    <definedName name="______________a90950">#REF!</definedName>
    <definedName name="______________a91310">#REF!</definedName>
    <definedName name="______________a91320">#REF!</definedName>
    <definedName name="______________a91330">#REF!</definedName>
    <definedName name="______________a91340">#REF!</definedName>
    <definedName name="______________a91350">#REF!</definedName>
    <definedName name="______________a91710">#REF!</definedName>
    <definedName name="______________a91720">#REF!</definedName>
    <definedName name="______________a91730">#REF!</definedName>
    <definedName name="______________a91740">#REF!</definedName>
    <definedName name="______________a93100">#REF!</definedName>
    <definedName name="______________a93200">#REF!</definedName>
    <definedName name="______________a99340">#REF!</definedName>
    <definedName name="______________a99350">#REF!</definedName>
    <definedName name="______________AA1">#REF!</definedName>
    <definedName name="______________ACT1">#REF!</definedName>
    <definedName name="______________ACT2">#REF!</definedName>
    <definedName name="______________ACT3">#REF!</definedName>
    <definedName name="______________ADJ1">#REF!</definedName>
    <definedName name="______________ADJ2">#REF!</definedName>
    <definedName name="______________AGM2" localSheetId="1" hidden="1">{#N/A,#N/A,TRUE,"M [OS-05]-00(1)"}</definedName>
    <definedName name="______________AGM2" hidden="1">{#N/A,#N/A,TRUE,"M [OS-05]-00(1)"}</definedName>
    <definedName name="______________aje1" localSheetId="1">#REF!</definedName>
    <definedName name="______________aje1">#REF!</definedName>
    <definedName name="______________arf2001" localSheetId="1">#REF!</definedName>
    <definedName name="______________arf2001">#REF!</definedName>
    <definedName name="___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b90710" localSheetId="1">#REF!</definedName>
    <definedName name="______________b90710">#REF!</definedName>
    <definedName name="______________b90720" localSheetId="1">#REF!</definedName>
    <definedName name="______________b90720">#REF!</definedName>
    <definedName name="______________b90730" localSheetId="1">#REF!</definedName>
    <definedName name="______________b90730">#REF!</definedName>
    <definedName name="______________b90740">#REF!</definedName>
    <definedName name="______________b95310">#REF!</definedName>
    <definedName name="______________b95320">#REF!</definedName>
    <definedName name="______________b95330">#REF!</definedName>
    <definedName name="______________b95340">#REF!</definedName>
    <definedName name="______________BA1">#REF!</definedName>
    <definedName name="______________BC1">#REF!</definedName>
    <definedName name="______________bc2">#REF!</definedName>
    <definedName name="______________CAP1">#REF!</definedName>
    <definedName name="______________cap2">#REF!</definedName>
    <definedName name="______________cap3">#REF!</definedName>
    <definedName name="______________cap4">#REF!</definedName>
    <definedName name="______________cap5">#REF!</definedName>
    <definedName name="______________cf2">#REF!</definedName>
    <definedName name="______________cf3">#REF!</definedName>
    <definedName name="______________COH1">#REF!</definedName>
    <definedName name="______________COH2">#REF!</definedName>
    <definedName name="______________COH3">#REF!</definedName>
    <definedName name="______________e1">#REF!</definedName>
    <definedName name="______________fsa1" localSheetId="1">[3]FSA!$B$1:$K$46</definedName>
    <definedName name="______________fsa1">[4]FSA!$B$1:$K$46</definedName>
    <definedName name="______________fsa2" localSheetId="1">[3]FSA!$A$47:$K$73</definedName>
    <definedName name="______________fsa2">[4]FSA!$A$47:$K$73</definedName>
    <definedName name="______________fsa3" localSheetId="1">[3]FSA!$A$74:$K$114</definedName>
    <definedName name="______________fsa3">[4]FSA!$A$74:$K$114</definedName>
    <definedName name="______________fsa4" localSheetId="1">[3]FSA!$A$116:$K$161</definedName>
    <definedName name="______________fsa4">[4]FSA!$A$116:$K$161</definedName>
    <definedName name="______________H3" localSheetId="1" hidden="1">{#N/A,#N/A,FALSE,"Sheet1"}</definedName>
    <definedName name="______________H3" hidden="1">{#N/A,#N/A,FALSE,"Sheet1"}</definedName>
    <definedName name="______________IA1" localSheetId="1">#REF!</definedName>
    <definedName name="______________IA1">#REF!</definedName>
    <definedName name="______________iw1" localSheetId="1">[21]FS!#REF!</definedName>
    <definedName name="______________iw1">[22]FS!#REF!</definedName>
    <definedName name="______________K1" localSheetId="1">#REF!</definedName>
    <definedName name="______________K1">#REF!</definedName>
    <definedName name="______________K2" localSheetId="1" hidden="1">#REF!</definedName>
    <definedName name="______________K2" hidden="1">#REF!</definedName>
    <definedName name="______________K4" localSheetId="1">#REF!</definedName>
    <definedName name="______________K4">#REF!</definedName>
    <definedName name="______________KA1" localSheetId="1" hidden="1">{#N/A,#N/A,FALSE,"Sheet1"}</definedName>
    <definedName name="______________KA1" hidden="1">{#N/A,#N/A,FALSE,"Sheet1"}</definedName>
    <definedName name="______________LD1">#N/A</definedName>
    <definedName name="______________LD2">#N/A</definedName>
    <definedName name="______________M1">'[23]FF-1'!#REF!</definedName>
    <definedName name="______________MAN1" localSheetId="1">#REF!</definedName>
    <definedName name="______________MAN1">#REF!</definedName>
    <definedName name="______________N1" localSheetId="1">#REF!</definedName>
    <definedName name="______________N1">#REF!</definedName>
    <definedName name="______________N2" localSheetId="1">'[9]CA Sheet'!$R$36</definedName>
    <definedName name="______________N2">'[10]CA Sheet'!$R$36</definedName>
    <definedName name="______________N4" localSheetId="1" hidden="1">{#N/A,#N/A,FALSE,"Sheet1"}</definedName>
    <definedName name="______________N4" hidden="1">{#N/A,#N/A,FALSE,"Sheet1"}</definedName>
    <definedName name="______________no1" localSheetId="1">[11]Info!#REF!</definedName>
    <definedName name="______________no1">[12]Info!#REF!</definedName>
    <definedName name="______________o2" localSheetId="1">#REF!</definedName>
    <definedName name="______________o2">#REF!</definedName>
    <definedName name="______________OCT334" localSheetId="1">'[1]FF-3'!$A$1:$IV$8</definedName>
    <definedName name="______________OCT334">'[2]FF-3'!$A$1:$IV$8</definedName>
    <definedName name="______________Pbs1" localSheetId="1">#REF!</definedName>
    <definedName name="______________Pbs1">#REF!</definedName>
    <definedName name="______________Pbs2" localSheetId="1">#REF!</definedName>
    <definedName name="______________Pbs2">#REF!</definedName>
    <definedName name="______________PG2">#N/A</definedName>
    <definedName name="______________Pnl10" localSheetId="1">'[13]Pnl-10'!$A$1:$I$31</definedName>
    <definedName name="______________Pnl10">'[14]Pnl-10'!$A$1:$I$31</definedName>
    <definedName name="______________Pnl20" localSheetId="1">'[13]20'!$A$1:$K$87</definedName>
    <definedName name="______________Pnl20">'[14]20'!$A$1:$K$87</definedName>
    <definedName name="______________Pnl30" localSheetId="1">'[13]30'!$A$1:$L$52</definedName>
    <definedName name="______________Pnl30">'[14]30'!$A$1:$L$52</definedName>
    <definedName name="______________Pnl70" localSheetId="1">'[13]70'!$A$1:$K$34</definedName>
    <definedName name="______________Pnl70">'[14]70'!$A$1:$K$34</definedName>
    <definedName name="______________Pyt98" localSheetId="1">#REF!</definedName>
    <definedName name="______________Pyt98">#REF!</definedName>
    <definedName name="______________qer13" localSheetId="1">#REF!</definedName>
    <definedName name="______________qer13">#REF!</definedName>
    <definedName name="___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SB1" localSheetId="1">[15]LOOSECHKLIST!$I$1069</definedName>
    <definedName name="______________SB1">[16]LOOSECHKLIST!$I$1069</definedName>
    <definedName name="______________SB2" localSheetId="1">[15]LOOSECHKLIST!$A$888:$IV$888</definedName>
    <definedName name="______________SB2">[16]LOOSECHKLIST!$A$888:$IV$888</definedName>
    <definedName name="______________SB3" localSheetId="1">[15]LOOSECHKLIST!$A$828:$IV$828</definedName>
    <definedName name="______________SB3">[16]LOOSECHKLIST!$A$828:$IV$828</definedName>
    <definedName name="______________SB4" localSheetId="1">[15]LOOSECHKLIST!$A$395:$IV$395</definedName>
    <definedName name="______________SB4">[16]LOOSECHKLIST!$A$395:$IV$395</definedName>
    <definedName name="___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tax2" localSheetId="1">#REF!</definedName>
    <definedName name="______________tax2">#REF!</definedName>
    <definedName name="______________tax3" localSheetId="1">#REF!</definedName>
    <definedName name="______________tax3">#REF!</definedName>
    <definedName name="______________top05" localSheetId="1">#REF!</definedName>
    <definedName name="______________top05">#REF!</definedName>
    <definedName name="______________TOP1">#REF!</definedName>
    <definedName name="______________TOP2">#REF!</definedName>
    <definedName name="___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UB1" localSheetId="1" hidden="1">{"'Feb 99'!$A$1:$G$30"}</definedName>
    <definedName name="______________UB1" hidden="1">{"'Feb 99'!$A$1:$G$30"}</definedName>
    <definedName name="______________UB2" localSheetId="1" hidden="1">{"'Feb 99'!$A$1:$G$30"}</definedName>
    <definedName name="______________UB2" hidden="1">{"'Feb 99'!$A$1:$G$30"}</definedName>
    <definedName name="______________VAR1">#REF!</definedName>
    <definedName name="______________VAR2">#REF!</definedName>
    <definedName name="______________VAR3">#REF!</definedName>
    <definedName name="___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weg33" localSheetId="1">[24]!_xlbgnm.weg33</definedName>
    <definedName name="______________weg33">[25]!_xlbgnm.weg33</definedName>
    <definedName name="___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YA1" localSheetId="1">#REF!</definedName>
    <definedName name="______________YA1">#REF!</definedName>
    <definedName name="_____________a21420" localSheetId="1">#REF!</definedName>
    <definedName name="_____________a21420">#REF!</definedName>
    <definedName name="_____________a21430" localSheetId="1">#REF!</definedName>
    <definedName name="_____________a21430">#REF!</definedName>
    <definedName name="_____________A222">#REF!</definedName>
    <definedName name="_____________a22220">#REF!</definedName>
    <definedName name="_____________a22241">#REF!</definedName>
    <definedName name="_____________a22242">#REF!</definedName>
    <definedName name="_____________a22260">#REF!</definedName>
    <definedName name="_____________a22270">#REF!</definedName>
    <definedName name="_____________a24385">#REF!</definedName>
    <definedName name="_____________a24391">#REF!</definedName>
    <definedName name="_____________a24392">#REF!</definedName>
    <definedName name="_____________a24393">#REF!</definedName>
    <definedName name="_____________a24394">#REF!</definedName>
    <definedName name="_____________a27120">#REF!</definedName>
    <definedName name="_____________a27150">#REF!</definedName>
    <definedName name="_____________a32320">#REF!</definedName>
    <definedName name="_____________a32730">#REF!</definedName>
    <definedName name="_____________a33130">#REF!</definedName>
    <definedName name="_____________a33140">#REF!</definedName>
    <definedName name="_____________a33160">#REF!</definedName>
    <definedName name="_____________a33170">#REF!</definedName>
    <definedName name="_____________a33190">#REF!</definedName>
    <definedName name="_____________a33210">#REF!</definedName>
    <definedName name="_____________a33230">#REF!</definedName>
    <definedName name="_____________a33240">#REF!</definedName>
    <definedName name="_____________a34010">#REF!</definedName>
    <definedName name="_____________a41230">#REF!</definedName>
    <definedName name="_____________a41240">#REF!</definedName>
    <definedName name="_____________a42781">#REF!</definedName>
    <definedName name="_____________a42782">#REF!</definedName>
    <definedName name="_____________a42783">#REF!</definedName>
    <definedName name="_____________A43220">#REF!</definedName>
    <definedName name="_____________a43230">#REF!</definedName>
    <definedName name="_____________a43260">#REF!</definedName>
    <definedName name="_____________a43270">#REF!</definedName>
    <definedName name="_____________a43320">#REF!</definedName>
    <definedName name="_____________a43330">#REF!</definedName>
    <definedName name="_____________a43360">#REF!</definedName>
    <definedName name="_____________a43370">#REF!</definedName>
    <definedName name="_____________a43530">#REF!</definedName>
    <definedName name="_____________a43540">#REF!</definedName>
    <definedName name="_____________a43560">#REF!</definedName>
    <definedName name="_____________a43570">#REF!</definedName>
    <definedName name="_____________a43630">#REF!</definedName>
    <definedName name="_____________a43640">#REF!</definedName>
    <definedName name="_____________a43660">#REF!</definedName>
    <definedName name="_____________a43670">#REF!</definedName>
    <definedName name="_____________a43730">#REF!</definedName>
    <definedName name="_____________a43750">#REF!</definedName>
    <definedName name="_____________a43760">#REF!</definedName>
    <definedName name="_____________a43770">#REF!</definedName>
    <definedName name="_____________a43780">#REF!</definedName>
    <definedName name="_____________a48610">#REF!</definedName>
    <definedName name="_____________a48611">#REF!</definedName>
    <definedName name="_____________a48620">#REF!</definedName>
    <definedName name="_____________a48621">#REF!</definedName>
    <definedName name="_____________a48781">#REF!</definedName>
    <definedName name="_____________a48782">#REF!</definedName>
    <definedName name="_____________a48783">#REF!</definedName>
    <definedName name="_____________a48784">#REF!</definedName>
    <definedName name="_____________a51530">#REF!</definedName>
    <definedName name="_____________a51560">#REF!</definedName>
    <definedName name="_____________a51620">#REF!</definedName>
    <definedName name="_____________a52010">#REF!</definedName>
    <definedName name="_____________a53110">#REF!</definedName>
    <definedName name="_____________a61430">#REF!</definedName>
    <definedName name="_____________a61470">#REF!</definedName>
    <definedName name="_____________a61620">#REF!</definedName>
    <definedName name="_____________a63110">#REF!</definedName>
    <definedName name="_____________a73310">#REF!</definedName>
    <definedName name="_____________a83175">#REF!</definedName>
    <definedName name="_____________a85160">#REF!</definedName>
    <definedName name="_____________a85250">#REF!</definedName>
    <definedName name="_____________a85510">#REF!</definedName>
    <definedName name="_____________a85520">#REF!</definedName>
    <definedName name="_____________a85530">#REF!</definedName>
    <definedName name="_____________a85540">#REF!</definedName>
    <definedName name="_____________a85550">#REF!</definedName>
    <definedName name="_____________a85570">#REF!</definedName>
    <definedName name="_____________a85580">#REF!</definedName>
    <definedName name="_____________a85590">#REF!</definedName>
    <definedName name="_____________a85611">#REF!</definedName>
    <definedName name="_____________a85621">#REF!</definedName>
    <definedName name="_____________a90300">#REF!</definedName>
    <definedName name="_____________a90400">#REF!</definedName>
    <definedName name="_____________a90510">#REF!</definedName>
    <definedName name="_____________a90520">#REF!</definedName>
    <definedName name="_____________a90530">#REF!</definedName>
    <definedName name="_____________a90540">#REF!</definedName>
    <definedName name="_____________a90610">#REF!</definedName>
    <definedName name="_____________a90620">#REF!</definedName>
    <definedName name="_____________a90630">#REF!</definedName>
    <definedName name="_____________a90640">#REF!</definedName>
    <definedName name="_____________a90710">#REF!</definedName>
    <definedName name="_____________a90720">#REF!</definedName>
    <definedName name="_____________a90730">#REF!</definedName>
    <definedName name="_____________a90740">#REF!</definedName>
    <definedName name="_____________a90810">#REF!</definedName>
    <definedName name="_____________a90820">#REF!</definedName>
    <definedName name="_____________a90830">#REF!</definedName>
    <definedName name="_____________a90840">#REF!</definedName>
    <definedName name="_____________a90910">#REF!</definedName>
    <definedName name="_____________a90920">#REF!</definedName>
    <definedName name="_____________a90930">#REF!</definedName>
    <definedName name="_____________a90940">#REF!</definedName>
    <definedName name="_____________a90950">#REF!</definedName>
    <definedName name="_____________a91310">#REF!</definedName>
    <definedName name="_____________a91320">#REF!</definedName>
    <definedName name="_____________a91330">#REF!</definedName>
    <definedName name="_____________a91340">#REF!</definedName>
    <definedName name="_____________a91350">#REF!</definedName>
    <definedName name="_____________a91710">#REF!</definedName>
    <definedName name="_____________a91720">#REF!</definedName>
    <definedName name="_____________a91730">#REF!</definedName>
    <definedName name="_____________a91740">#REF!</definedName>
    <definedName name="_____________a93100">#REF!</definedName>
    <definedName name="_____________a93200">#REF!</definedName>
    <definedName name="_____________a99340">#REF!</definedName>
    <definedName name="_____________a99350">#REF!</definedName>
    <definedName name="_____________AA1">#REF!</definedName>
    <definedName name="_____________ACT1">#REF!</definedName>
    <definedName name="_____________ACT2">#REF!</definedName>
    <definedName name="_____________ACT3">#REF!</definedName>
    <definedName name="_____________ADJ1">#REF!</definedName>
    <definedName name="_____________ADJ2">#REF!</definedName>
    <definedName name="_____________AGM2" localSheetId="1" hidden="1">{#N/A,#N/A,TRUE,"M [OS-05]-00(1)"}</definedName>
    <definedName name="_____________AGM2" hidden="1">{#N/A,#N/A,TRUE,"M [OS-05]-00(1)"}</definedName>
    <definedName name="_____________aje1" localSheetId="1">#REF!</definedName>
    <definedName name="_____________aje1">#REF!</definedName>
    <definedName name="_____________arf2001" localSheetId="1">#REF!</definedName>
    <definedName name="_____________arf2001">#REF!</definedName>
    <definedName name="__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b90710" localSheetId="1">#REF!</definedName>
    <definedName name="_____________b90710">#REF!</definedName>
    <definedName name="_____________b90720" localSheetId="1">#REF!</definedName>
    <definedName name="_____________b90720">#REF!</definedName>
    <definedName name="_____________b90730" localSheetId="1">#REF!</definedName>
    <definedName name="_____________b90730">#REF!</definedName>
    <definedName name="_____________b90740">#REF!</definedName>
    <definedName name="_____________b95310">#REF!</definedName>
    <definedName name="_____________b95320">#REF!</definedName>
    <definedName name="_____________b95330">#REF!</definedName>
    <definedName name="_____________b95340">#REF!</definedName>
    <definedName name="_____________BA1">#REF!</definedName>
    <definedName name="_____________BC1">#REF!</definedName>
    <definedName name="_____________bc2">#REF!</definedName>
    <definedName name="_____________CAP1">#REF!</definedName>
    <definedName name="_____________cap2">#REF!</definedName>
    <definedName name="_____________cap3">#REF!</definedName>
    <definedName name="_____________cap4">#REF!</definedName>
    <definedName name="_____________cap5">#REF!</definedName>
    <definedName name="_____________cf2">#REF!</definedName>
    <definedName name="_____________cf3">#REF!</definedName>
    <definedName name="_____________COH1">#REF!</definedName>
    <definedName name="_____________COH2">#REF!</definedName>
    <definedName name="_____________COH3">#REF!</definedName>
    <definedName name="_____________e1">#REF!</definedName>
    <definedName name="_____________fsa1" localSheetId="1">[26]FSA!$B$1:$K$46</definedName>
    <definedName name="_____________fsa1">[27]FSA!$B$1:$K$46</definedName>
    <definedName name="_____________fsa2" localSheetId="1">[26]FSA!$A$47:$K$73</definedName>
    <definedName name="_____________fsa2">[27]FSA!$A$47:$K$73</definedName>
    <definedName name="_____________fsa3" localSheetId="1">[26]FSA!$A$74:$K$114</definedName>
    <definedName name="_____________fsa3">[27]FSA!$A$74:$K$114</definedName>
    <definedName name="_____________fsa4" localSheetId="1">[26]FSA!$A$116:$K$161</definedName>
    <definedName name="_____________fsa4">[27]FSA!$A$116:$K$161</definedName>
    <definedName name="_____________H3" localSheetId="1" hidden="1">{#N/A,#N/A,FALSE,"Sheet1"}</definedName>
    <definedName name="_____________H3" hidden="1">{#N/A,#N/A,FALSE,"Sheet1"}</definedName>
    <definedName name="_____________IA1" localSheetId="1">#REF!</definedName>
    <definedName name="_____________IA1">#REF!</definedName>
    <definedName name="_____________iw1" localSheetId="1">[21]FS!#REF!</definedName>
    <definedName name="_____________iw1">[22]FS!#REF!</definedName>
    <definedName name="_____________K1" localSheetId="1">#REF!</definedName>
    <definedName name="_____________K1">#REF!</definedName>
    <definedName name="_____________K2" localSheetId="1" hidden="1">#REF!</definedName>
    <definedName name="_____________K2" hidden="1">#REF!</definedName>
    <definedName name="_____________K4" localSheetId="1">#REF!</definedName>
    <definedName name="_____________K4">#REF!</definedName>
    <definedName name="_____________KA1" localSheetId="1" hidden="1">{#N/A,#N/A,FALSE,"Sheet1"}</definedName>
    <definedName name="_____________KA1" hidden="1">{#N/A,#N/A,FALSE,"Sheet1"}</definedName>
    <definedName name="_____________LD1">#N/A</definedName>
    <definedName name="_____________LD2">#N/A</definedName>
    <definedName name="_____________M1">'[23]FF-1'!#REF!</definedName>
    <definedName name="_____________MAN1" localSheetId="1">#REF!</definedName>
    <definedName name="_____________MAN1">#REF!</definedName>
    <definedName name="_____________N1" localSheetId="1">#REF!</definedName>
    <definedName name="_____________N1">#REF!</definedName>
    <definedName name="_____________N2" localSheetId="1">'[28]CA Sheet'!$R$36</definedName>
    <definedName name="_____________N2">'[29]CA Sheet'!$R$36</definedName>
    <definedName name="_____________N4" localSheetId="1" hidden="1">{#N/A,#N/A,FALSE,"Sheet1"}</definedName>
    <definedName name="_____________N4" hidden="1">{#N/A,#N/A,FALSE,"Sheet1"}</definedName>
    <definedName name="_____________no1" localSheetId="1">[11]Info!#REF!</definedName>
    <definedName name="_____________no1">[12]Info!#REF!</definedName>
    <definedName name="_____________o2" localSheetId="1">#REF!</definedName>
    <definedName name="_____________o2">#REF!</definedName>
    <definedName name="_____________OCT334" localSheetId="1">'[1]FF-3'!$A$1:$IV$8</definedName>
    <definedName name="_____________OCT334">'[2]FF-3'!$A$1:$IV$8</definedName>
    <definedName name="_____________Pbs1" localSheetId="1">#REF!</definedName>
    <definedName name="_____________Pbs1">#REF!</definedName>
    <definedName name="_____________Pbs2" localSheetId="1">#REF!</definedName>
    <definedName name="_____________Pbs2">#REF!</definedName>
    <definedName name="_____________PG2">#N/A</definedName>
    <definedName name="_____________Pnl10" localSheetId="1">'[13]Pnl-10'!$A$1:$I$31</definedName>
    <definedName name="_____________Pnl10">'[14]Pnl-10'!$A$1:$I$31</definedName>
    <definedName name="_____________Pnl20" localSheetId="1">'[13]20'!$A$1:$K$87</definedName>
    <definedName name="_____________Pnl20">'[14]20'!$A$1:$K$87</definedName>
    <definedName name="_____________Pnl30" localSheetId="1">'[13]30'!$A$1:$L$52</definedName>
    <definedName name="_____________Pnl30">'[14]30'!$A$1:$L$52</definedName>
    <definedName name="_____________Pnl70" localSheetId="1">'[13]70'!$A$1:$K$34</definedName>
    <definedName name="_____________Pnl70">'[14]70'!$A$1:$K$34</definedName>
    <definedName name="_____________Pyt98" localSheetId="1">#REF!</definedName>
    <definedName name="_____________Pyt98">#REF!</definedName>
    <definedName name="_____________qer13" localSheetId="1">#REF!</definedName>
    <definedName name="_____________qer13">#REF!</definedName>
    <definedName name="__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SB1" localSheetId="1">[15]LOOSECHKLIST!$I$1069</definedName>
    <definedName name="_____________SB1">[16]LOOSECHKLIST!$I$1069</definedName>
    <definedName name="_____________SB2" localSheetId="1">[15]LOOSECHKLIST!$A$888:$IV$888</definedName>
    <definedName name="_____________SB2">[16]LOOSECHKLIST!$A$888:$IV$888</definedName>
    <definedName name="_____________SB3" localSheetId="1">[15]LOOSECHKLIST!$A$828:$IV$828</definedName>
    <definedName name="_____________SB3">[16]LOOSECHKLIST!$A$828:$IV$828</definedName>
    <definedName name="_____________SB4" localSheetId="1">[15]LOOSECHKLIST!$A$395:$IV$395</definedName>
    <definedName name="_____________SB4">[16]LOOSECHKLIST!$A$395:$IV$395</definedName>
    <definedName name="__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tax2" localSheetId="1">#REF!</definedName>
    <definedName name="_____________tax2">#REF!</definedName>
    <definedName name="_____________tax3" localSheetId="1">#REF!</definedName>
    <definedName name="_____________tax3">#REF!</definedName>
    <definedName name="_____________top05" localSheetId="1">#REF!</definedName>
    <definedName name="_____________top05">#REF!</definedName>
    <definedName name="_____________TOP1">#REF!</definedName>
    <definedName name="_____________TOP2">#REF!</definedName>
    <definedName name="__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UB1" localSheetId="1" hidden="1">{"'Feb 99'!$A$1:$G$30"}</definedName>
    <definedName name="_____________UB1" hidden="1">{"'Feb 99'!$A$1:$G$30"}</definedName>
    <definedName name="_____________UB2" localSheetId="1" hidden="1">{"'Feb 99'!$A$1:$G$30"}</definedName>
    <definedName name="_____________UB2" hidden="1">{"'Feb 99'!$A$1:$G$30"}</definedName>
    <definedName name="_____________VAR1">#REF!</definedName>
    <definedName name="_____________VAR2">#REF!</definedName>
    <definedName name="_____________VAR3">#REF!</definedName>
    <definedName name="__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weg33" localSheetId="1">[17]!_xlbgnm.weg33</definedName>
    <definedName name="_____________weg33">[18]!_xlbgnm.weg33</definedName>
    <definedName name="__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YA1" localSheetId="1">#REF!</definedName>
    <definedName name="_____________YA1">#REF!</definedName>
    <definedName name="____________a21420" localSheetId="1">#REF!</definedName>
    <definedName name="____________a21420">#REF!</definedName>
    <definedName name="____________a21430" localSheetId="1">#REF!</definedName>
    <definedName name="____________a21430">#REF!</definedName>
    <definedName name="____________A222">#REF!</definedName>
    <definedName name="____________a22220">#REF!</definedName>
    <definedName name="____________a22241">#REF!</definedName>
    <definedName name="____________a22242">#REF!</definedName>
    <definedName name="____________a22260">#REF!</definedName>
    <definedName name="____________a22270">#REF!</definedName>
    <definedName name="____________a24385">#REF!</definedName>
    <definedName name="____________a24391">#REF!</definedName>
    <definedName name="____________a24392">#REF!</definedName>
    <definedName name="____________a24393">#REF!</definedName>
    <definedName name="____________a24394">#REF!</definedName>
    <definedName name="____________a27120">#REF!</definedName>
    <definedName name="____________a27150">#REF!</definedName>
    <definedName name="____________a32320">#REF!</definedName>
    <definedName name="____________a32730">#REF!</definedName>
    <definedName name="____________a33130">#REF!</definedName>
    <definedName name="____________a33140">#REF!</definedName>
    <definedName name="____________a33160">#REF!</definedName>
    <definedName name="____________a33170">#REF!</definedName>
    <definedName name="____________a33190">#REF!</definedName>
    <definedName name="____________a33210">#REF!</definedName>
    <definedName name="____________a33230">#REF!</definedName>
    <definedName name="____________a33240">#REF!</definedName>
    <definedName name="____________a34010">#REF!</definedName>
    <definedName name="____________a41230">#REF!</definedName>
    <definedName name="____________a41240">#REF!</definedName>
    <definedName name="____________a42781">#REF!</definedName>
    <definedName name="____________a42782">#REF!</definedName>
    <definedName name="____________a42783">#REF!</definedName>
    <definedName name="____________A43220">#REF!</definedName>
    <definedName name="____________a43230">#REF!</definedName>
    <definedName name="____________a43260">#REF!</definedName>
    <definedName name="____________a43270">#REF!</definedName>
    <definedName name="____________a43320">#REF!</definedName>
    <definedName name="____________a43330">#REF!</definedName>
    <definedName name="____________a43360">#REF!</definedName>
    <definedName name="____________a43370">#REF!</definedName>
    <definedName name="____________a43530">#REF!</definedName>
    <definedName name="____________a43540">#REF!</definedName>
    <definedName name="____________a43560">#REF!</definedName>
    <definedName name="____________a43570">#REF!</definedName>
    <definedName name="____________a43630">#REF!</definedName>
    <definedName name="____________a43640">#REF!</definedName>
    <definedName name="____________a43660">#REF!</definedName>
    <definedName name="____________a43670">#REF!</definedName>
    <definedName name="____________a43730">#REF!</definedName>
    <definedName name="____________a43750">#REF!</definedName>
    <definedName name="____________a43760">#REF!</definedName>
    <definedName name="____________a43770">#REF!</definedName>
    <definedName name="____________a43780">#REF!</definedName>
    <definedName name="____________a48610">#REF!</definedName>
    <definedName name="____________a48611">#REF!</definedName>
    <definedName name="____________a48620">#REF!</definedName>
    <definedName name="____________a48621">#REF!</definedName>
    <definedName name="____________a48781">#REF!</definedName>
    <definedName name="____________a48782">#REF!</definedName>
    <definedName name="____________a48783">#REF!</definedName>
    <definedName name="____________a48784">#REF!</definedName>
    <definedName name="____________a51530">#REF!</definedName>
    <definedName name="____________a51560">#REF!</definedName>
    <definedName name="____________a51620">#REF!</definedName>
    <definedName name="____________a52010">#REF!</definedName>
    <definedName name="____________a53110">#REF!</definedName>
    <definedName name="____________a61430">#REF!</definedName>
    <definedName name="____________a61470">#REF!</definedName>
    <definedName name="____________a61620">#REF!</definedName>
    <definedName name="____________a63110">#REF!</definedName>
    <definedName name="____________a73310">#REF!</definedName>
    <definedName name="____________a83175">#REF!</definedName>
    <definedName name="____________a85160">#REF!</definedName>
    <definedName name="____________a85250">#REF!</definedName>
    <definedName name="____________a85510">#REF!</definedName>
    <definedName name="____________a85520">#REF!</definedName>
    <definedName name="____________a85530">#REF!</definedName>
    <definedName name="____________a85540">#REF!</definedName>
    <definedName name="____________a85550">#REF!</definedName>
    <definedName name="____________a85570">#REF!</definedName>
    <definedName name="____________a85580">#REF!</definedName>
    <definedName name="____________a85590">#REF!</definedName>
    <definedName name="____________a85611">#REF!</definedName>
    <definedName name="____________a85621">#REF!</definedName>
    <definedName name="____________a90300">#REF!</definedName>
    <definedName name="____________a90400">#REF!</definedName>
    <definedName name="____________a90510">#REF!</definedName>
    <definedName name="____________a90520">#REF!</definedName>
    <definedName name="____________a90530">#REF!</definedName>
    <definedName name="____________a90540">#REF!</definedName>
    <definedName name="____________a90610">#REF!</definedName>
    <definedName name="____________a90620">#REF!</definedName>
    <definedName name="____________a90630">#REF!</definedName>
    <definedName name="____________a90640">#REF!</definedName>
    <definedName name="____________a90710">#REF!</definedName>
    <definedName name="____________a90720">#REF!</definedName>
    <definedName name="____________a90730">#REF!</definedName>
    <definedName name="____________a90740">#REF!</definedName>
    <definedName name="____________a90810">#REF!</definedName>
    <definedName name="____________a90820">#REF!</definedName>
    <definedName name="____________a90830">#REF!</definedName>
    <definedName name="____________a90840">#REF!</definedName>
    <definedName name="____________a90910">#REF!</definedName>
    <definedName name="____________a90920">#REF!</definedName>
    <definedName name="____________a90930">#REF!</definedName>
    <definedName name="____________a90940">#REF!</definedName>
    <definedName name="____________a90950">#REF!</definedName>
    <definedName name="____________a91310">#REF!</definedName>
    <definedName name="____________a91320">#REF!</definedName>
    <definedName name="____________a91330">#REF!</definedName>
    <definedName name="____________a91340">#REF!</definedName>
    <definedName name="____________a91350">#REF!</definedName>
    <definedName name="____________a91710">#REF!</definedName>
    <definedName name="____________a91720">#REF!</definedName>
    <definedName name="____________a91730">#REF!</definedName>
    <definedName name="____________a91740">#REF!</definedName>
    <definedName name="____________a93100">#REF!</definedName>
    <definedName name="____________a93200">#REF!</definedName>
    <definedName name="____________a99340">#REF!</definedName>
    <definedName name="____________a99350">#REF!</definedName>
    <definedName name="____________AA1">#REF!</definedName>
    <definedName name="____________ACT1">#REF!</definedName>
    <definedName name="____________ACT2">#REF!</definedName>
    <definedName name="____________ACT3">#REF!</definedName>
    <definedName name="____________ADJ1">#REF!</definedName>
    <definedName name="____________ADJ2">#REF!</definedName>
    <definedName name="____________AGM2" localSheetId="1" hidden="1">{#N/A,#N/A,TRUE,"M [OS-05]-00(1)"}</definedName>
    <definedName name="____________AGM2" hidden="1">{#N/A,#N/A,TRUE,"M [OS-05]-00(1)"}</definedName>
    <definedName name="____________aje1" localSheetId="1">#REF!</definedName>
    <definedName name="____________aje1">#REF!</definedName>
    <definedName name="____________arf2001" localSheetId="1">#REF!</definedName>
    <definedName name="____________arf2001">#REF!</definedName>
    <definedName name="_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b90710" localSheetId="1">#REF!</definedName>
    <definedName name="____________b90710">#REF!</definedName>
    <definedName name="____________b90720" localSheetId="1">#REF!</definedName>
    <definedName name="____________b90720">#REF!</definedName>
    <definedName name="____________b90730" localSheetId="1">#REF!</definedName>
    <definedName name="____________b90730">#REF!</definedName>
    <definedName name="____________b90740">#REF!</definedName>
    <definedName name="____________b95310">#REF!</definedName>
    <definedName name="____________b95320">#REF!</definedName>
    <definedName name="____________b95330">#REF!</definedName>
    <definedName name="____________b95340">#REF!</definedName>
    <definedName name="____________BA1">#REF!</definedName>
    <definedName name="____________BC1">#REF!</definedName>
    <definedName name="____________bc2">#REF!</definedName>
    <definedName name="____________CAP1">#REF!</definedName>
    <definedName name="____________cap2">#REF!</definedName>
    <definedName name="____________cap3">#REF!</definedName>
    <definedName name="____________cap4">#REF!</definedName>
    <definedName name="____________cap5">#REF!</definedName>
    <definedName name="____________cf2">#REF!</definedName>
    <definedName name="____________cf3">#REF!</definedName>
    <definedName name="____________COH1">#REF!</definedName>
    <definedName name="____________COH2">#REF!</definedName>
    <definedName name="____________COH3">#REF!</definedName>
    <definedName name="____________e1">#REF!</definedName>
    <definedName name="____________fsa1" localSheetId="1">[26]FSA!$B$1:$K$46</definedName>
    <definedName name="____________fsa1">[27]FSA!$B$1:$K$46</definedName>
    <definedName name="____________fsa2" localSheetId="1">[26]FSA!$A$47:$K$73</definedName>
    <definedName name="____________fsa2">[27]FSA!$A$47:$K$73</definedName>
    <definedName name="____________fsa3" localSheetId="1">[26]FSA!$A$74:$K$114</definedName>
    <definedName name="____________fsa3">[27]FSA!$A$74:$K$114</definedName>
    <definedName name="____________fsa4" localSheetId="1">[26]FSA!$A$116:$K$161</definedName>
    <definedName name="____________fsa4">[27]FSA!$A$116:$K$161</definedName>
    <definedName name="____________H3" localSheetId="1" hidden="1">{#N/A,#N/A,FALSE,"Sheet1"}</definedName>
    <definedName name="____________H3" hidden="1">{#N/A,#N/A,FALSE,"Sheet1"}</definedName>
    <definedName name="____________IA1" localSheetId="1">#REF!</definedName>
    <definedName name="____________IA1">#REF!</definedName>
    <definedName name="____________iw1" localSheetId="1">[5]FS!#REF!</definedName>
    <definedName name="____________iw1">[6]FS!#REF!</definedName>
    <definedName name="____________K1" localSheetId="1">#REF!</definedName>
    <definedName name="____________K1">#REF!</definedName>
    <definedName name="____________K2" localSheetId="1" hidden="1">#REF!</definedName>
    <definedName name="____________K2" hidden="1">#REF!</definedName>
    <definedName name="____________K4" localSheetId="1">#REF!</definedName>
    <definedName name="____________K4">#REF!</definedName>
    <definedName name="____________KA1" localSheetId="1" hidden="1">{#N/A,#N/A,FALSE,"Sheet1"}</definedName>
    <definedName name="____________KA1" hidden="1">{#N/A,#N/A,FALSE,"Sheet1"}</definedName>
    <definedName name="____________LD1">#N/A</definedName>
    <definedName name="____________LD2">#N/A</definedName>
    <definedName name="____________M1" localSheetId="1">'[7]FF-1'!#REF!</definedName>
    <definedName name="____________M1">'[8]FF-1'!#REF!</definedName>
    <definedName name="____________MAN1" localSheetId="1">#REF!</definedName>
    <definedName name="____________MAN1">#REF!</definedName>
    <definedName name="____________N1" localSheetId="1">#REF!</definedName>
    <definedName name="____________N1">#REF!</definedName>
    <definedName name="____________N2" localSheetId="1">'[28]CA Sheet'!$R$36</definedName>
    <definedName name="____________N2">'[29]CA Sheet'!$R$36</definedName>
    <definedName name="____________N4" localSheetId="1" hidden="1">{#N/A,#N/A,FALSE,"Sheet1"}</definedName>
    <definedName name="____________N4" hidden="1">{#N/A,#N/A,FALSE,"Sheet1"}</definedName>
    <definedName name="____________no1" localSheetId="1">[11]Info!#REF!</definedName>
    <definedName name="____________no1">[12]Info!#REF!</definedName>
    <definedName name="____________o2" localSheetId="1">#REF!</definedName>
    <definedName name="____________o2">#REF!</definedName>
    <definedName name="____________OCT334" localSheetId="1">'[30]FF-3'!$A$1:$IV$8</definedName>
    <definedName name="____________OCT334">'[31]FF-3'!$A$1:$IV$8</definedName>
    <definedName name="____________Pbs1" localSheetId="1">#REF!</definedName>
    <definedName name="____________Pbs1">#REF!</definedName>
    <definedName name="____________Pbs2" localSheetId="1">#REF!</definedName>
    <definedName name="____________Pbs2">#REF!</definedName>
    <definedName name="____________PG2">#N/A</definedName>
    <definedName name="____________Pnl10" localSheetId="1">'[13]Pnl-10'!$A$1:$I$31</definedName>
    <definedName name="____________Pnl10">'[14]Pnl-10'!$A$1:$I$31</definedName>
    <definedName name="____________Pnl20" localSheetId="1">'[13]20'!$A$1:$K$87</definedName>
    <definedName name="____________Pnl20">'[14]20'!$A$1:$K$87</definedName>
    <definedName name="____________Pnl30" localSheetId="1">'[13]30'!$A$1:$L$52</definedName>
    <definedName name="____________Pnl30">'[14]30'!$A$1:$L$52</definedName>
    <definedName name="____________Pnl70" localSheetId="1">'[13]70'!$A$1:$K$34</definedName>
    <definedName name="____________Pnl70">'[14]70'!$A$1:$K$34</definedName>
    <definedName name="____________Pyt98" localSheetId="1">#REF!</definedName>
    <definedName name="____________Pyt98">#REF!</definedName>
    <definedName name="____________qer13" localSheetId="1">#REF!</definedName>
    <definedName name="____________qer13">#REF!</definedName>
    <definedName name="_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SB1" localSheetId="1">[15]LOOSECHKLIST!$I$1069</definedName>
    <definedName name="____________SB1">[16]LOOSECHKLIST!$I$1069</definedName>
    <definedName name="____________SB2" localSheetId="1">[15]LOOSECHKLIST!$A$888:$IV$888</definedName>
    <definedName name="____________SB2">[16]LOOSECHKLIST!$A$888:$IV$888</definedName>
    <definedName name="____________SB3" localSheetId="1">[15]LOOSECHKLIST!$A$828:$IV$828</definedName>
    <definedName name="____________SB3">[16]LOOSECHKLIST!$A$828:$IV$828</definedName>
    <definedName name="____________SB4" localSheetId="1">[15]LOOSECHKLIST!$A$395:$IV$395</definedName>
    <definedName name="____________SB4">[16]LOOSECHKLIST!$A$395:$IV$395</definedName>
    <definedName name="_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tax2" localSheetId="1">#REF!</definedName>
    <definedName name="____________tax2">#REF!</definedName>
    <definedName name="____________tax3" localSheetId="1">#REF!</definedName>
    <definedName name="____________tax3">#REF!</definedName>
    <definedName name="____________top05" localSheetId="1">#REF!</definedName>
    <definedName name="____________top05">#REF!</definedName>
    <definedName name="____________TOP1">#REF!</definedName>
    <definedName name="____________TOP2">#REF!</definedName>
    <definedName name="_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UB1" localSheetId="1" hidden="1">{"'Feb 99'!$A$1:$G$30"}</definedName>
    <definedName name="____________UB1" hidden="1">{"'Feb 99'!$A$1:$G$30"}</definedName>
    <definedName name="____________UB2" localSheetId="1" hidden="1">{"'Feb 99'!$A$1:$G$30"}</definedName>
    <definedName name="____________UB2" hidden="1">{"'Feb 99'!$A$1:$G$30"}</definedName>
    <definedName name="____________VAR1">#REF!</definedName>
    <definedName name="____________VAR2">#REF!</definedName>
    <definedName name="____________VAR3">#REF!</definedName>
    <definedName name="_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weg33" localSheetId="1">[24]!_xlbgnm.weg33</definedName>
    <definedName name="____________weg33">[25]!_xlbgnm.weg33</definedName>
    <definedName name="_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YA1" localSheetId="1">#REF!</definedName>
    <definedName name="____________YA1">#REF!</definedName>
    <definedName name="___________a21420" localSheetId="1">#REF!</definedName>
    <definedName name="___________a21420">#REF!</definedName>
    <definedName name="___________a21430" localSheetId="1">#REF!</definedName>
    <definedName name="___________a21430">#REF!</definedName>
    <definedName name="___________A222">#REF!</definedName>
    <definedName name="___________a22220">#REF!</definedName>
    <definedName name="___________a22241">#REF!</definedName>
    <definedName name="___________a22242">#REF!</definedName>
    <definedName name="___________a22260">#REF!</definedName>
    <definedName name="___________a22270">#REF!</definedName>
    <definedName name="___________a24385">#REF!</definedName>
    <definedName name="___________a24391">#REF!</definedName>
    <definedName name="___________a24392">#REF!</definedName>
    <definedName name="___________a24393">#REF!</definedName>
    <definedName name="___________a24394">#REF!</definedName>
    <definedName name="___________a27120">#REF!</definedName>
    <definedName name="___________a27150">#REF!</definedName>
    <definedName name="___________a32320">#REF!</definedName>
    <definedName name="___________a32730">#REF!</definedName>
    <definedName name="___________a33130">#REF!</definedName>
    <definedName name="___________a33140">#REF!</definedName>
    <definedName name="___________a33160">#REF!</definedName>
    <definedName name="___________a33170">#REF!</definedName>
    <definedName name="___________a33190">#REF!</definedName>
    <definedName name="___________a33210">#REF!</definedName>
    <definedName name="___________a33230">#REF!</definedName>
    <definedName name="___________a33240">#REF!</definedName>
    <definedName name="___________a34010">#REF!</definedName>
    <definedName name="___________a41230">#REF!</definedName>
    <definedName name="___________a41240">#REF!</definedName>
    <definedName name="___________a42781">#REF!</definedName>
    <definedName name="___________a42782">#REF!</definedName>
    <definedName name="___________a42783">#REF!</definedName>
    <definedName name="___________A43220">#REF!</definedName>
    <definedName name="___________a43230">#REF!</definedName>
    <definedName name="___________a43260">#REF!</definedName>
    <definedName name="___________a43270">#REF!</definedName>
    <definedName name="___________a43320">#REF!</definedName>
    <definedName name="___________a43330">#REF!</definedName>
    <definedName name="___________a43360">#REF!</definedName>
    <definedName name="___________a43370">#REF!</definedName>
    <definedName name="___________a43530">#REF!</definedName>
    <definedName name="___________a43540">#REF!</definedName>
    <definedName name="___________a43560">#REF!</definedName>
    <definedName name="___________a43570">#REF!</definedName>
    <definedName name="___________a43630">#REF!</definedName>
    <definedName name="___________a43640">#REF!</definedName>
    <definedName name="___________a43660">#REF!</definedName>
    <definedName name="___________a43670">#REF!</definedName>
    <definedName name="___________a43730">#REF!</definedName>
    <definedName name="___________a43750">#REF!</definedName>
    <definedName name="___________a43760">#REF!</definedName>
    <definedName name="___________a43770">#REF!</definedName>
    <definedName name="___________a43780">#REF!</definedName>
    <definedName name="___________a48610">#REF!</definedName>
    <definedName name="___________a48611">#REF!</definedName>
    <definedName name="___________a48620">#REF!</definedName>
    <definedName name="___________a48621">#REF!</definedName>
    <definedName name="___________a48781">#REF!</definedName>
    <definedName name="___________a48782">#REF!</definedName>
    <definedName name="___________a48783">#REF!</definedName>
    <definedName name="___________a48784">#REF!</definedName>
    <definedName name="___________a51530">#REF!</definedName>
    <definedName name="___________a51560">#REF!</definedName>
    <definedName name="___________a51620">#REF!</definedName>
    <definedName name="___________a52010">#REF!</definedName>
    <definedName name="___________a53110">#REF!</definedName>
    <definedName name="___________a61430">#REF!</definedName>
    <definedName name="___________a61470">#REF!</definedName>
    <definedName name="___________a61620">#REF!</definedName>
    <definedName name="___________a63110">#REF!</definedName>
    <definedName name="___________a73310">#REF!</definedName>
    <definedName name="___________a83175">#REF!</definedName>
    <definedName name="___________a85160">#REF!</definedName>
    <definedName name="___________a85250">#REF!</definedName>
    <definedName name="___________a85510">#REF!</definedName>
    <definedName name="___________a85520">#REF!</definedName>
    <definedName name="___________a85530">#REF!</definedName>
    <definedName name="___________a85540">#REF!</definedName>
    <definedName name="___________a85550">#REF!</definedName>
    <definedName name="___________a85570">#REF!</definedName>
    <definedName name="___________a85580">#REF!</definedName>
    <definedName name="___________a85590">#REF!</definedName>
    <definedName name="___________a85611">#REF!</definedName>
    <definedName name="___________a85621">#REF!</definedName>
    <definedName name="___________a90300">#REF!</definedName>
    <definedName name="___________a90400">#REF!</definedName>
    <definedName name="___________a90510">#REF!</definedName>
    <definedName name="___________a90520">#REF!</definedName>
    <definedName name="___________a90530">#REF!</definedName>
    <definedName name="___________a90540">#REF!</definedName>
    <definedName name="___________a90610">#REF!</definedName>
    <definedName name="___________a90620">#REF!</definedName>
    <definedName name="___________a90630">#REF!</definedName>
    <definedName name="___________a90640">#REF!</definedName>
    <definedName name="___________a90710">#REF!</definedName>
    <definedName name="___________a90720">#REF!</definedName>
    <definedName name="___________a90730">#REF!</definedName>
    <definedName name="___________a90740">#REF!</definedName>
    <definedName name="___________a90810">#REF!</definedName>
    <definedName name="___________a90820">#REF!</definedName>
    <definedName name="___________a90830">#REF!</definedName>
    <definedName name="___________a90840">#REF!</definedName>
    <definedName name="___________a90910">#REF!</definedName>
    <definedName name="___________a90920">#REF!</definedName>
    <definedName name="___________a90930">#REF!</definedName>
    <definedName name="___________a90940">#REF!</definedName>
    <definedName name="___________a90950">#REF!</definedName>
    <definedName name="___________a91310">#REF!</definedName>
    <definedName name="___________a91320">#REF!</definedName>
    <definedName name="___________a91330">#REF!</definedName>
    <definedName name="___________a91340">#REF!</definedName>
    <definedName name="___________a91350">#REF!</definedName>
    <definedName name="___________a91710">#REF!</definedName>
    <definedName name="___________a91720">#REF!</definedName>
    <definedName name="___________a91730">#REF!</definedName>
    <definedName name="___________a91740">#REF!</definedName>
    <definedName name="___________a93100">#REF!</definedName>
    <definedName name="___________a93200">#REF!</definedName>
    <definedName name="___________a99340">#REF!</definedName>
    <definedName name="___________a99350">#REF!</definedName>
    <definedName name="___________AA1">#REF!</definedName>
    <definedName name="___________ACT1">#REF!</definedName>
    <definedName name="___________ACT2">#REF!</definedName>
    <definedName name="___________ACT3">#REF!</definedName>
    <definedName name="___________ADJ1">#REF!</definedName>
    <definedName name="___________ADJ2">#REF!</definedName>
    <definedName name="___________AGM2" localSheetId="1" hidden="1">{#N/A,#N/A,TRUE,"M [OS-05]-00(1)"}</definedName>
    <definedName name="___________AGM2" hidden="1">{#N/A,#N/A,TRUE,"M [OS-05]-00(1)"}</definedName>
    <definedName name="___________aje1" localSheetId="1">#REF!</definedName>
    <definedName name="___________aje1">#REF!</definedName>
    <definedName name="___________arf2001" localSheetId="1">#REF!</definedName>
    <definedName name="___________arf2001">#REF!</definedName>
    <definedName name="_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b90710" localSheetId="1">#REF!</definedName>
    <definedName name="___________b90710">#REF!</definedName>
    <definedName name="___________b90720" localSheetId="1">#REF!</definedName>
    <definedName name="___________b90720">#REF!</definedName>
    <definedName name="___________b90730" localSheetId="1">#REF!</definedName>
    <definedName name="___________b90730">#REF!</definedName>
    <definedName name="___________b90740">#REF!</definedName>
    <definedName name="___________b95310">#REF!</definedName>
    <definedName name="___________b95320">#REF!</definedName>
    <definedName name="___________b95330">#REF!</definedName>
    <definedName name="___________b95340">#REF!</definedName>
    <definedName name="___________BA1">#REF!</definedName>
    <definedName name="___________BC1">#REF!</definedName>
    <definedName name="___________bc2">#REF!</definedName>
    <definedName name="___________CAP1">#REF!</definedName>
    <definedName name="___________cap2">#REF!</definedName>
    <definedName name="___________cap3">#REF!</definedName>
    <definedName name="___________cap4">#REF!</definedName>
    <definedName name="___________cap5">#REF!</definedName>
    <definedName name="___________cf2">#REF!</definedName>
    <definedName name="___________cf3">#REF!</definedName>
    <definedName name="___________COH1">#REF!</definedName>
    <definedName name="___________COH2">#REF!</definedName>
    <definedName name="___________COH3">#REF!</definedName>
    <definedName name="___________e1">#REF!</definedName>
    <definedName name="___________fsa1" localSheetId="1">[26]FSA!$B$1:$K$46</definedName>
    <definedName name="___________fsa1">[27]FSA!$B$1:$K$46</definedName>
    <definedName name="___________fsa2" localSheetId="1">[26]FSA!$A$47:$K$73</definedName>
    <definedName name="___________fsa2">[27]FSA!$A$47:$K$73</definedName>
    <definedName name="___________fsa3" localSheetId="1">[26]FSA!$A$74:$K$114</definedName>
    <definedName name="___________fsa3">[27]FSA!$A$74:$K$114</definedName>
    <definedName name="___________fsa4" localSheetId="1">[26]FSA!$A$116:$K$161</definedName>
    <definedName name="___________fsa4">[27]FSA!$A$116:$K$161</definedName>
    <definedName name="___________H3" localSheetId="1" hidden="1">{#N/A,#N/A,FALSE,"Sheet1"}</definedName>
    <definedName name="___________H3" hidden="1">{#N/A,#N/A,FALSE,"Sheet1"}</definedName>
    <definedName name="___________IA1" localSheetId="1">#REF!</definedName>
    <definedName name="___________IA1">#REF!</definedName>
    <definedName name="___________iw1" localSheetId="1">[21]FS!#REF!</definedName>
    <definedName name="___________iw1">[22]FS!#REF!</definedName>
    <definedName name="___________K1" localSheetId="1">#REF!</definedName>
    <definedName name="___________K1">#REF!</definedName>
    <definedName name="___________K2" localSheetId="1" hidden="1">#REF!</definedName>
    <definedName name="___________K2" hidden="1">#REF!</definedName>
    <definedName name="___________K4" localSheetId="1">#REF!</definedName>
    <definedName name="___________K4">#REF!</definedName>
    <definedName name="___________KA1" localSheetId="1" hidden="1">{#N/A,#N/A,FALSE,"Sheet1"}</definedName>
    <definedName name="___________KA1" hidden="1">{#N/A,#N/A,FALSE,"Sheet1"}</definedName>
    <definedName name="___________LD1">#N/A</definedName>
    <definedName name="___________LD2">#N/A</definedName>
    <definedName name="___________M1">'[23]FF-1'!#REF!</definedName>
    <definedName name="___________MAN1" localSheetId="1">#REF!</definedName>
    <definedName name="___________MAN1">#REF!</definedName>
    <definedName name="___________N1" localSheetId="1">#REF!</definedName>
    <definedName name="___________N1">#REF!</definedName>
    <definedName name="___________N2" localSheetId="1">'[28]CA Sheet'!$R$36</definedName>
    <definedName name="___________N2">'[29]CA Sheet'!$R$36</definedName>
    <definedName name="___________N4" localSheetId="1" hidden="1">{#N/A,#N/A,FALSE,"Sheet1"}</definedName>
    <definedName name="___________N4" hidden="1">{#N/A,#N/A,FALSE,"Sheet1"}</definedName>
    <definedName name="___________no1" localSheetId="1">[11]Info!#REF!</definedName>
    <definedName name="___________no1">[12]Info!#REF!</definedName>
    <definedName name="___________o2" localSheetId="1">#REF!</definedName>
    <definedName name="___________o2">#REF!</definedName>
    <definedName name="___________OCT334" localSheetId="1">'[30]FF-3'!$A$1:$IV$8</definedName>
    <definedName name="___________OCT334">'[31]FF-3'!$A$1:$IV$8</definedName>
    <definedName name="___________Pbs1" localSheetId="1">#REF!</definedName>
    <definedName name="___________Pbs1">#REF!</definedName>
    <definedName name="___________Pbs2" localSheetId="1">#REF!</definedName>
    <definedName name="___________Pbs2">#REF!</definedName>
    <definedName name="___________PG2">#N/A</definedName>
    <definedName name="___________Pnl10" localSheetId="1">'[13]Pnl-10'!$A$1:$I$31</definedName>
    <definedName name="___________Pnl10">'[14]Pnl-10'!$A$1:$I$31</definedName>
    <definedName name="___________Pnl20" localSheetId="1">'[13]20'!$A$1:$K$87</definedName>
    <definedName name="___________Pnl20">'[14]20'!$A$1:$K$87</definedName>
    <definedName name="___________Pnl30" localSheetId="1">'[13]30'!$A$1:$L$52</definedName>
    <definedName name="___________Pnl30">'[14]30'!$A$1:$L$52</definedName>
    <definedName name="___________Pnl70" localSheetId="1">'[13]70'!$A$1:$K$34</definedName>
    <definedName name="___________Pnl70">'[14]70'!$A$1:$K$34</definedName>
    <definedName name="___________Pyt98" localSheetId="1">#REF!</definedName>
    <definedName name="___________Pyt98">#REF!</definedName>
    <definedName name="___________qer13" localSheetId="1">#REF!</definedName>
    <definedName name="___________qer13">#REF!</definedName>
    <definedName name="_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SB1" localSheetId="1">[15]LOOSECHKLIST!$I$1069</definedName>
    <definedName name="___________SB1">[16]LOOSECHKLIST!$I$1069</definedName>
    <definedName name="___________SB2" localSheetId="1">[15]LOOSECHKLIST!$A$888:$IV$888</definedName>
    <definedName name="___________SB2">[16]LOOSECHKLIST!$A$888:$IV$888</definedName>
    <definedName name="___________SB3" localSheetId="1">[15]LOOSECHKLIST!$A$828:$IV$828</definedName>
    <definedName name="___________SB3">[16]LOOSECHKLIST!$A$828:$IV$828</definedName>
    <definedName name="___________SB4" localSheetId="1">[15]LOOSECHKLIST!$A$395:$IV$395</definedName>
    <definedName name="___________SB4">[16]LOOSECHKLIST!$A$395:$IV$395</definedName>
    <definedName name="_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tax2" localSheetId="1">#REF!</definedName>
    <definedName name="___________tax2">#REF!</definedName>
    <definedName name="___________tax3" localSheetId="1">#REF!</definedName>
    <definedName name="___________tax3">#REF!</definedName>
    <definedName name="___________top05" localSheetId="1">#REF!</definedName>
    <definedName name="___________top05">#REF!</definedName>
    <definedName name="___________TOP1">#REF!</definedName>
    <definedName name="___________TOP2">#REF!</definedName>
    <definedName name="_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UB1" localSheetId="1" hidden="1">{"'Feb 99'!$A$1:$G$30"}</definedName>
    <definedName name="___________UB1" hidden="1">{"'Feb 99'!$A$1:$G$30"}</definedName>
    <definedName name="___________UB2" localSheetId="1" hidden="1">{"'Feb 99'!$A$1:$G$30"}</definedName>
    <definedName name="___________UB2" hidden="1">{"'Feb 99'!$A$1:$G$30"}</definedName>
    <definedName name="___________VAR1">#REF!</definedName>
    <definedName name="___________VAR2">#REF!</definedName>
    <definedName name="___________VAR3">#REF!</definedName>
    <definedName name="_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weg33" localSheetId="1">[24]!_xlbgnm.weg33</definedName>
    <definedName name="___________weg33">[25]!_xlbgnm.weg33</definedName>
    <definedName name="_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YA1" localSheetId="1">#REF!</definedName>
    <definedName name="___________YA1">#REF!</definedName>
    <definedName name="__________a21420" localSheetId="1">#REF!</definedName>
    <definedName name="__________a21420">#REF!</definedName>
    <definedName name="__________a21430" localSheetId="1">#REF!</definedName>
    <definedName name="__________a21430">#REF!</definedName>
    <definedName name="__________A222">#REF!</definedName>
    <definedName name="__________a22220">#REF!</definedName>
    <definedName name="__________a22241">#REF!</definedName>
    <definedName name="__________a22242">#REF!</definedName>
    <definedName name="__________a22260">#REF!</definedName>
    <definedName name="__________a22270">#REF!</definedName>
    <definedName name="__________a24385">#REF!</definedName>
    <definedName name="__________a24391">#REF!</definedName>
    <definedName name="__________a24392">#REF!</definedName>
    <definedName name="__________a24393">#REF!</definedName>
    <definedName name="__________a24394">#REF!</definedName>
    <definedName name="__________a27120">#REF!</definedName>
    <definedName name="__________a27150">#REF!</definedName>
    <definedName name="__________a32320">#REF!</definedName>
    <definedName name="__________a32730">#REF!</definedName>
    <definedName name="__________a33130">#REF!</definedName>
    <definedName name="__________a33140">#REF!</definedName>
    <definedName name="__________a33160">#REF!</definedName>
    <definedName name="__________a33170">#REF!</definedName>
    <definedName name="__________a33190">#REF!</definedName>
    <definedName name="__________a33210">#REF!</definedName>
    <definedName name="__________a33230">#REF!</definedName>
    <definedName name="__________a33240">#REF!</definedName>
    <definedName name="__________a34010">#REF!</definedName>
    <definedName name="__________a41230">#REF!</definedName>
    <definedName name="__________a41240">#REF!</definedName>
    <definedName name="__________a42781">#REF!</definedName>
    <definedName name="__________a42782">#REF!</definedName>
    <definedName name="__________a42783">#REF!</definedName>
    <definedName name="__________A43220">#REF!</definedName>
    <definedName name="__________a43230">#REF!</definedName>
    <definedName name="__________a43260">#REF!</definedName>
    <definedName name="__________a43270">#REF!</definedName>
    <definedName name="__________a43320">#REF!</definedName>
    <definedName name="__________a43330">#REF!</definedName>
    <definedName name="__________a43360">#REF!</definedName>
    <definedName name="__________a43370">#REF!</definedName>
    <definedName name="__________a43530">#REF!</definedName>
    <definedName name="__________a43540">#REF!</definedName>
    <definedName name="__________a43560">#REF!</definedName>
    <definedName name="__________a43570">#REF!</definedName>
    <definedName name="__________a43630">#REF!</definedName>
    <definedName name="__________a43640">#REF!</definedName>
    <definedName name="__________a43660">#REF!</definedName>
    <definedName name="__________a43670">#REF!</definedName>
    <definedName name="__________a43730">#REF!</definedName>
    <definedName name="__________a43750">#REF!</definedName>
    <definedName name="__________a43760">#REF!</definedName>
    <definedName name="__________a43770">#REF!</definedName>
    <definedName name="__________a43780">#REF!</definedName>
    <definedName name="__________a48610">#REF!</definedName>
    <definedName name="__________a48611">#REF!</definedName>
    <definedName name="__________a48620">#REF!</definedName>
    <definedName name="__________a48621">#REF!</definedName>
    <definedName name="__________a48781">#REF!</definedName>
    <definedName name="__________a48782">#REF!</definedName>
    <definedName name="__________a48783">#REF!</definedName>
    <definedName name="__________a48784">#REF!</definedName>
    <definedName name="__________a51530">#REF!</definedName>
    <definedName name="__________a51560">#REF!</definedName>
    <definedName name="__________a51620">#REF!</definedName>
    <definedName name="__________a52010">#REF!</definedName>
    <definedName name="__________a53110">#REF!</definedName>
    <definedName name="__________a61430">#REF!</definedName>
    <definedName name="__________a61470">#REF!</definedName>
    <definedName name="__________a61620">#REF!</definedName>
    <definedName name="__________a63110">#REF!</definedName>
    <definedName name="__________a73310">#REF!</definedName>
    <definedName name="__________a83175">#REF!</definedName>
    <definedName name="__________a85160">#REF!</definedName>
    <definedName name="__________a85250">#REF!</definedName>
    <definedName name="__________a85510">#REF!</definedName>
    <definedName name="__________a85520">#REF!</definedName>
    <definedName name="__________a85530">#REF!</definedName>
    <definedName name="__________a85540">#REF!</definedName>
    <definedName name="__________a85550">#REF!</definedName>
    <definedName name="__________a85570">#REF!</definedName>
    <definedName name="__________a85580">#REF!</definedName>
    <definedName name="__________a85590">#REF!</definedName>
    <definedName name="__________a85611">#REF!</definedName>
    <definedName name="__________a85621">#REF!</definedName>
    <definedName name="__________a90300">#REF!</definedName>
    <definedName name="__________a90400">#REF!</definedName>
    <definedName name="__________a90510">#REF!</definedName>
    <definedName name="__________a90520">#REF!</definedName>
    <definedName name="__________a90530">#REF!</definedName>
    <definedName name="__________a90540">#REF!</definedName>
    <definedName name="__________a90610">#REF!</definedName>
    <definedName name="__________a90620">#REF!</definedName>
    <definedName name="__________a90630">#REF!</definedName>
    <definedName name="__________a90640">#REF!</definedName>
    <definedName name="__________a90710">#REF!</definedName>
    <definedName name="__________a90720">#REF!</definedName>
    <definedName name="__________a90730">#REF!</definedName>
    <definedName name="__________a90740">#REF!</definedName>
    <definedName name="__________a90810">#REF!</definedName>
    <definedName name="__________a90820">#REF!</definedName>
    <definedName name="__________a90830">#REF!</definedName>
    <definedName name="__________a90840">#REF!</definedName>
    <definedName name="__________a90910">#REF!</definedName>
    <definedName name="__________a90920">#REF!</definedName>
    <definedName name="__________a90930">#REF!</definedName>
    <definedName name="__________a90940">#REF!</definedName>
    <definedName name="__________a90950">#REF!</definedName>
    <definedName name="__________a91310">#REF!</definedName>
    <definedName name="__________a91320">#REF!</definedName>
    <definedName name="__________a91330">#REF!</definedName>
    <definedName name="__________a91340">#REF!</definedName>
    <definedName name="__________a91350">#REF!</definedName>
    <definedName name="__________a91710">#REF!</definedName>
    <definedName name="__________a91720">#REF!</definedName>
    <definedName name="__________a91730">#REF!</definedName>
    <definedName name="__________a91740">#REF!</definedName>
    <definedName name="__________a93100">#REF!</definedName>
    <definedName name="__________a93200">#REF!</definedName>
    <definedName name="__________a99340">#REF!</definedName>
    <definedName name="__________a99350">#REF!</definedName>
    <definedName name="__________AA1">#REF!</definedName>
    <definedName name="__________ACT1">#REF!</definedName>
    <definedName name="__________ACT2">#REF!</definedName>
    <definedName name="__________ACT3">#REF!</definedName>
    <definedName name="__________ADJ1">#REF!</definedName>
    <definedName name="__________ADJ2">#REF!</definedName>
    <definedName name="__________AGM2" localSheetId="1" hidden="1">{#N/A,#N/A,TRUE,"M [OS-05]-00(1)"}</definedName>
    <definedName name="__________AGM2" hidden="1">{#N/A,#N/A,TRUE,"M [OS-05]-00(1)"}</definedName>
    <definedName name="__________aje1" localSheetId="1">#REF!</definedName>
    <definedName name="__________aje1">#REF!</definedName>
    <definedName name="__________arf2001" localSheetId="1">#REF!</definedName>
    <definedName name="__________arf2001">#REF!</definedName>
    <definedName name="_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b90710" localSheetId="1">#REF!</definedName>
    <definedName name="__________b90710">#REF!</definedName>
    <definedName name="__________b90720" localSheetId="1">#REF!</definedName>
    <definedName name="__________b90720">#REF!</definedName>
    <definedName name="__________b90730" localSheetId="1">#REF!</definedName>
    <definedName name="__________b90730">#REF!</definedName>
    <definedName name="__________b90740">#REF!</definedName>
    <definedName name="__________b95310">#REF!</definedName>
    <definedName name="__________b95320">#REF!</definedName>
    <definedName name="__________b95330">#REF!</definedName>
    <definedName name="__________b95340">#REF!</definedName>
    <definedName name="__________BA1">#REF!</definedName>
    <definedName name="__________BC1">#REF!</definedName>
    <definedName name="__________bc2">#REF!</definedName>
    <definedName name="__________CAP1">#REF!</definedName>
    <definedName name="__________cap2">#REF!</definedName>
    <definedName name="__________cap3">#REF!</definedName>
    <definedName name="__________cap4">#REF!</definedName>
    <definedName name="__________cap5">#REF!</definedName>
    <definedName name="__________cf2">#REF!</definedName>
    <definedName name="__________cf3">#REF!</definedName>
    <definedName name="__________COH1">#REF!</definedName>
    <definedName name="__________COH2">#REF!</definedName>
    <definedName name="__________COH3">#REF!</definedName>
    <definedName name="__________e1">#REF!</definedName>
    <definedName name="__________fsa1" localSheetId="1">[32]FSA!$B$1:$K$46</definedName>
    <definedName name="__________fsa1">[33]FSA!$B$1:$K$46</definedName>
    <definedName name="__________fsa2" localSheetId="1">[32]FSA!$A$47:$K$73</definedName>
    <definedName name="__________fsa2">[33]FSA!$A$47:$K$73</definedName>
    <definedName name="__________fsa3" localSheetId="1">[32]FSA!$A$74:$K$114</definedName>
    <definedName name="__________fsa3">[33]FSA!$A$74:$K$114</definedName>
    <definedName name="__________fsa4" localSheetId="1">[32]FSA!$A$116:$K$161</definedName>
    <definedName name="__________fsa4">[33]FSA!$A$116:$K$161</definedName>
    <definedName name="__________H3" localSheetId="1" hidden="1">{#N/A,#N/A,FALSE,"Sheet1"}</definedName>
    <definedName name="__________H3" hidden="1">{#N/A,#N/A,FALSE,"Sheet1"}</definedName>
    <definedName name="__________IA1" localSheetId="1">#REF!</definedName>
    <definedName name="__________IA1">#REF!</definedName>
    <definedName name="__________iw1" localSheetId="1">[34]FS!#REF!</definedName>
    <definedName name="__________iw1">[35]FS!#REF!</definedName>
    <definedName name="__________K1" localSheetId="1">#REF!</definedName>
    <definedName name="__________K1">#REF!</definedName>
    <definedName name="__________K2" localSheetId="1" hidden="1">#REF!</definedName>
    <definedName name="__________K2" hidden="1">#REF!</definedName>
    <definedName name="__________K4" localSheetId="1">#REF!</definedName>
    <definedName name="__________K4">#REF!</definedName>
    <definedName name="__________KA1" localSheetId="1" hidden="1">{#N/A,#N/A,FALSE,"Sheet1"}</definedName>
    <definedName name="__________KA1" hidden="1">{#N/A,#N/A,FALSE,"Sheet1"}</definedName>
    <definedName name="__________LD1">#N/A</definedName>
    <definedName name="__________LD2">#N/A</definedName>
    <definedName name="__________M1" localSheetId="1">'[36]FF-1'!#REF!</definedName>
    <definedName name="__________M1">'[37]FF-1'!#REF!</definedName>
    <definedName name="__________MAN1" localSheetId="1">#REF!</definedName>
    <definedName name="__________MAN1">#REF!</definedName>
    <definedName name="__________N1" localSheetId="1">#REF!</definedName>
    <definedName name="__________N1">#REF!</definedName>
    <definedName name="__________N2" localSheetId="1">'[38]CA Sheet'!$R$36</definedName>
    <definedName name="__________N2">'[39]CA Sheet'!$R$36</definedName>
    <definedName name="__________N4" localSheetId="1" hidden="1">{#N/A,#N/A,FALSE,"Sheet1"}</definedName>
    <definedName name="__________N4" hidden="1">{#N/A,#N/A,FALSE,"Sheet1"}</definedName>
    <definedName name="__________no1" localSheetId="1">[11]Info!#REF!</definedName>
    <definedName name="__________no1">[12]Info!#REF!</definedName>
    <definedName name="__________o2" localSheetId="1">#REF!</definedName>
    <definedName name="__________o2">#REF!</definedName>
    <definedName name="__________OCT334" localSheetId="1">'[30]FF-3'!$A$1:$IV$8</definedName>
    <definedName name="__________OCT334">'[31]FF-3'!$A$1:$IV$8</definedName>
    <definedName name="__________Pbs1" localSheetId="1">#REF!</definedName>
    <definedName name="__________Pbs1">#REF!</definedName>
    <definedName name="__________Pbs2" localSheetId="1">#REF!</definedName>
    <definedName name="__________Pbs2">#REF!</definedName>
    <definedName name="__________PG2">#N/A</definedName>
    <definedName name="__________Pnl10" localSheetId="1">'[13]Pnl-10'!$A$1:$I$31</definedName>
    <definedName name="__________Pnl10">'[14]Pnl-10'!$A$1:$I$31</definedName>
    <definedName name="__________Pnl20" localSheetId="1">'[13]20'!$A$1:$K$87</definedName>
    <definedName name="__________Pnl20">'[14]20'!$A$1:$K$87</definedName>
    <definedName name="__________Pnl30" localSheetId="1">'[13]30'!$A$1:$L$52</definedName>
    <definedName name="__________Pnl30">'[14]30'!$A$1:$L$52</definedName>
    <definedName name="__________Pnl70" localSheetId="1">'[13]70'!$A$1:$K$34</definedName>
    <definedName name="__________Pnl70">'[14]70'!$A$1:$K$34</definedName>
    <definedName name="__________Pyt98" localSheetId="1">#REF!</definedName>
    <definedName name="__________Pyt98">#REF!</definedName>
    <definedName name="__________qer13" localSheetId="1">#REF!</definedName>
    <definedName name="__________qer13">#REF!</definedName>
    <definedName name="_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SB1" localSheetId="1">[15]LOOSECHKLIST!$I$1069</definedName>
    <definedName name="__________SB1">[16]LOOSECHKLIST!$I$1069</definedName>
    <definedName name="__________SB2" localSheetId="1">[15]LOOSECHKLIST!$A$888:$IV$888</definedName>
    <definedName name="__________SB2">[16]LOOSECHKLIST!$A$888:$IV$888</definedName>
    <definedName name="__________SB3" localSheetId="1">[15]LOOSECHKLIST!$A$828:$IV$828</definedName>
    <definedName name="__________SB3">[16]LOOSECHKLIST!$A$828:$IV$828</definedName>
    <definedName name="__________SB4" localSheetId="1">[15]LOOSECHKLIST!$A$395:$IV$395</definedName>
    <definedName name="__________SB4">[16]LOOSECHKLIST!$A$395:$IV$395</definedName>
    <definedName name="_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tax2" localSheetId="1">#REF!</definedName>
    <definedName name="__________tax2">#REF!</definedName>
    <definedName name="__________tax3" localSheetId="1">#REF!</definedName>
    <definedName name="__________tax3">#REF!</definedName>
    <definedName name="__________top05" localSheetId="1">#REF!</definedName>
    <definedName name="__________top05">#REF!</definedName>
    <definedName name="__________TOP1">#REF!</definedName>
    <definedName name="__________TOP2">#REF!</definedName>
    <definedName name="_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UB1" localSheetId="1" hidden="1">{"'Feb 99'!$A$1:$G$30"}</definedName>
    <definedName name="__________UB1" hidden="1">{"'Feb 99'!$A$1:$G$30"}</definedName>
    <definedName name="__________UB2" localSheetId="1" hidden="1">{"'Feb 99'!$A$1:$G$30"}</definedName>
    <definedName name="__________UB2" hidden="1">{"'Feb 99'!$A$1:$G$30"}</definedName>
    <definedName name="__________VAR1">#REF!</definedName>
    <definedName name="__________VAR2">#REF!</definedName>
    <definedName name="__________VAR3">#REF!</definedName>
    <definedName name="_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YA1" localSheetId="1">#REF!</definedName>
    <definedName name="__________YA1">#REF!</definedName>
    <definedName name="_________a21420" localSheetId="1">#REF!</definedName>
    <definedName name="_________a21420">#REF!</definedName>
    <definedName name="_________a21430" localSheetId="1">#REF!</definedName>
    <definedName name="_________a21430">#REF!</definedName>
    <definedName name="_________A222">#REF!</definedName>
    <definedName name="_________a22220">#REF!</definedName>
    <definedName name="_________a22241">#REF!</definedName>
    <definedName name="_________a22242">#REF!</definedName>
    <definedName name="_________a22260">#REF!</definedName>
    <definedName name="_________a22270">#REF!</definedName>
    <definedName name="_________a24385">#REF!</definedName>
    <definedName name="_________a24391">#REF!</definedName>
    <definedName name="_________a24392">#REF!</definedName>
    <definedName name="_________a24393">#REF!</definedName>
    <definedName name="_________a24394">#REF!</definedName>
    <definedName name="_________a27120">#REF!</definedName>
    <definedName name="_________a27150">#REF!</definedName>
    <definedName name="_________a32320">#REF!</definedName>
    <definedName name="_________a32730">#REF!</definedName>
    <definedName name="_________a33130">#REF!</definedName>
    <definedName name="_________a33140">#REF!</definedName>
    <definedName name="_________a33160">#REF!</definedName>
    <definedName name="_________a33170">#REF!</definedName>
    <definedName name="_________a33190">#REF!</definedName>
    <definedName name="_________a33210">#REF!</definedName>
    <definedName name="_________a33230">#REF!</definedName>
    <definedName name="_________a33240">#REF!</definedName>
    <definedName name="_________a34010">#REF!</definedName>
    <definedName name="_________a41230">#REF!</definedName>
    <definedName name="_________a41240">#REF!</definedName>
    <definedName name="_________a42781">#REF!</definedName>
    <definedName name="_________a42782">#REF!</definedName>
    <definedName name="_________a42783">#REF!</definedName>
    <definedName name="_________A43220">#REF!</definedName>
    <definedName name="_________a43230">#REF!</definedName>
    <definedName name="_________a43260">#REF!</definedName>
    <definedName name="_________a43270">#REF!</definedName>
    <definedName name="_________a43320">#REF!</definedName>
    <definedName name="_________a43330">#REF!</definedName>
    <definedName name="_________a43360">#REF!</definedName>
    <definedName name="_________a43370">#REF!</definedName>
    <definedName name="_________a43530">#REF!</definedName>
    <definedName name="_________a43540">#REF!</definedName>
    <definedName name="_________a43560">#REF!</definedName>
    <definedName name="_________a43570">#REF!</definedName>
    <definedName name="_________a43630">#REF!</definedName>
    <definedName name="_________a43640">#REF!</definedName>
    <definedName name="_________a43660">#REF!</definedName>
    <definedName name="_________a43670">#REF!</definedName>
    <definedName name="_________a43730">#REF!</definedName>
    <definedName name="_________a43750">#REF!</definedName>
    <definedName name="_________a43760">#REF!</definedName>
    <definedName name="_________a43770">#REF!</definedName>
    <definedName name="_________a43780">#REF!</definedName>
    <definedName name="_________a48610">#REF!</definedName>
    <definedName name="_________a48611">#REF!</definedName>
    <definedName name="_________a48620">#REF!</definedName>
    <definedName name="_________a48621">#REF!</definedName>
    <definedName name="_________a48781">#REF!</definedName>
    <definedName name="_________a48782">#REF!</definedName>
    <definedName name="_________a48783">#REF!</definedName>
    <definedName name="_________a48784">#REF!</definedName>
    <definedName name="_________a51530">#REF!</definedName>
    <definedName name="_________a51560">#REF!</definedName>
    <definedName name="_________a51620">#REF!</definedName>
    <definedName name="_________a52010">#REF!</definedName>
    <definedName name="_________a53110">#REF!</definedName>
    <definedName name="_________a61430">#REF!</definedName>
    <definedName name="_________a61470">#REF!</definedName>
    <definedName name="_________a61620">#REF!</definedName>
    <definedName name="_________a63110">#REF!</definedName>
    <definedName name="_________a73310">#REF!</definedName>
    <definedName name="_________a83175">#REF!</definedName>
    <definedName name="_________a85160">#REF!</definedName>
    <definedName name="_________a85250">#REF!</definedName>
    <definedName name="_________a85510">#REF!</definedName>
    <definedName name="_________a85520">#REF!</definedName>
    <definedName name="_________a85530">#REF!</definedName>
    <definedName name="_________a85540">#REF!</definedName>
    <definedName name="_________a85550">#REF!</definedName>
    <definedName name="_________a85570">#REF!</definedName>
    <definedName name="_________a85580">#REF!</definedName>
    <definedName name="_________a85590">#REF!</definedName>
    <definedName name="_________a85611">#REF!</definedName>
    <definedName name="_________a85621">#REF!</definedName>
    <definedName name="_________a90300">#REF!</definedName>
    <definedName name="_________a90400">#REF!</definedName>
    <definedName name="_________a90510">#REF!</definedName>
    <definedName name="_________a90520">#REF!</definedName>
    <definedName name="_________a90530">#REF!</definedName>
    <definedName name="_________a90540">#REF!</definedName>
    <definedName name="_________a90610">#REF!</definedName>
    <definedName name="_________a90620">#REF!</definedName>
    <definedName name="_________a90630">#REF!</definedName>
    <definedName name="_________a90640">#REF!</definedName>
    <definedName name="_________a90710">#REF!</definedName>
    <definedName name="_________a90720">#REF!</definedName>
    <definedName name="_________a90730">#REF!</definedName>
    <definedName name="_________a90740">#REF!</definedName>
    <definedName name="_________a90810">#REF!</definedName>
    <definedName name="_________a90820">#REF!</definedName>
    <definedName name="_________a90830">#REF!</definedName>
    <definedName name="_________a90840">#REF!</definedName>
    <definedName name="_________a90910">#REF!</definedName>
    <definedName name="_________a90920">#REF!</definedName>
    <definedName name="_________a90930">#REF!</definedName>
    <definedName name="_________a90940">#REF!</definedName>
    <definedName name="_________a90950">#REF!</definedName>
    <definedName name="_________a91310">#REF!</definedName>
    <definedName name="_________a91320">#REF!</definedName>
    <definedName name="_________a91330">#REF!</definedName>
    <definedName name="_________a91340">#REF!</definedName>
    <definedName name="_________a91350">#REF!</definedName>
    <definedName name="_________a91710">#REF!</definedName>
    <definedName name="_________a91720">#REF!</definedName>
    <definedName name="_________a91730">#REF!</definedName>
    <definedName name="_________a91740">#REF!</definedName>
    <definedName name="_________a93100">#REF!</definedName>
    <definedName name="_________a93200">#REF!</definedName>
    <definedName name="_________a99340">#REF!</definedName>
    <definedName name="_________a99350">#REF!</definedName>
    <definedName name="_________AA1">#REF!</definedName>
    <definedName name="_________ACT1">#REF!</definedName>
    <definedName name="_________ACT2">#REF!</definedName>
    <definedName name="_________ACT3">#REF!</definedName>
    <definedName name="_________ADJ1">#REF!</definedName>
    <definedName name="_________ADJ2">#REF!</definedName>
    <definedName name="_________AGM2" localSheetId="1" hidden="1">{#N/A,#N/A,TRUE,"M [OS-05]-00(1)"}</definedName>
    <definedName name="_________AGM2" hidden="1">{#N/A,#N/A,TRUE,"M [OS-05]-00(1)"}</definedName>
    <definedName name="_________aje1" localSheetId="1">#REF!</definedName>
    <definedName name="_________aje1">#REF!</definedName>
    <definedName name="_________arf2001" localSheetId="1">#REF!</definedName>
    <definedName name="_________arf2001">#REF!</definedName>
    <definedName name="_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b90710" localSheetId="1">#REF!</definedName>
    <definedName name="_________b90710">#REF!</definedName>
    <definedName name="_________b90720" localSheetId="1">#REF!</definedName>
    <definedName name="_________b90720">#REF!</definedName>
    <definedName name="_________b90730" localSheetId="1">#REF!</definedName>
    <definedName name="_________b90730">#REF!</definedName>
    <definedName name="_________b90740">#REF!</definedName>
    <definedName name="_________b95310">#REF!</definedName>
    <definedName name="_________b95320">#REF!</definedName>
    <definedName name="_________b95330">#REF!</definedName>
    <definedName name="_________b95340">#REF!</definedName>
    <definedName name="_________BA1">#REF!</definedName>
    <definedName name="_________BC1">#REF!</definedName>
    <definedName name="_________bc2">#REF!</definedName>
    <definedName name="_________CAP1">#REF!</definedName>
    <definedName name="_________cap2">#REF!</definedName>
    <definedName name="_________cap3">#REF!</definedName>
    <definedName name="_________cap4">#REF!</definedName>
    <definedName name="_________cap5">#REF!</definedName>
    <definedName name="_________cf2">#REF!</definedName>
    <definedName name="_________cf3">#REF!</definedName>
    <definedName name="_________COH1">#REF!</definedName>
    <definedName name="_________COH2">#REF!</definedName>
    <definedName name="_________COH3">#REF!</definedName>
    <definedName name="_________e1">#REF!</definedName>
    <definedName name="_________fsa1" localSheetId="1">[32]FSA!$B$1:$K$46</definedName>
    <definedName name="_________fsa1">[33]FSA!$B$1:$K$46</definedName>
    <definedName name="_________fsa2" localSheetId="1">[32]FSA!$A$47:$K$73</definedName>
    <definedName name="_________fsa2">[33]FSA!$A$47:$K$73</definedName>
    <definedName name="_________fsa3" localSheetId="1">[32]FSA!$A$74:$K$114</definedName>
    <definedName name="_________fsa3">[33]FSA!$A$74:$K$114</definedName>
    <definedName name="_________fsa4" localSheetId="1">[32]FSA!$A$116:$K$161</definedName>
    <definedName name="_________fsa4">[33]FSA!$A$116:$K$161</definedName>
    <definedName name="_________H3" localSheetId="1" hidden="1">{#N/A,#N/A,FALSE,"Sheet1"}</definedName>
    <definedName name="_________H3" hidden="1">{#N/A,#N/A,FALSE,"Sheet1"}</definedName>
    <definedName name="_________IA1" localSheetId="1">#REF!</definedName>
    <definedName name="_________IA1">#REF!</definedName>
    <definedName name="_________iw1" localSheetId="1">[34]FS!#REF!</definedName>
    <definedName name="_________iw1">[35]FS!#REF!</definedName>
    <definedName name="_________K1" localSheetId="1">#REF!</definedName>
    <definedName name="_________K1">#REF!</definedName>
    <definedName name="_________K2" localSheetId="1" hidden="1">#REF!</definedName>
    <definedName name="_________K2" hidden="1">#REF!</definedName>
    <definedName name="_________K4" localSheetId="1">#REF!</definedName>
    <definedName name="_________K4">#REF!</definedName>
    <definedName name="_________KA1" localSheetId="1" hidden="1">{#N/A,#N/A,FALSE,"Sheet1"}</definedName>
    <definedName name="_________KA1" hidden="1">{#N/A,#N/A,FALSE,"Sheet1"}</definedName>
    <definedName name="_________LD1">#N/A</definedName>
    <definedName name="_________LD2">#N/A</definedName>
    <definedName name="_________M1" localSheetId="1">'[36]FF-1'!#REF!</definedName>
    <definedName name="_________M1">'[37]FF-1'!#REF!</definedName>
    <definedName name="_________MAN1" localSheetId="1">#REF!</definedName>
    <definedName name="_________MAN1">#REF!</definedName>
    <definedName name="_________N1" localSheetId="1">#REF!</definedName>
    <definedName name="_________N1">#REF!</definedName>
    <definedName name="_________N2" localSheetId="1">'[38]CA Sheet'!$R$36</definedName>
    <definedName name="_________N2">'[39]CA Sheet'!$R$36</definedName>
    <definedName name="_________N4" localSheetId="1" hidden="1">{#N/A,#N/A,FALSE,"Sheet1"}</definedName>
    <definedName name="_________N4" hidden="1">{#N/A,#N/A,FALSE,"Sheet1"}</definedName>
    <definedName name="_________no1" localSheetId="1">[11]Info!#REF!</definedName>
    <definedName name="_________no1">[12]Info!#REF!</definedName>
    <definedName name="_________o2" localSheetId="1">#REF!</definedName>
    <definedName name="_________o2">#REF!</definedName>
    <definedName name="_________OCT334" localSheetId="1">'[30]FF-3'!$A$1:$IV$8</definedName>
    <definedName name="_________OCT334">'[31]FF-3'!$A$1:$IV$8</definedName>
    <definedName name="_________Pbs1" localSheetId="1">#REF!</definedName>
    <definedName name="_________Pbs1">#REF!</definedName>
    <definedName name="_________Pbs2" localSheetId="1">#REF!</definedName>
    <definedName name="_________Pbs2">#REF!</definedName>
    <definedName name="_________PG2">#N/A</definedName>
    <definedName name="_________Pnl10" localSheetId="1">'[13]Pnl-10'!$A$1:$I$31</definedName>
    <definedName name="_________Pnl10">'[14]Pnl-10'!$A$1:$I$31</definedName>
    <definedName name="_________Pnl20" localSheetId="1">'[13]20'!$A$1:$K$87</definedName>
    <definedName name="_________Pnl20">'[14]20'!$A$1:$K$87</definedName>
    <definedName name="_________Pnl30" localSheetId="1">'[13]30'!$A$1:$L$52</definedName>
    <definedName name="_________Pnl30">'[14]30'!$A$1:$L$52</definedName>
    <definedName name="_________Pnl70" localSheetId="1">'[13]70'!$A$1:$K$34</definedName>
    <definedName name="_________Pnl70">'[14]70'!$A$1:$K$34</definedName>
    <definedName name="_________Pyt98" localSheetId="1">#REF!</definedName>
    <definedName name="_________Pyt98">#REF!</definedName>
    <definedName name="_________qer13" localSheetId="1">#REF!</definedName>
    <definedName name="_________qer13">#REF!</definedName>
    <definedName name="_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SB1" localSheetId="1">[15]LOOSECHKLIST!$I$1069</definedName>
    <definedName name="_________SB1">[16]LOOSECHKLIST!$I$1069</definedName>
    <definedName name="_________SB2" localSheetId="1">[15]LOOSECHKLIST!$A$888:$IV$888</definedName>
    <definedName name="_________SB2">[16]LOOSECHKLIST!$A$888:$IV$888</definedName>
    <definedName name="_________SB3" localSheetId="1">[15]LOOSECHKLIST!$A$828:$IV$828</definedName>
    <definedName name="_________SB3">[16]LOOSECHKLIST!$A$828:$IV$828</definedName>
    <definedName name="_________SB4" localSheetId="1">[15]LOOSECHKLIST!$A$395:$IV$395</definedName>
    <definedName name="_________SB4">[16]LOOSECHKLIST!$A$395:$IV$395</definedName>
    <definedName name="_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tax2" localSheetId="1">#REF!</definedName>
    <definedName name="_________tax2">#REF!</definedName>
    <definedName name="_________tax3" localSheetId="1">#REF!</definedName>
    <definedName name="_________tax3">#REF!</definedName>
    <definedName name="_________top05" localSheetId="1">#REF!</definedName>
    <definedName name="_________top05">#REF!</definedName>
    <definedName name="_________TOP1">#REF!</definedName>
    <definedName name="_________TOP2">#REF!</definedName>
    <definedName name="_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UB1" localSheetId="1" hidden="1">{"'Feb 99'!$A$1:$G$30"}</definedName>
    <definedName name="_________UB1" hidden="1">{"'Feb 99'!$A$1:$G$30"}</definedName>
    <definedName name="_________UB2" localSheetId="1" hidden="1">{"'Feb 99'!$A$1:$G$30"}</definedName>
    <definedName name="_________UB2" hidden="1">{"'Feb 99'!$A$1:$G$30"}</definedName>
    <definedName name="_________VAR1">#REF!</definedName>
    <definedName name="_________VAR2">#REF!</definedName>
    <definedName name="_________VAR3">#REF!</definedName>
    <definedName name="_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YA1" localSheetId="1">#REF!</definedName>
    <definedName name="_________YA1">#REF!</definedName>
    <definedName name="________a21420" localSheetId="1">#REF!</definedName>
    <definedName name="________a21420">#REF!</definedName>
    <definedName name="________a21430" localSheetId="1">#REF!</definedName>
    <definedName name="________a21430">#REF!</definedName>
    <definedName name="________A222">#REF!</definedName>
    <definedName name="________a22220">#REF!</definedName>
    <definedName name="________a22241">#REF!</definedName>
    <definedName name="________a22242">#REF!</definedName>
    <definedName name="________a22260">#REF!</definedName>
    <definedName name="________a22270">#REF!</definedName>
    <definedName name="________a24385">#REF!</definedName>
    <definedName name="________a24391">#REF!</definedName>
    <definedName name="________a24392">#REF!</definedName>
    <definedName name="________a24393">#REF!</definedName>
    <definedName name="________a24394">#REF!</definedName>
    <definedName name="________a27120">#REF!</definedName>
    <definedName name="________a27150">#REF!</definedName>
    <definedName name="________a32320">#REF!</definedName>
    <definedName name="________a32730">#REF!</definedName>
    <definedName name="________a33130">#REF!</definedName>
    <definedName name="________a33140">#REF!</definedName>
    <definedName name="________a33160">#REF!</definedName>
    <definedName name="________a33170">#REF!</definedName>
    <definedName name="________a33190">#REF!</definedName>
    <definedName name="________a33210">#REF!</definedName>
    <definedName name="________a33230">#REF!</definedName>
    <definedName name="________a33240">#REF!</definedName>
    <definedName name="________a34010">#REF!</definedName>
    <definedName name="________a41230">#REF!</definedName>
    <definedName name="________a41240">#REF!</definedName>
    <definedName name="________a42781">#REF!</definedName>
    <definedName name="________a42782">#REF!</definedName>
    <definedName name="________a42783">#REF!</definedName>
    <definedName name="________A43220">#REF!</definedName>
    <definedName name="________a43230">#REF!</definedName>
    <definedName name="________a43260">#REF!</definedName>
    <definedName name="________a43270">#REF!</definedName>
    <definedName name="________a43320">#REF!</definedName>
    <definedName name="________a43330">#REF!</definedName>
    <definedName name="________a43360">#REF!</definedName>
    <definedName name="________a43370">#REF!</definedName>
    <definedName name="________a43530">#REF!</definedName>
    <definedName name="________a43540">#REF!</definedName>
    <definedName name="________a43560">#REF!</definedName>
    <definedName name="________a43570">#REF!</definedName>
    <definedName name="________a43630">#REF!</definedName>
    <definedName name="________a43640">#REF!</definedName>
    <definedName name="________a43660">#REF!</definedName>
    <definedName name="________a43670">#REF!</definedName>
    <definedName name="________a43730">#REF!</definedName>
    <definedName name="________a43750">#REF!</definedName>
    <definedName name="________a43760">#REF!</definedName>
    <definedName name="________a43770">#REF!</definedName>
    <definedName name="________a43780">#REF!</definedName>
    <definedName name="________a48610">#REF!</definedName>
    <definedName name="________a48611">#REF!</definedName>
    <definedName name="________a48620">#REF!</definedName>
    <definedName name="________a48621">#REF!</definedName>
    <definedName name="________a48781">#REF!</definedName>
    <definedName name="________a48782">#REF!</definedName>
    <definedName name="________a48783">#REF!</definedName>
    <definedName name="________a48784">#REF!</definedName>
    <definedName name="________a51530">#REF!</definedName>
    <definedName name="________a51560">#REF!</definedName>
    <definedName name="________a51620">#REF!</definedName>
    <definedName name="________a52010">#REF!</definedName>
    <definedName name="________a53110">#REF!</definedName>
    <definedName name="________a61430">#REF!</definedName>
    <definedName name="________a61470">#REF!</definedName>
    <definedName name="________a61620">#REF!</definedName>
    <definedName name="________a63110">#REF!</definedName>
    <definedName name="________a73310">#REF!</definedName>
    <definedName name="________a83175">#REF!</definedName>
    <definedName name="________a85160">#REF!</definedName>
    <definedName name="________a85250">#REF!</definedName>
    <definedName name="________a85510">#REF!</definedName>
    <definedName name="________a85520">#REF!</definedName>
    <definedName name="________a85530">#REF!</definedName>
    <definedName name="________a85540">#REF!</definedName>
    <definedName name="________a85550">#REF!</definedName>
    <definedName name="________a85570">#REF!</definedName>
    <definedName name="________a85580">#REF!</definedName>
    <definedName name="________a85590">#REF!</definedName>
    <definedName name="________a85611">#REF!</definedName>
    <definedName name="________a85621">#REF!</definedName>
    <definedName name="________a90300">#REF!</definedName>
    <definedName name="________a90400">#REF!</definedName>
    <definedName name="________a90510">#REF!</definedName>
    <definedName name="________a90520">#REF!</definedName>
    <definedName name="________a90530">#REF!</definedName>
    <definedName name="________a90540">#REF!</definedName>
    <definedName name="________a90610">#REF!</definedName>
    <definedName name="________a90620">#REF!</definedName>
    <definedName name="________a90630">#REF!</definedName>
    <definedName name="________a90640">#REF!</definedName>
    <definedName name="________a90710">#REF!</definedName>
    <definedName name="________a90720">#REF!</definedName>
    <definedName name="________a90730">#REF!</definedName>
    <definedName name="________a90740">#REF!</definedName>
    <definedName name="________a90810">#REF!</definedName>
    <definedName name="________a90820">#REF!</definedName>
    <definedName name="________a90830">#REF!</definedName>
    <definedName name="________a90840">#REF!</definedName>
    <definedName name="________a90910">#REF!</definedName>
    <definedName name="________a90920">#REF!</definedName>
    <definedName name="________a90930">#REF!</definedName>
    <definedName name="________a90940">#REF!</definedName>
    <definedName name="________a90950">#REF!</definedName>
    <definedName name="________a91310">#REF!</definedName>
    <definedName name="________a91320">#REF!</definedName>
    <definedName name="________a91330">#REF!</definedName>
    <definedName name="________a91340">#REF!</definedName>
    <definedName name="________a91350">#REF!</definedName>
    <definedName name="________a91710">#REF!</definedName>
    <definedName name="________a91720">#REF!</definedName>
    <definedName name="________a91730">#REF!</definedName>
    <definedName name="________a91740">#REF!</definedName>
    <definedName name="________a93100">#REF!</definedName>
    <definedName name="________a93200">#REF!</definedName>
    <definedName name="________a99340">#REF!</definedName>
    <definedName name="________a99350">#REF!</definedName>
    <definedName name="________AA1">#REF!</definedName>
    <definedName name="________ACT1">#REF!</definedName>
    <definedName name="________ACT2">#REF!</definedName>
    <definedName name="________ACT3">#REF!</definedName>
    <definedName name="________ADJ1">#REF!</definedName>
    <definedName name="________ADJ2">#REF!</definedName>
    <definedName name="________AGM2" localSheetId="1" hidden="1">{#N/A,#N/A,TRUE,"M [OS-05]-00(1)"}</definedName>
    <definedName name="________AGM2" hidden="1">{#N/A,#N/A,TRUE,"M [OS-05]-00(1)"}</definedName>
    <definedName name="________aje1" localSheetId="1">#REF!</definedName>
    <definedName name="________aje1">#REF!</definedName>
    <definedName name="________arf2001" localSheetId="1">#REF!</definedName>
    <definedName name="________arf2001">#REF!</definedName>
    <definedName name="_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b90710" localSheetId="1">#REF!</definedName>
    <definedName name="________b90710">#REF!</definedName>
    <definedName name="________b90720" localSheetId="1">#REF!</definedName>
    <definedName name="________b90720">#REF!</definedName>
    <definedName name="________b90730" localSheetId="1">#REF!</definedName>
    <definedName name="________b90730">#REF!</definedName>
    <definedName name="________b90740">#REF!</definedName>
    <definedName name="________b95310">#REF!</definedName>
    <definedName name="________b95320">#REF!</definedName>
    <definedName name="________b95330">#REF!</definedName>
    <definedName name="________b95340">#REF!</definedName>
    <definedName name="________BA1">#REF!</definedName>
    <definedName name="________BC1">#REF!</definedName>
    <definedName name="________bc2">#REF!</definedName>
    <definedName name="________CAP1">#REF!</definedName>
    <definedName name="________cap2">#REF!</definedName>
    <definedName name="________cap3">#REF!</definedName>
    <definedName name="________cap4">#REF!</definedName>
    <definedName name="________cap5">#REF!</definedName>
    <definedName name="________cf2">#REF!</definedName>
    <definedName name="________cf3">#REF!</definedName>
    <definedName name="________COH1">#REF!</definedName>
    <definedName name="________COH2">#REF!</definedName>
    <definedName name="________COH3">#REF!</definedName>
    <definedName name="________e1">#REF!</definedName>
    <definedName name="________fsa1" localSheetId="1">[32]FSA!$B$1:$K$46</definedName>
    <definedName name="________fsa1">[33]FSA!$B$1:$K$46</definedName>
    <definedName name="________fsa2" localSheetId="1">[32]FSA!$A$47:$K$73</definedName>
    <definedName name="________fsa2">[33]FSA!$A$47:$K$73</definedName>
    <definedName name="________fsa3" localSheetId="1">[32]FSA!$A$74:$K$114</definedName>
    <definedName name="________fsa3">[33]FSA!$A$74:$K$114</definedName>
    <definedName name="________fsa4" localSheetId="1">[32]FSA!$A$116:$K$161</definedName>
    <definedName name="________fsa4">[33]FSA!$A$116:$K$161</definedName>
    <definedName name="________H3" localSheetId="1" hidden="1">{#N/A,#N/A,FALSE,"Sheet1"}</definedName>
    <definedName name="________H3" hidden="1">{#N/A,#N/A,FALSE,"Sheet1"}</definedName>
    <definedName name="________IA1" localSheetId="1">#REF!</definedName>
    <definedName name="________IA1">#REF!</definedName>
    <definedName name="________iw1" localSheetId="1">[34]FS!#REF!</definedName>
    <definedName name="________iw1">[35]FS!#REF!</definedName>
    <definedName name="________K1" localSheetId="1">#REF!</definedName>
    <definedName name="________K1">#REF!</definedName>
    <definedName name="________K2" localSheetId="1" hidden="1">#REF!</definedName>
    <definedName name="________K2" hidden="1">#REF!</definedName>
    <definedName name="________K4" localSheetId="1">#REF!</definedName>
    <definedName name="________K4">#REF!</definedName>
    <definedName name="________KA1" localSheetId="1" hidden="1">{#N/A,#N/A,FALSE,"Sheet1"}</definedName>
    <definedName name="________KA1" hidden="1">{#N/A,#N/A,FALSE,"Sheet1"}</definedName>
    <definedName name="________LD1">#N/A</definedName>
    <definedName name="________LD2">#N/A</definedName>
    <definedName name="________M1" localSheetId="1">'[36]FF-1'!#REF!</definedName>
    <definedName name="________M1">'[37]FF-1'!#REF!</definedName>
    <definedName name="________MAN1" localSheetId="1">#REF!</definedName>
    <definedName name="________MAN1">#REF!</definedName>
    <definedName name="________N1" localSheetId="1">#REF!</definedName>
    <definedName name="________N1">#REF!</definedName>
    <definedName name="________N2" localSheetId="1">'[38]CA Sheet'!$R$36</definedName>
    <definedName name="________N2">'[39]CA Sheet'!$R$36</definedName>
    <definedName name="________N4" localSheetId="1" hidden="1">{#N/A,#N/A,FALSE,"Sheet1"}</definedName>
    <definedName name="________N4" hidden="1">{#N/A,#N/A,FALSE,"Sheet1"}</definedName>
    <definedName name="________no1" localSheetId="1">[11]Info!#REF!</definedName>
    <definedName name="________no1">[12]Info!#REF!</definedName>
    <definedName name="________o2" localSheetId="1">#REF!</definedName>
    <definedName name="________o2">#REF!</definedName>
    <definedName name="________OCT334" localSheetId="1">'[30]FF-3'!$A$1:$IV$8</definedName>
    <definedName name="________OCT334">'[31]FF-3'!$A$1:$IV$8</definedName>
    <definedName name="________Pbs1" localSheetId="1">#REF!</definedName>
    <definedName name="________Pbs1">#REF!</definedName>
    <definedName name="________Pbs2" localSheetId="1">#REF!</definedName>
    <definedName name="________Pbs2">#REF!</definedName>
    <definedName name="________PG2">#N/A</definedName>
    <definedName name="________Pnl10" localSheetId="1">'[13]Pnl-10'!$A$1:$I$31</definedName>
    <definedName name="________Pnl10">'[14]Pnl-10'!$A$1:$I$31</definedName>
    <definedName name="________Pnl20" localSheetId="1">'[13]20'!$A$1:$K$87</definedName>
    <definedName name="________Pnl20">'[14]20'!$A$1:$K$87</definedName>
    <definedName name="________Pnl30" localSheetId="1">'[13]30'!$A$1:$L$52</definedName>
    <definedName name="________Pnl30">'[14]30'!$A$1:$L$52</definedName>
    <definedName name="________Pnl70" localSheetId="1">'[13]70'!$A$1:$K$34</definedName>
    <definedName name="________Pnl70">'[14]70'!$A$1:$K$34</definedName>
    <definedName name="________Pyt98" localSheetId="1">#REF!</definedName>
    <definedName name="________Pyt98">#REF!</definedName>
    <definedName name="________qer13" localSheetId="1">#REF!</definedName>
    <definedName name="________qer13">#REF!</definedName>
    <definedName name="_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SB1" localSheetId="1">[15]LOOSECHKLIST!$I$1069</definedName>
    <definedName name="________SB1">[16]LOOSECHKLIST!$I$1069</definedName>
    <definedName name="________SB2" localSheetId="1">[15]LOOSECHKLIST!$A$888:$IV$888</definedName>
    <definedName name="________SB2">[16]LOOSECHKLIST!$A$888:$IV$888</definedName>
    <definedName name="________SB3" localSheetId="1">[15]LOOSECHKLIST!$A$828:$IV$828</definedName>
    <definedName name="________SB3">[16]LOOSECHKLIST!$A$828:$IV$828</definedName>
    <definedName name="________SB4" localSheetId="1">[15]LOOSECHKLIST!$A$395:$IV$395</definedName>
    <definedName name="________SB4">[16]LOOSECHKLIST!$A$395:$IV$395</definedName>
    <definedName name="_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tax2" localSheetId="1">#REF!</definedName>
    <definedName name="________tax2">#REF!</definedName>
    <definedName name="________tax3" localSheetId="1">#REF!</definedName>
    <definedName name="________tax3">#REF!</definedName>
    <definedName name="________top05" localSheetId="1">#REF!</definedName>
    <definedName name="________top05">#REF!</definedName>
    <definedName name="________TOP1">#REF!</definedName>
    <definedName name="________TOP2">#REF!</definedName>
    <definedName name="_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UB1" localSheetId="1" hidden="1">{"'Feb 99'!$A$1:$G$30"}</definedName>
    <definedName name="________UB1" hidden="1">{"'Feb 99'!$A$1:$G$30"}</definedName>
    <definedName name="________UB2" localSheetId="1" hidden="1">{"'Feb 99'!$A$1:$G$30"}</definedName>
    <definedName name="________UB2" hidden="1">{"'Feb 99'!$A$1:$G$30"}</definedName>
    <definedName name="________VAR1">#REF!</definedName>
    <definedName name="________VAR2">#REF!</definedName>
    <definedName name="________VAR3">#REF!</definedName>
    <definedName name="_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YA1" localSheetId="1">#REF!</definedName>
    <definedName name="________YA1">#REF!</definedName>
    <definedName name="_______a21420" localSheetId="1">#REF!</definedName>
    <definedName name="_______a21420">#REF!</definedName>
    <definedName name="_______a21430" localSheetId="1">#REF!</definedName>
    <definedName name="_______a21430">#REF!</definedName>
    <definedName name="_______A222">#REF!</definedName>
    <definedName name="_______a22220">#REF!</definedName>
    <definedName name="_______a22241">#REF!</definedName>
    <definedName name="_______a22242">#REF!</definedName>
    <definedName name="_______a22260">#REF!</definedName>
    <definedName name="_______a22270">#REF!</definedName>
    <definedName name="_______a24385">#REF!</definedName>
    <definedName name="_______a24391">#REF!</definedName>
    <definedName name="_______a24392">#REF!</definedName>
    <definedName name="_______a24393">#REF!</definedName>
    <definedName name="_______a24394">#REF!</definedName>
    <definedName name="_______a27120">#REF!</definedName>
    <definedName name="_______a27150">#REF!</definedName>
    <definedName name="_______a32320">#REF!</definedName>
    <definedName name="_______a32730">#REF!</definedName>
    <definedName name="_______a33130">#REF!</definedName>
    <definedName name="_______a33140">#REF!</definedName>
    <definedName name="_______a33160">#REF!</definedName>
    <definedName name="_______a33170">#REF!</definedName>
    <definedName name="_______a33190">#REF!</definedName>
    <definedName name="_______a33210">#REF!</definedName>
    <definedName name="_______a33230">#REF!</definedName>
    <definedName name="_______a33240">#REF!</definedName>
    <definedName name="_______a34010">#REF!</definedName>
    <definedName name="_______a41230">#REF!</definedName>
    <definedName name="_______a41240">#REF!</definedName>
    <definedName name="_______a42781">#REF!</definedName>
    <definedName name="_______a42782">#REF!</definedName>
    <definedName name="_______a42783">#REF!</definedName>
    <definedName name="_______A43220">#REF!</definedName>
    <definedName name="_______a43230">#REF!</definedName>
    <definedName name="_______a43260">#REF!</definedName>
    <definedName name="_______a43270">#REF!</definedName>
    <definedName name="_______a43320">#REF!</definedName>
    <definedName name="_______a43330">#REF!</definedName>
    <definedName name="_______a43360">#REF!</definedName>
    <definedName name="_______a43370">#REF!</definedName>
    <definedName name="_______a43530">#REF!</definedName>
    <definedName name="_______a43540">#REF!</definedName>
    <definedName name="_______a43560">#REF!</definedName>
    <definedName name="_______a43570">#REF!</definedName>
    <definedName name="_______a43630">#REF!</definedName>
    <definedName name="_______a43640">#REF!</definedName>
    <definedName name="_______a43660">#REF!</definedName>
    <definedName name="_______a43670">#REF!</definedName>
    <definedName name="_______a43730">#REF!</definedName>
    <definedName name="_______a43750">#REF!</definedName>
    <definedName name="_______a43760">#REF!</definedName>
    <definedName name="_______a43770">#REF!</definedName>
    <definedName name="_______a43780">#REF!</definedName>
    <definedName name="_______a48610">#REF!</definedName>
    <definedName name="_______a48611">#REF!</definedName>
    <definedName name="_______a48620">#REF!</definedName>
    <definedName name="_______a48621">#REF!</definedName>
    <definedName name="_______a48781">#REF!</definedName>
    <definedName name="_______a48782">#REF!</definedName>
    <definedName name="_______a48783">#REF!</definedName>
    <definedName name="_______a48784">#REF!</definedName>
    <definedName name="_______a51530">#REF!</definedName>
    <definedName name="_______a51560">#REF!</definedName>
    <definedName name="_______a51620">#REF!</definedName>
    <definedName name="_______a52010">#REF!</definedName>
    <definedName name="_______a53110">#REF!</definedName>
    <definedName name="_______a61430">#REF!</definedName>
    <definedName name="_______a61470">#REF!</definedName>
    <definedName name="_______a61620">#REF!</definedName>
    <definedName name="_______a63110">#REF!</definedName>
    <definedName name="_______a73310">#REF!</definedName>
    <definedName name="_______a83175">#REF!</definedName>
    <definedName name="_______a85160">#REF!</definedName>
    <definedName name="_______a85250">#REF!</definedName>
    <definedName name="_______a85510">#REF!</definedName>
    <definedName name="_______a85520">#REF!</definedName>
    <definedName name="_______a85530">#REF!</definedName>
    <definedName name="_______a85540">#REF!</definedName>
    <definedName name="_______a85550">#REF!</definedName>
    <definedName name="_______a85570">#REF!</definedName>
    <definedName name="_______a85580">#REF!</definedName>
    <definedName name="_______a85590">#REF!</definedName>
    <definedName name="_______a85611">#REF!</definedName>
    <definedName name="_______a85621">#REF!</definedName>
    <definedName name="_______a90300">#REF!</definedName>
    <definedName name="_______a90400">#REF!</definedName>
    <definedName name="_______a90510">#REF!</definedName>
    <definedName name="_______a90520">#REF!</definedName>
    <definedName name="_______a90530">#REF!</definedName>
    <definedName name="_______a90540">#REF!</definedName>
    <definedName name="_______a90610">#REF!</definedName>
    <definedName name="_______a90620">#REF!</definedName>
    <definedName name="_______a90630">#REF!</definedName>
    <definedName name="_______a90640">#REF!</definedName>
    <definedName name="_______a90710">#REF!</definedName>
    <definedName name="_______a90720">#REF!</definedName>
    <definedName name="_______a90730">#REF!</definedName>
    <definedName name="_______a90740">#REF!</definedName>
    <definedName name="_______a90810">#REF!</definedName>
    <definedName name="_______a90820">#REF!</definedName>
    <definedName name="_______a90830">#REF!</definedName>
    <definedName name="_______a90840">#REF!</definedName>
    <definedName name="_______a90910">#REF!</definedName>
    <definedName name="_______a90920">#REF!</definedName>
    <definedName name="_______a90930">#REF!</definedName>
    <definedName name="_______a90940">#REF!</definedName>
    <definedName name="_______a90950">#REF!</definedName>
    <definedName name="_______a91310">#REF!</definedName>
    <definedName name="_______a91320">#REF!</definedName>
    <definedName name="_______a91330">#REF!</definedName>
    <definedName name="_______a91340">#REF!</definedName>
    <definedName name="_______a91350">#REF!</definedName>
    <definedName name="_______a91710">#REF!</definedName>
    <definedName name="_______a91720">#REF!</definedName>
    <definedName name="_______a91730">#REF!</definedName>
    <definedName name="_______a91740">#REF!</definedName>
    <definedName name="_______a93100">#REF!</definedName>
    <definedName name="_______a93200">#REF!</definedName>
    <definedName name="_______a99340">#REF!</definedName>
    <definedName name="_______a99350">#REF!</definedName>
    <definedName name="_______AA1">#REF!</definedName>
    <definedName name="_______ACT1">#REF!</definedName>
    <definedName name="_______ACT2">#REF!</definedName>
    <definedName name="_______ACT3">#REF!</definedName>
    <definedName name="_______ADJ1">#REF!</definedName>
    <definedName name="_______ADJ2">#REF!</definedName>
    <definedName name="_______AGM2" localSheetId="1" hidden="1">{#N/A,#N/A,TRUE,"M [OS-05]-00(1)"}</definedName>
    <definedName name="_______AGM2" hidden="1">{#N/A,#N/A,TRUE,"M [OS-05]-00(1)"}</definedName>
    <definedName name="_______aje1" localSheetId="1">#REF!</definedName>
    <definedName name="_______aje1">#REF!</definedName>
    <definedName name="_______arf2001" localSheetId="1">#REF!</definedName>
    <definedName name="_______arf2001">#REF!</definedName>
    <definedName name="_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b90710" localSheetId="1">#REF!</definedName>
    <definedName name="_______b90710">#REF!</definedName>
    <definedName name="_______b90720" localSheetId="1">#REF!</definedName>
    <definedName name="_______b90720">#REF!</definedName>
    <definedName name="_______b90730" localSheetId="1">#REF!</definedName>
    <definedName name="_______b90730">#REF!</definedName>
    <definedName name="_______b90740">#REF!</definedName>
    <definedName name="_______b95310">#REF!</definedName>
    <definedName name="_______b95320">#REF!</definedName>
    <definedName name="_______b95330">#REF!</definedName>
    <definedName name="_______b95340">#REF!</definedName>
    <definedName name="_______BA1">#REF!</definedName>
    <definedName name="_______BC1">#REF!</definedName>
    <definedName name="_______bc2">#REF!</definedName>
    <definedName name="_______CAP1">#REF!</definedName>
    <definedName name="_______cap2">#REF!</definedName>
    <definedName name="_______cap3">#REF!</definedName>
    <definedName name="_______cap4">#REF!</definedName>
    <definedName name="_______cap5">#REF!</definedName>
    <definedName name="_______cf2">#REF!</definedName>
    <definedName name="_______cf3">#REF!</definedName>
    <definedName name="_______COH1">#REF!</definedName>
    <definedName name="_______COH2">#REF!</definedName>
    <definedName name="_______COH3">#REF!</definedName>
    <definedName name="_______e1">#REF!</definedName>
    <definedName name="_______fsa1" localSheetId="1">[32]FSA!$B$1:$K$46</definedName>
    <definedName name="_______fsa1">[33]FSA!$B$1:$K$46</definedName>
    <definedName name="_______fsa2" localSheetId="1">[32]FSA!$A$47:$K$73</definedName>
    <definedName name="_______fsa2">[33]FSA!$A$47:$K$73</definedName>
    <definedName name="_______fsa3" localSheetId="1">[32]FSA!$A$74:$K$114</definedName>
    <definedName name="_______fsa3">[33]FSA!$A$74:$K$114</definedName>
    <definedName name="_______fsa4" localSheetId="1">[32]FSA!$A$116:$K$161</definedName>
    <definedName name="_______fsa4">[33]FSA!$A$116:$K$161</definedName>
    <definedName name="_______H3" localSheetId="1" hidden="1">{#N/A,#N/A,FALSE,"Sheet1"}</definedName>
    <definedName name="_______H3" hidden="1">{#N/A,#N/A,FALSE,"Sheet1"}</definedName>
    <definedName name="_______IA1" localSheetId="1">#REF!</definedName>
    <definedName name="_______IA1">#REF!</definedName>
    <definedName name="_______iw1" localSheetId="1">[34]FS!#REF!</definedName>
    <definedName name="_______iw1">[35]FS!#REF!</definedName>
    <definedName name="_______K1" localSheetId="1">#REF!</definedName>
    <definedName name="_______K1">#REF!</definedName>
    <definedName name="_______K2" localSheetId="1" hidden="1">#REF!</definedName>
    <definedName name="_______K2" hidden="1">#REF!</definedName>
    <definedName name="_______K4" localSheetId="1">#REF!</definedName>
    <definedName name="_______K4">#REF!</definedName>
    <definedName name="_______KA1" localSheetId="1" hidden="1">{#N/A,#N/A,FALSE,"Sheet1"}</definedName>
    <definedName name="_______KA1" hidden="1">{#N/A,#N/A,FALSE,"Sheet1"}</definedName>
    <definedName name="_______LD1">#N/A</definedName>
    <definedName name="_______LD2">#N/A</definedName>
    <definedName name="_______M1" localSheetId="1">'[36]FF-1'!#REF!</definedName>
    <definedName name="_______M1">'[37]FF-1'!#REF!</definedName>
    <definedName name="_______MAN1" localSheetId="1">#REF!</definedName>
    <definedName name="_______MAN1">#REF!</definedName>
    <definedName name="_______N1" localSheetId="1">#REF!</definedName>
    <definedName name="_______N1">#REF!</definedName>
    <definedName name="_______N2" localSheetId="1">'[38]CA Sheet'!$R$36</definedName>
    <definedName name="_______N2">'[39]CA Sheet'!$R$36</definedName>
    <definedName name="_______N4" localSheetId="1" hidden="1">{#N/A,#N/A,FALSE,"Sheet1"}</definedName>
    <definedName name="_______N4" hidden="1">{#N/A,#N/A,FALSE,"Sheet1"}</definedName>
    <definedName name="_______no1" localSheetId="1">[11]Info!#REF!</definedName>
    <definedName name="_______no1">[12]Info!#REF!</definedName>
    <definedName name="_______o2" localSheetId="1">#REF!</definedName>
    <definedName name="_______o2">#REF!</definedName>
    <definedName name="_______OCT334" localSheetId="1">'[30]FF-3'!$A$1:$IV$8</definedName>
    <definedName name="_______OCT334">'[31]FF-3'!$A$1:$IV$8</definedName>
    <definedName name="_______Pbs1" localSheetId="1">#REF!</definedName>
    <definedName name="_______Pbs1">#REF!</definedName>
    <definedName name="_______Pbs2" localSheetId="1">#REF!</definedName>
    <definedName name="_______Pbs2">#REF!</definedName>
    <definedName name="_______PG2">#N/A</definedName>
    <definedName name="_______Pnl10" localSheetId="1">'[13]Pnl-10'!$A$1:$I$31</definedName>
    <definedName name="_______Pnl10">'[14]Pnl-10'!$A$1:$I$31</definedName>
    <definedName name="_______Pnl20" localSheetId="1">'[13]20'!$A$1:$K$87</definedName>
    <definedName name="_______Pnl20">'[14]20'!$A$1:$K$87</definedName>
    <definedName name="_______Pnl30" localSheetId="1">'[13]30'!$A$1:$L$52</definedName>
    <definedName name="_______Pnl30">'[14]30'!$A$1:$L$52</definedName>
    <definedName name="_______Pnl70" localSheetId="1">'[13]70'!$A$1:$K$34</definedName>
    <definedName name="_______Pnl70">'[14]70'!$A$1:$K$34</definedName>
    <definedName name="_______Pyt98" localSheetId="1">#REF!</definedName>
    <definedName name="_______Pyt98">#REF!</definedName>
    <definedName name="_______qer13" localSheetId="1">#REF!</definedName>
    <definedName name="_______qer13">#REF!</definedName>
    <definedName name="_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SB1" localSheetId="1">[15]LOOSECHKLIST!$I$1069</definedName>
    <definedName name="_______SB1">[16]LOOSECHKLIST!$I$1069</definedName>
    <definedName name="_______SB2" localSheetId="1">[15]LOOSECHKLIST!$A$888:$IV$888</definedName>
    <definedName name="_______SB2">[16]LOOSECHKLIST!$A$888:$IV$888</definedName>
    <definedName name="_______SB3" localSheetId="1">[15]LOOSECHKLIST!$A$828:$IV$828</definedName>
    <definedName name="_______SB3">[16]LOOSECHKLIST!$A$828:$IV$828</definedName>
    <definedName name="_______SB4" localSheetId="1">[15]LOOSECHKLIST!$A$395:$IV$395</definedName>
    <definedName name="_______SB4">[16]LOOSECHKLIST!$A$395:$IV$395</definedName>
    <definedName name="_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tax2" localSheetId="1">#REF!</definedName>
    <definedName name="_______tax2">#REF!</definedName>
    <definedName name="_______tax3" localSheetId="1">#REF!</definedName>
    <definedName name="_______tax3">#REF!</definedName>
    <definedName name="_______top05" localSheetId="1">#REF!</definedName>
    <definedName name="_______top05">#REF!</definedName>
    <definedName name="_______TOP1">#REF!</definedName>
    <definedName name="_______TOP2">#REF!</definedName>
    <definedName name="_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UB1" localSheetId="1" hidden="1">{"'Feb 99'!$A$1:$G$30"}</definedName>
    <definedName name="_______UB1" hidden="1">{"'Feb 99'!$A$1:$G$30"}</definedName>
    <definedName name="_______UB2" localSheetId="1" hidden="1">{"'Feb 99'!$A$1:$G$30"}</definedName>
    <definedName name="_______UB2" hidden="1">{"'Feb 99'!$A$1:$G$30"}</definedName>
    <definedName name="_______VAR1">#REF!</definedName>
    <definedName name="_______VAR2">#REF!</definedName>
    <definedName name="_______VAR3">#REF!</definedName>
    <definedName name="_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YA1" localSheetId="1">#REF!</definedName>
    <definedName name="_______YA1">#REF!</definedName>
    <definedName name="______a21420" localSheetId="1">#REF!</definedName>
    <definedName name="______a21420">#REF!</definedName>
    <definedName name="______a21430" localSheetId="1">#REF!</definedName>
    <definedName name="______a21430">#REF!</definedName>
    <definedName name="______A222">#REF!</definedName>
    <definedName name="______a22220">#REF!</definedName>
    <definedName name="______a22241">#REF!</definedName>
    <definedName name="______a22242">#REF!</definedName>
    <definedName name="______a22260">#REF!</definedName>
    <definedName name="______a22270">#REF!</definedName>
    <definedName name="______a24385">#REF!</definedName>
    <definedName name="______a24391">#REF!</definedName>
    <definedName name="______a24392">#REF!</definedName>
    <definedName name="______a24393">#REF!</definedName>
    <definedName name="______a24394">#REF!</definedName>
    <definedName name="______a27120">#REF!</definedName>
    <definedName name="______a27150">#REF!</definedName>
    <definedName name="______a32320">#REF!</definedName>
    <definedName name="______a32730">#REF!</definedName>
    <definedName name="______a33130">#REF!</definedName>
    <definedName name="______a33140">#REF!</definedName>
    <definedName name="______a33160">#REF!</definedName>
    <definedName name="______a33170">#REF!</definedName>
    <definedName name="______a33190">#REF!</definedName>
    <definedName name="______a33210">#REF!</definedName>
    <definedName name="______a33230">#REF!</definedName>
    <definedName name="______a33240">#REF!</definedName>
    <definedName name="______a34010">#REF!</definedName>
    <definedName name="______a41230">#REF!</definedName>
    <definedName name="______a41240">#REF!</definedName>
    <definedName name="______a42781">#REF!</definedName>
    <definedName name="______a42782">#REF!</definedName>
    <definedName name="______a42783">#REF!</definedName>
    <definedName name="______A43220">#REF!</definedName>
    <definedName name="______a43230">#REF!</definedName>
    <definedName name="______a43260">#REF!</definedName>
    <definedName name="______a43270">#REF!</definedName>
    <definedName name="______a43320">#REF!</definedName>
    <definedName name="______a43330">#REF!</definedName>
    <definedName name="______a43360">#REF!</definedName>
    <definedName name="______a43370">#REF!</definedName>
    <definedName name="______a43530">#REF!</definedName>
    <definedName name="______a43540">#REF!</definedName>
    <definedName name="______a43560">#REF!</definedName>
    <definedName name="______a43570">#REF!</definedName>
    <definedName name="______a43630">#REF!</definedName>
    <definedName name="______a43640">#REF!</definedName>
    <definedName name="______a43660">#REF!</definedName>
    <definedName name="______a43670">#REF!</definedName>
    <definedName name="______a43730">#REF!</definedName>
    <definedName name="______a43750">#REF!</definedName>
    <definedName name="______a43760">#REF!</definedName>
    <definedName name="______a43770">#REF!</definedName>
    <definedName name="______a43780">#REF!</definedName>
    <definedName name="______a48610">#REF!</definedName>
    <definedName name="______a48611">#REF!</definedName>
    <definedName name="______a48620">#REF!</definedName>
    <definedName name="______a48621">#REF!</definedName>
    <definedName name="______a48781">#REF!</definedName>
    <definedName name="______a48782">#REF!</definedName>
    <definedName name="______a48783">#REF!</definedName>
    <definedName name="______a48784">#REF!</definedName>
    <definedName name="______a51530">#REF!</definedName>
    <definedName name="______a51560">#REF!</definedName>
    <definedName name="______a51620">#REF!</definedName>
    <definedName name="______a52010">#REF!</definedName>
    <definedName name="______a53110">#REF!</definedName>
    <definedName name="______a61430">#REF!</definedName>
    <definedName name="______a61470">#REF!</definedName>
    <definedName name="______a61620">#REF!</definedName>
    <definedName name="______a63110">#REF!</definedName>
    <definedName name="______a73310">#REF!</definedName>
    <definedName name="______a83175">#REF!</definedName>
    <definedName name="______a85160">#REF!</definedName>
    <definedName name="______a85250">#REF!</definedName>
    <definedName name="______a85510">#REF!</definedName>
    <definedName name="______a85520">#REF!</definedName>
    <definedName name="______a85530">#REF!</definedName>
    <definedName name="______a85540">#REF!</definedName>
    <definedName name="______a85550">#REF!</definedName>
    <definedName name="______a85570">#REF!</definedName>
    <definedName name="______a85580">#REF!</definedName>
    <definedName name="______a85590">#REF!</definedName>
    <definedName name="______a85611">#REF!</definedName>
    <definedName name="______a85621">#REF!</definedName>
    <definedName name="______a90300">#REF!</definedName>
    <definedName name="______a90400">#REF!</definedName>
    <definedName name="______a90510">#REF!</definedName>
    <definedName name="______a90520">#REF!</definedName>
    <definedName name="______a90530">#REF!</definedName>
    <definedName name="______a90540">#REF!</definedName>
    <definedName name="______a90610">#REF!</definedName>
    <definedName name="______a90620">#REF!</definedName>
    <definedName name="______a90630">#REF!</definedName>
    <definedName name="______a90640">#REF!</definedName>
    <definedName name="______a90710">#REF!</definedName>
    <definedName name="______a90720">#REF!</definedName>
    <definedName name="______a90730">#REF!</definedName>
    <definedName name="______a90740">#REF!</definedName>
    <definedName name="______a90810">#REF!</definedName>
    <definedName name="______a90820">#REF!</definedName>
    <definedName name="______a90830">#REF!</definedName>
    <definedName name="______a90840">#REF!</definedName>
    <definedName name="______a90910">#REF!</definedName>
    <definedName name="______a90920">#REF!</definedName>
    <definedName name="______a90930">#REF!</definedName>
    <definedName name="______a90940">#REF!</definedName>
    <definedName name="______a90950">#REF!</definedName>
    <definedName name="______a91310">#REF!</definedName>
    <definedName name="______a91320">#REF!</definedName>
    <definedName name="______a91330">#REF!</definedName>
    <definedName name="______a91340">#REF!</definedName>
    <definedName name="______a91350">#REF!</definedName>
    <definedName name="______a91710">#REF!</definedName>
    <definedName name="______a91720">#REF!</definedName>
    <definedName name="______a91730">#REF!</definedName>
    <definedName name="______a91740">#REF!</definedName>
    <definedName name="______a93100">#REF!</definedName>
    <definedName name="______a93200">#REF!</definedName>
    <definedName name="______a99340">#REF!</definedName>
    <definedName name="______a99350">#REF!</definedName>
    <definedName name="______AA1">#REF!</definedName>
    <definedName name="______ACT1">#REF!</definedName>
    <definedName name="______ACT2">#REF!</definedName>
    <definedName name="______ACT3">#REF!</definedName>
    <definedName name="______ADJ1">#REF!</definedName>
    <definedName name="______ADJ2">#REF!</definedName>
    <definedName name="______AGM2" localSheetId="1" hidden="1">{#N/A,#N/A,TRUE,"M [OS-05]-00(1)"}</definedName>
    <definedName name="______AGM2" hidden="1">{#N/A,#N/A,TRUE,"M [OS-05]-00(1)"}</definedName>
    <definedName name="______aje1" localSheetId="1">#REF!</definedName>
    <definedName name="______aje1">#REF!</definedName>
    <definedName name="______arf2001" localSheetId="1">#REF!</definedName>
    <definedName name="______arf2001">#REF!</definedName>
    <definedName name="_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b90710" localSheetId="1">#REF!</definedName>
    <definedName name="______b90710">#REF!</definedName>
    <definedName name="______b90720" localSheetId="1">#REF!</definedName>
    <definedName name="______b90720">#REF!</definedName>
    <definedName name="______b90730" localSheetId="1">#REF!</definedName>
    <definedName name="______b90730">#REF!</definedName>
    <definedName name="______b90740">#REF!</definedName>
    <definedName name="______b95310">#REF!</definedName>
    <definedName name="______b95320">#REF!</definedName>
    <definedName name="______b95330">#REF!</definedName>
    <definedName name="______b95340">#REF!</definedName>
    <definedName name="______BA1">#REF!</definedName>
    <definedName name="______BC1">#REF!</definedName>
    <definedName name="______bc2">#REF!</definedName>
    <definedName name="______CAP1">#REF!</definedName>
    <definedName name="______cap2">#REF!</definedName>
    <definedName name="______cap3">#REF!</definedName>
    <definedName name="______cap4">#REF!</definedName>
    <definedName name="______cap5">#REF!</definedName>
    <definedName name="______cf2">#REF!</definedName>
    <definedName name="______cf3">#REF!</definedName>
    <definedName name="______COH1">#REF!</definedName>
    <definedName name="______COH2">#REF!</definedName>
    <definedName name="______COH3">#REF!</definedName>
    <definedName name="______e1">#REF!</definedName>
    <definedName name="______fsa1" localSheetId="1">[32]FSA!$B$1:$K$46</definedName>
    <definedName name="______fsa1">[33]FSA!$B$1:$K$46</definedName>
    <definedName name="______fsa2" localSheetId="1">[32]FSA!$A$47:$K$73</definedName>
    <definedName name="______fsa2">[33]FSA!$A$47:$K$73</definedName>
    <definedName name="______fsa3" localSheetId="1">[32]FSA!$A$74:$K$114</definedName>
    <definedName name="______fsa3">[33]FSA!$A$74:$K$114</definedName>
    <definedName name="______fsa4" localSheetId="1">[32]FSA!$A$116:$K$161</definedName>
    <definedName name="______fsa4">[33]FSA!$A$116:$K$161</definedName>
    <definedName name="______H3" localSheetId="1" hidden="1">{#N/A,#N/A,FALSE,"Sheet1"}</definedName>
    <definedName name="______H3" hidden="1">{#N/A,#N/A,FALSE,"Sheet1"}</definedName>
    <definedName name="______IA1" localSheetId="1">#REF!</definedName>
    <definedName name="______IA1">#REF!</definedName>
    <definedName name="______iw1" localSheetId="1">[34]FS!#REF!</definedName>
    <definedName name="______iw1">[35]FS!#REF!</definedName>
    <definedName name="______K1" localSheetId="1">#REF!</definedName>
    <definedName name="______K1">#REF!</definedName>
    <definedName name="______K2" localSheetId="1" hidden="1">#REF!</definedName>
    <definedName name="______K2" hidden="1">#REF!</definedName>
    <definedName name="______K4" localSheetId="1">#REF!</definedName>
    <definedName name="______K4">#REF!</definedName>
    <definedName name="______KA1" localSheetId="1" hidden="1">{#N/A,#N/A,FALSE,"Sheet1"}</definedName>
    <definedName name="______KA1" hidden="1">{#N/A,#N/A,FALSE,"Sheet1"}</definedName>
    <definedName name="______LD1">#N/A</definedName>
    <definedName name="______LD2">#N/A</definedName>
    <definedName name="______M1" localSheetId="1">'[36]FF-1'!#REF!</definedName>
    <definedName name="______M1">'[37]FF-1'!#REF!</definedName>
    <definedName name="______MAN1" localSheetId="1">#REF!</definedName>
    <definedName name="______MAN1">#REF!</definedName>
    <definedName name="______N1" localSheetId="1">#REF!</definedName>
    <definedName name="______N1">#REF!</definedName>
    <definedName name="______N2" localSheetId="1">'[38]CA Sheet'!$R$36</definedName>
    <definedName name="______N2">'[39]CA Sheet'!$R$36</definedName>
    <definedName name="______N4" localSheetId="1" hidden="1">{#N/A,#N/A,FALSE,"Sheet1"}</definedName>
    <definedName name="______N4" hidden="1">{#N/A,#N/A,FALSE,"Sheet1"}</definedName>
    <definedName name="______no1" localSheetId="1">[11]Info!#REF!</definedName>
    <definedName name="______no1">[12]Info!#REF!</definedName>
    <definedName name="______o2" localSheetId="1">#REF!</definedName>
    <definedName name="______o2">#REF!</definedName>
    <definedName name="______OCT334" localSheetId="1">'[30]FF-3'!$A$1:$IV$8</definedName>
    <definedName name="______OCT334">'[31]FF-3'!$A$1:$IV$8</definedName>
    <definedName name="______Pbs1" localSheetId="1">#REF!</definedName>
    <definedName name="______Pbs1">#REF!</definedName>
    <definedName name="______Pbs2" localSheetId="1">#REF!</definedName>
    <definedName name="______Pbs2">#REF!</definedName>
    <definedName name="______PG2">#N/A</definedName>
    <definedName name="______Pnl10" localSheetId="1">'[13]Pnl-10'!$A$1:$I$31</definedName>
    <definedName name="______Pnl10">'[14]Pnl-10'!$A$1:$I$31</definedName>
    <definedName name="______Pnl20" localSheetId="1">'[13]20'!$A$1:$K$87</definedName>
    <definedName name="______Pnl20">'[14]20'!$A$1:$K$87</definedName>
    <definedName name="______Pnl30" localSheetId="1">'[13]30'!$A$1:$L$52</definedName>
    <definedName name="______Pnl30">'[14]30'!$A$1:$L$52</definedName>
    <definedName name="______Pnl70" localSheetId="1">'[13]70'!$A$1:$K$34</definedName>
    <definedName name="______Pnl70">'[14]70'!$A$1:$K$34</definedName>
    <definedName name="______Pyt98" localSheetId="1">#REF!</definedName>
    <definedName name="______Pyt98">#REF!</definedName>
    <definedName name="______qer13" localSheetId="1">#REF!</definedName>
    <definedName name="______qer13">#REF!</definedName>
    <definedName name="_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SB1" localSheetId="1">[15]LOOSECHKLIST!$I$1069</definedName>
    <definedName name="______SB1">[16]LOOSECHKLIST!$I$1069</definedName>
    <definedName name="______SB2" localSheetId="1">[15]LOOSECHKLIST!$A$888:$IV$888</definedName>
    <definedName name="______SB2">[16]LOOSECHKLIST!$A$888:$IV$888</definedName>
    <definedName name="______SB3" localSheetId="1">[15]LOOSECHKLIST!$A$828:$IV$828</definedName>
    <definedName name="______SB3">[16]LOOSECHKLIST!$A$828:$IV$828</definedName>
    <definedName name="______SB4" localSheetId="1">[15]LOOSECHKLIST!$A$395:$IV$395</definedName>
    <definedName name="______SB4">[16]LOOSECHKLIST!$A$395:$IV$395</definedName>
    <definedName name="_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tax2" localSheetId="1">#REF!</definedName>
    <definedName name="______tax2">#REF!</definedName>
    <definedName name="______tax3" localSheetId="1">#REF!</definedName>
    <definedName name="______tax3">#REF!</definedName>
    <definedName name="______top05" localSheetId="1">#REF!</definedName>
    <definedName name="______top05">#REF!</definedName>
    <definedName name="______TOP1">#REF!</definedName>
    <definedName name="______TOP2">#REF!</definedName>
    <definedName name="_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UB1" localSheetId="1" hidden="1">{"'Feb 99'!$A$1:$G$30"}</definedName>
    <definedName name="______UB1" hidden="1">{"'Feb 99'!$A$1:$G$30"}</definedName>
    <definedName name="______UB2" localSheetId="1" hidden="1">{"'Feb 99'!$A$1:$G$30"}</definedName>
    <definedName name="______UB2" hidden="1">{"'Feb 99'!$A$1:$G$30"}</definedName>
    <definedName name="______VAR1">#REF!</definedName>
    <definedName name="______VAR2">#REF!</definedName>
    <definedName name="______VAR3">#REF!</definedName>
    <definedName name="_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YA1" localSheetId="1">#REF!</definedName>
    <definedName name="______YA1">#REF!</definedName>
    <definedName name="_____a21420" localSheetId="1">#REF!</definedName>
    <definedName name="_____a21420">#REF!</definedName>
    <definedName name="_____a21430" localSheetId="1">#REF!</definedName>
    <definedName name="_____a21430">#REF!</definedName>
    <definedName name="_____A222">#REF!</definedName>
    <definedName name="_____a22220">#REF!</definedName>
    <definedName name="_____a22241">#REF!</definedName>
    <definedName name="_____a22242">#REF!</definedName>
    <definedName name="_____a22260">#REF!</definedName>
    <definedName name="_____a22270">#REF!</definedName>
    <definedName name="_____a24385">#REF!</definedName>
    <definedName name="_____a24391">#REF!</definedName>
    <definedName name="_____a24392">#REF!</definedName>
    <definedName name="_____a24393">#REF!</definedName>
    <definedName name="_____a24394">#REF!</definedName>
    <definedName name="_____a27120">#REF!</definedName>
    <definedName name="_____a27150">#REF!</definedName>
    <definedName name="_____a32320">#REF!</definedName>
    <definedName name="_____a32730">#REF!</definedName>
    <definedName name="_____a33130">#REF!</definedName>
    <definedName name="_____a33140">#REF!</definedName>
    <definedName name="_____a33160">#REF!</definedName>
    <definedName name="_____a33170">#REF!</definedName>
    <definedName name="_____a33190">#REF!</definedName>
    <definedName name="_____a33210">#REF!</definedName>
    <definedName name="_____a33230">#REF!</definedName>
    <definedName name="_____a33240">#REF!</definedName>
    <definedName name="_____a34010">#REF!</definedName>
    <definedName name="_____a41230">#REF!</definedName>
    <definedName name="_____a41240">#REF!</definedName>
    <definedName name="_____a42781">#REF!</definedName>
    <definedName name="_____a42782">#REF!</definedName>
    <definedName name="_____a42783">#REF!</definedName>
    <definedName name="_____A43220">#REF!</definedName>
    <definedName name="_____a43230">#REF!</definedName>
    <definedName name="_____a43260">#REF!</definedName>
    <definedName name="_____a43270">#REF!</definedName>
    <definedName name="_____a43320">#REF!</definedName>
    <definedName name="_____a43330">#REF!</definedName>
    <definedName name="_____a43360">#REF!</definedName>
    <definedName name="_____a43370">#REF!</definedName>
    <definedName name="_____a43530">#REF!</definedName>
    <definedName name="_____a43540">#REF!</definedName>
    <definedName name="_____a43560">#REF!</definedName>
    <definedName name="_____a43570">#REF!</definedName>
    <definedName name="_____a43630">#REF!</definedName>
    <definedName name="_____a43640">#REF!</definedName>
    <definedName name="_____a43660">#REF!</definedName>
    <definedName name="_____a43670">#REF!</definedName>
    <definedName name="_____a43730">#REF!</definedName>
    <definedName name="_____a43750">#REF!</definedName>
    <definedName name="_____a43760">#REF!</definedName>
    <definedName name="_____a43770">#REF!</definedName>
    <definedName name="_____a43780">#REF!</definedName>
    <definedName name="_____a48610">#REF!</definedName>
    <definedName name="_____a48611">#REF!</definedName>
    <definedName name="_____a48620">#REF!</definedName>
    <definedName name="_____a48621">#REF!</definedName>
    <definedName name="_____a48781">#REF!</definedName>
    <definedName name="_____a48782">#REF!</definedName>
    <definedName name="_____a48783">#REF!</definedName>
    <definedName name="_____a48784">#REF!</definedName>
    <definedName name="_____a51530">#REF!</definedName>
    <definedName name="_____a51560">#REF!</definedName>
    <definedName name="_____a51620">#REF!</definedName>
    <definedName name="_____a52010">#REF!</definedName>
    <definedName name="_____a53110">#REF!</definedName>
    <definedName name="_____a61430">#REF!</definedName>
    <definedName name="_____a61470">#REF!</definedName>
    <definedName name="_____a61620">#REF!</definedName>
    <definedName name="_____a63110">#REF!</definedName>
    <definedName name="_____a73310">#REF!</definedName>
    <definedName name="_____a83175">#REF!</definedName>
    <definedName name="_____a85160">#REF!</definedName>
    <definedName name="_____a85250">#REF!</definedName>
    <definedName name="_____a85510">#REF!</definedName>
    <definedName name="_____a85520">#REF!</definedName>
    <definedName name="_____a85530">#REF!</definedName>
    <definedName name="_____a85540">#REF!</definedName>
    <definedName name="_____a85550">#REF!</definedName>
    <definedName name="_____a85570">#REF!</definedName>
    <definedName name="_____a85580">#REF!</definedName>
    <definedName name="_____a85590">#REF!</definedName>
    <definedName name="_____a85611">#REF!</definedName>
    <definedName name="_____a85621">#REF!</definedName>
    <definedName name="_____a90300">#REF!</definedName>
    <definedName name="_____a90400">#REF!</definedName>
    <definedName name="_____a90510">#REF!</definedName>
    <definedName name="_____a90520">#REF!</definedName>
    <definedName name="_____a90530">#REF!</definedName>
    <definedName name="_____a90540">#REF!</definedName>
    <definedName name="_____a90610">#REF!</definedName>
    <definedName name="_____a90620">#REF!</definedName>
    <definedName name="_____a90630">#REF!</definedName>
    <definedName name="_____a90640">#REF!</definedName>
    <definedName name="_____a90710">#REF!</definedName>
    <definedName name="_____a90720">#REF!</definedName>
    <definedName name="_____a90730">#REF!</definedName>
    <definedName name="_____a90740">#REF!</definedName>
    <definedName name="_____a90810">#REF!</definedName>
    <definedName name="_____a90820">#REF!</definedName>
    <definedName name="_____a90830">#REF!</definedName>
    <definedName name="_____a90840">#REF!</definedName>
    <definedName name="_____a90910">#REF!</definedName>
    <definedName name="_____a90920">#REF!</definedName>
    <definedName name="_____a90930">#REF!</definedName>
    <definedName name="_____a90940">#REF!</definedName>
    <definedName name="_____a90950">#REF!</definedName>
    <definedName name="_____a91310">#REF!</definedName>
    <definedName name="_____a91320">#REF!</definedName>
    <definedName name="_____a91330">#REF!</definedName>
    <definedName name="_____a91340">#REF!</definedName>
    <definedName name="_____a91350">#REF!</definedName>
    <definedName name="_____a91710">#REF!</definedName>
    <definedName name="_____a91720">#REF!</definedName>
    <definedName name="_____a91730">#REF!</definedName>
    <definedName name="_____a91740">#REF!</definedName>
    <definedName name="_____a93100">#REF!</definedName>
    <definedName name="_____a93200">#REF!</definedName>
    <definedName name="_____a99340">#REF!</definedName>
    <definedName name="_____a99350">#REF!</definedName>
    <definedName name="_____AA1">#REF!</definedName>
    <definedName name="_____ACT1">#REF!</definedName>
    <definedName name="_____ACT2">#REF!</definedName>
    <definedName name="_____ACT3">#REF!</definedName>
    <definedName name="_____ADJ1">#REF!</definedName>
    <definedName name="_____ADJ2">#REF!</definedName>
    <definedName name="_____AGM2" localSheetId="1" hidden="1">{#N/A,#N/A,TRUE,"M [OS-05]-00(1)"}</definedName>
    <definedName name="_____AGM2" hidden="1">{#N/A,#N/A,TRUE,"M [OS-05]-00(1)"}</definedName>
    <definedName name="_____aje1" localSheetId="1">#REF!</definedName>
    <definedName name="_____aje1">#REF!</definedName>
    <definedName name="_____arf2001" localSheetId="1">#REF!</definedName>
    <definedName name="_____arf2001">#REF!</definedName>
    <definedName name="_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b90710" localSheetId="1">#REF!</definedName>
    <definedName name="_____b90710">#REF!</definedName>
    <definedName name="_____b90720" localSheetId="1">#REF!</definedName>
    <definedName name="_____b90720">#REF!</definedName>
    <definedName name="_____b90730" localSheetId="1">#REF!</definedName>
    <definedName name="_____b90730">#REF!</definedName>
    <definedName name="_____b90740">#REF!</definedName>
    <definedName name="_____b95310">#REF!</definedName>
    <definedName name="_____b95320">#REF!</definedName>
    <definedName name="_____b95330">#REF!</definedName>
    <definedName name="_____b95340">#REF!</definedName>
    <definedName name="_____BA1">#REF!</definedName>
    <definedName name="_____BC1">#REF!</definedName>
    <definedName name="_____bc2">#REF!</definedName>
    <definedName name="_____CAP1">#REF!</definedName>
    <definedName name="_____cap2">#REF!</definedName>
    <definedName name="_____cap3">#REF!</definedName>
    <definedName name="_____cap4">#REF!</definedName>
    <definedName name="_____cap5">#REF!</definedName>
    <definedName name="_____cf2">#REF!</definedName>
    <definedName name="_____cf3">#REF!</definedName>
    <definedName name="_____COH1">#REF!</definedName>
    <definedName name="_____COH2">#REF!</definedName>
    <definedName name="_____COH3">#REF!</definedName>
    <definedName name="_____e1">#REF!</definedName>
    <definedName name="_____fsa1" localSheetId="1">[32]FSA!$B$1:$K$46</definedName>
    <definedName name="_____fsa1">[33]FSA!$B$1:$K$46</definedName>
    <definedName name="_____fsa2" localSheetId="1">[32]FSA!$A$47:$K$73</definedName>
    <definedName name="_____fsa2">[33]FSA!$A$47:$K$73</definedName>
    <definedName name="_____fsa3" localSheetId="1">[32]FSA!$A$74:$K$114</definedName>
    <definedName name="_____fsa3">[33]FSA!$A$74:$K$114</definedName>
    <definedName name="_____fsa4" localSheetId="1">[32]FSA!$A$116:$K$161</definedName>
    <definedName name="_____fsa4">[33]FSA!$A$116:$K$161</definedName>
    <definedName name="_____H3" localSheetId="1" hidden="1">{#N/A,#N/A,FALSE,"Sheet1"}</definedName>
    <definedName name="_____H3" hidden="1">{#N/A,#N/A,FALSE,"Sheet1"}</definedName>
    <definedName name="_____IA1" localSheetId="1">#REF!</definedName>
    <definedName name="_____IA1">#REF!</definedName>
    <definedName name="_____iw1" localSheetId="1">[34]FS!#REF!</definedName>
    <definedName name="_____iw1">[35]FS!#REF!</definedName>
    <definedName name="_____K1" localSheetId="1">#REF!</definedName>
    <definedName name="_____K1">#REF!</definedName>
    <definedName name="_____K2" localSheetId="1" hidden="1">#REF!</definedName>
    <definedName name="_____K2" hidden="1">#REF!</definedName>
    <definedName name="_____K4" localSheetId="1">#REF!</definedName>
    <definedName name="_____K4">#REF!</definedName>
    <definedName name="_____KA1" localSheetId="1" hidden="1">{#N/A,#N/A,FALSE,"Sheet1"}</definedName>
    <definedName name="_____KA1" hidden="1">{#N/A,#N/A,FALSE,"Sheet1"}</definedName>
    <definedName name="_____LD1">#N/A</definedName>
    <definedName name="_____LD2">#N/A</definedName>
    <definedName name="_____M1" localSheetId="1">'[36]FF-1'!#REF!</definedName>
    <definedName name="_____M1">'[37]FF-1'!#REF!</definedName>
    <definedName name="_____MAN1" localSheetId="1">#REF!</definedName>
    <definedName name="_____MAN1">#REF!</definedName>
    <definedName name="_____N1" localSheetId="1">#REF!</definedName>
    <definedName name="_____N1">#REF!</definedName>
    <definedName name="_____N2" localSheetId="1">'[38]CA Sheet'!$R$36</definedName>
    <definedName name="_____N2">'[39]CA Sheet'!$R$36</definedName>
    <definedName name="_____N4" localSheetId="1" hidden="1">{#N/A,#N/A,FALSE,"Sheet1"}</definedName>
    <definedName name="_____N4" hidden="1">{#N/A,#N/A,FALSE,"Sheet1"}</definedName>
    <definedName name="_____no1" localSheetId="1">[11]Info!#REF!</definedName>
    <definedName name="_____no1">[12]Info!#REF!</definedName>
    <definedName name="_____o2" localSheetId="1">#REF!</definedName>
    <definedName name="_____o2">#REF!</definedName>
    <definedName name="_____OCT334" localSheetId="1">'[30]FF-3'!$A$1:$IV$8</definedName>
    <definedName name="_____OCT334">'[31]FF-3'!$A$1:$IV$8</definedName>
    <definedName name="_____Pbs1" localSheetId="1">#REF!</definedName>
    <definedName name="_____Pbs1">#REF!</definedName>
    <definedName name="_____Pbs2" localSheetId="1">#REF!</definedName>
    <definedName name="_____Pbs2">#REF!</definedName>
    <definedName name="_____PG2">#N/A</definedName>
    <definedName name="_____Pnl10" localSheetId="1">'[13]Pnl-10'!$A$1:$I$31</definedName>
    <definedName name="_____Pnl10">'[14]Pnl-10'!$A$1:$I$31</definedName>
    <definedName name="_____Pnl20" localSheetId="1">'[13]20'!$A$1:$K$87</definedName>
    <definedName name="_____Pnl20">'[14]20'!$A$1:$K$87</definedName>
    <definedName name="_____Pnl30" localSheetId="1">'[13]30'!$A$1:$L$52</definedName>
    <definedName name="_____Pnl30">'[14]30'!$A$1:$L$52</definedName>
    <definedName name="_____Pnl70" localSheetId="1">'[13]70'!$A$1:$K$34</definedName>
    <definedName name="_____Pnl70">'[14]70'!$A$1:$K$34</definedName>
    <definedName name="_____Pyt98" localSheetId="1">#REF!</definedName>
    <definedName name="_____Pyt98">#REF!</definedName>
    <definedName name="_____qer13" localSheetId="1">#REF!</definedName>
    <definedName name="_____qer13">#REF!</definedName>
    <definedName name="_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SB1" localSheetId="1">[15]LOOSECHKLIST!$I$1069</definedName>
    <definedName name="_____SB1">[16]LOOSECHKLIST!$I$1069</definedName>
    <definedName name="_____SB2" localSheetId="1">[15]LOOSECHKLIST!$A$888:$IV$888</definedName>
    <definedName name="_____SB2">[16]LOOSECHKLIST!$A$888:$IV$888</definedName>
    <definedName name="_____SB3" localSheetId="1">[15]LOOSECHKLIST!$A$828:$IV$828</definedName>
    <definedName name="_____SB3">[16]LOOSECHKLIST!$A$828:$IV$828</definedName>
    <definedName name="_____SB4" localSheetId="1">[15]LOOSECHKLIST!$A$395:$IV$395</definedName>
    <definedName name="_____SB4">[16]LOOSECHKLIST!$A$395:$IV$395</definedName>
    <definedName name="_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tax2" localSheetId="1">#REF!</definedName>
    <definedName name="_____tax2">#REF!</definedName>
    <definedName name="_____tax3" localSheetId="1">#REF!</definedName>
    <definedName name="_____tax3">#REF!</definedName>
    <definedName name="_____top05" localSheetId="1">#REF!</definedName>
    <definedName name="_____top05">#REF!</definedName>
    <definedName name="_____TOP1">#REF!</definedName>
    <definedName name="_____TOP2">#REF!</definedName>
    <definedName name="_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UB1" localSheetId="1" hidden="1">{"'Feb 99'!$A$1:$G$30"}</definedName>
    <definedName name="_____UB1" hidden="1">{"'Feb 99'!$A$1:$G$30"}</definedName>
    <definedName name="_____UB2" localSheetId="1" hidden="1">{"'Feb 99'!$A$1:$G$30"}</definedName>
    <definedName name="_____UB2" hidden="1">{"'Feb 99'!$A$1:$G$30"}</definedName>
    <definedName name="_____VAR1">#REF!</definedName>
    <definedName name="_____VAR2">#REF!</definedName>
    <definedName name="_____VAR3">#REF!</definedName>
    <definedName name="_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YA1" localSheetId="1">#REF!</definedName>
    <definedName name="_____YA1">#REF!</definedName>
    <definedName name="____a21420" localSheetId="1">#REF!</definedName>
    <definedName name="____a21420">#REF!</definedName>
    <definedName name="____a21430" localSheetId="1">#REF!</definedName>
    <definedName name="____a21430">#REF!</definedName>
    <definedName name="____A222">#REF!</definedName>
    <definedName name="____a22220">#REF!</definedName>
    <definedName name="____a22241">#REF!</definedName>
    <definedName name="____a22242">#REF!</definedName>
    <definedName name="____a22260">#REF!</definedName>
    <definedName name="____a22270">#REF!</definedName>
    <definedName name="____a24385">#REF!</definedName>
    <definedName name="____a24391">#REF!</definedName>
    <definedName name="____a24392">#REF!</definedName>
    <definedName name="____a24393">#REF!</definedName>
    <definedName name="____a24394">#REF!</definedName>
    <definedName name="____a27120">#REF!</definedName>
    <definedName name="____a27150">#REF!</definedName>
    <definedName name="____a32320">#REF!</definedName>
    <definedName name="____a32730">#REF!</definedName>
    <definedName name="____a33130">#REF!</definedName>
    <definedName name="____a33140">#REF!</definedName>
    <definedName name="____a33160">#REF!</definedName>
    <definedName name="____a33170">#REF!</definedName>
    <definedName name="____a33190">#REF!</definedName>
    <definedName name="____a33210">#REF!</definedName>
    <definedName name="____a33230">#REF!</definedName>
    <definedName name="____a33240">#REF!</definedName>
    <definedName name="____a34010">#REF!</definedName>
    <definedName name="____a41230">#REF!</definedName>
    <definedName name="____a41240">#REF!</definedName>
    <definedName name="____a42781">#REF!</definedName>
    <definedName name="____a42782">#REF!</definedName>
    <definedName name="____a42783">#REF!</definedName>
    <definedName name="____A43220">#REF!</definedName>
    <definedName name="____a43230">#REF!</definedName>
    <definedName name="____a43260">#REF!</definedName>
    <definedName name="____a43270">#REF!</definedName>
    <definedName name="____a43320">#REF!</definedName>
    <definedName name="____a43330">#REF!</definedName>
    <definedName name="____a43360">#REF!</definedName>
    <definedName name="____a43370">#REF!</definedName>
    <definedName name="____a43530">#REF!</definedName>
    <definedName name="____a43540">#REF!</definedName>
    <definedName name="____a43560">#REF!</definedName>
    <definedName name="____a43570">#REF!</definedName>
    <definedName name="____a43630">#REF!</definedName>
    <definedName name="____a43640">#REF!</definedName>
    <definedName name="____a43660">#REF!</definedName>
    <definedName name="____a43670">#REF!</definedName>
    <definedName name="____a43730">#REF!</definedName>
    <definedName name="____a43750">#REF!</definedName>
    <definedName name="____a43760">#REF!</definedName>
    <definedName name="____a43770">#REF!</definedName>
    <definedName name="____a43780">#REF!</definedName>
    <definedName name="____a48610">#REF!</definedName>
    <definedName name="____a48611">#REF!</definedName>
    <definedName name="____a48620">#REF!</definedName>
    <definedName name="____a48621">#REF!</definedName>
    <definedName name="____a48781">#REF!</definedName>
    <definedName name="____a48782">#REF!</definedName>
    <definedName name="____a48783">#REF!</definedName>
    <definedName name="____a48784">#REF!</definedName>
    <definedName name="____a51530">#REF!</definedName>
    <definedName name="____a51560">#REF!</definedName>
    <definedName name="____a51620">#REF!</definedName>
    <definedName name="____a52010">#REF!</definedName>
    <definedName name="____a53110">#REF!</definedName>
    <definedName name="____a61430">#REF!</definedName>
    <definedName name="____a61470">#REF!</definedName>
    <definedName name="____a61620">#REF!</definedName>
    <definedName name="____a63110">#REF!</definedName>
    <definedName name="____a73310">#REF!</definedName>
    <definedName name="____a83175">#REF!</definedName>
    <definedName name="____a85160">#REF!</definedName>
    <definedName name="____a85250">#REF!</definedName>
    <definedName name="____a85510">#REF!</definedName>
    <definedName name="____a85520">#REF!</definedName>
    <definedName name="____a85530">#REF!</definedName>
    <definedName name="____a85540">#REF!</definedName>
    <definedName name="____a85550">#REF!</definedName>
    <definedName name="____a85570">#REF!</definedName>
    <definedName name="____a85580">#REF!</definedName>
    <definedName name="____a85590">#REF!</definedName>
    <definedName name="____a85611">#REF!</definedName>
    <definedName name="____a85621">#REF!</definedName>
    <definedName name="____a90300">#REF!</definedName>
    <definedName name="____a90400">#REF!</definedName>
    <definedName name="____a90510">#REF!</definedName>
    <definedName name="____a90520">#REF!</definedName>
    <definedName name="____a90530">#REF!</definedName>
    <definedName name="____a90540">#REF!</definedName>
    <definedName name="____a90610">#REF!</definedName>
    <definedName name="____a90620">#REF!</definedName>
    <definedName name="____a90630">#REF!</definedName>
    <definedName name="____a90640">#REF!</definedName>
    <definedName name="____a90710">#REF!</definedName>
    <definedName name="____a90720">#REF!</definedName>
    <definedName name="____a90730">#REF!</definedName>
    <definedName name="____a90740">#REF!</definedName>
    <definedName name="____a90810">#REF!</definedName>
    <definedName name="____a90820">#REF!</definedName>
    <definedName name="____a90830">#REF!</definedName>
    <definedName name="____a90840">#REF!</definedName>
    <definedName name="____a90910">#REF!</definedName>
    <definedName name="____a90920">#REF!</definedName>
    <definedName name="____a90930">#REF!</definedName>
    <definedName name="____a90940">#REF!</definedName>
    <definedName name="____a90950">#REF!</definedName>
    <definedName name="____a91310">#REF!</definedName>
    <definedName name="____a91320">#REF!</definedName>
    <definedName name="____a91330">#REF!</definedName>
    <definedName name="____a91340">#REF!</definedName>
    <definedName name="____a91350">#REF!</definedName>
    <definedName name="____a91710">#REF!</definedName>
    <definedName name="____a91720">#REF!</definedName>
    <definedName name="____a91730">#REF!</definedName>
    <definedName name="____a91740">#REF!</definedName>
    <definedName name="____a93100">#REF!</definedName>
    <definedName name="____a93200">#REF!</definedName>
    <definedName name="____a99340">#REF!</definedName>
    <definedName name="____a99350">#REF!</definedName>
    <definedName name="____AA1">#REF!</definedName>
    <definedName name="____ACT1">#REF!</definedName>
    <definedName name="____ACT2">#REF!</definedName>
    <definedName name="____ACT3">#REF!</definedName>
    <definedName name="____ADJ1">#REF!</definedName>
    <definedName name="____ADJ2">#REF!</definedName>
    <definedName name="____AGM2" localSheetId="1" hidden="1">{#N/A,#N/A,TRUE,"M [OS-05]-00(1)"}</definedName>
    <definedName name="____AGM2" hidden="1">{#N/A,#N/A,TRUE,"M [OS-05]-00(1)"}</definedName>
    <definedName name="____aje1" localSheetId="1">#REF!</definedName>
    <definedName name="____aje1">#REF!</definedName>
    <definedName name="____arf2001" localSheetId="1">#REF!</definedName>
    <definedName name="____arf2001">#REF!</definedName>
    <definedName name="_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b90710" localSheetId="1">#REF!</definedName>
    <definedName name="____b90710">#REF!</definedName>
    <definedName name="____b90720" localSheetId="1">#REF!</definedName>
    <definedName name="____b90720">#REF!</definedName>
    <definedName name="____b90730" localSheetId="1">#REF!</definedName>
    <definedName name="____b90730">#REF!</definedName>
    <definedName name="____b90740">#REF!</definedName>
    <definedName name="____b95310">#REF!</definedName>
    <definedName name="____b95320">#REF!</definedName>
    <definedName name="____b95330">#REF!</definedName>
    <definedName name="____b95340">#REF!</definedName>
    <definedName name="____BA1">#REF!</definedName>
    <definedName name="____BC1">#REF!</definedName>
    <definedName name="____bc2">#REF!</definedName>
    <definedName name="____CAP1">#REF!</definedName>
    <definedName name="____cap2">#REF!</definedName>
    <definedName name="____cap3">#REF!</definedName>
    <definedName name="____cap4">#REF!</definedName>
    <definedName name="____cap5">#REF!</definedName>
    <definedName name="____cf2">#REF!</definedName>
    <definedName name="____cf3">#REF!</definedName>
    <definedName name="____COH1">#REF!</definedName>
    <definedName name="____COH2">#REF!</definedName>
    <definedName name="____COH3">#REF!</definedName>
    <definedName name="____e1">#REF!</definedName>
    <definedName name="____fsa1" localSheetId="1">[32]FSA!$B$1:$K$46</definedName>
    <definedName name="____fsa1">[33]FSA!$B$1:$K$46</definedName>
    <definedName name="____fsa2" localSheetId="1">[32]FSA!$A$47:$K$73</definedName>
    <definedName name="____fsa2">[33]FSA!$A$47:$K$73</definedName>
    <definedName name="____fsa3" localSheetId="1">[32]FSA!$A$74:$K$114</definedName>
    <definedName name="____fsa3">[33]FSA!$A$74:$K$114</definedName>
    <definedName name="____fsa4" localSheetId="1">[32]FSA!$A$116:$K$161</definedName>
    <definedName name="____fsa4">[33]FSA!$A$116:$K$161</definedName>
    <definedName name="____H3" localSheetId="1" hidden="1">{#N/A,#N/A,FALSE,"Sheet1"}</definedName>
    <definedName name="____H3" hidden="1">{#N/A,#N/A,FALSE,"Sheet1"}</definedName>
    <definedName name="____IA1" localSheetId="1">#REF!</definedName>
    <definedName name="____IA1">#REF!</definedName>
    <definedName name="____iw1" localSheetId="1">[34]FS!#REF!</definedName>
    <definedName name="____iw1">[35]FS!#REF!</definedName>
    <definedName name="____K1" localSheetId="1">#REF!</definedName>
    <definedName name="____K1">#REF!</definedName>
    <definedName name="____K2" localSheetId="1" hidden="1">#REF!</definedName>
    <definedName name="____K2" hidden="1">#REF!</definedName>
    <definedName name="____K4" localSheetId="1">#REF!</definedName>
    <definedName name="____K4">#REF!</definedName>
    <definedName name="____KA1" localSheetId="1" hidden="1">{#N/A,#N/A,FALSE,"Sheet1"}</definedName>
    <definedName name="____KA1" hidden="1">{#N/A,#N/A,FALSE,"Sheet1"}</definedName>
    <definedName name="____LD1">#N/A</definedName>
    <definedName name="____LD2">#N/A</definedName>
    <definedName name="____M1" localSheetId="1">'[36]FF-1'!#REF!</definedName>
    <definedName name="____M1">'[37]FF-1'!#REF!</definedName>
    <definedName name="____MAN1" localSheetId="1">#REF!</definedName>
    <definedName name="____MAN1">#REF!</definedName>
    <definedName name="____N1" localSheetId="1">#REF!</definedName>
    <definedName name="____N1">#REF!</definedName>
    <definedName name="____N2" localSheetId="1">'[38]CA Sheet'!$R$36</definedName>
    <definedName name="____N2">'[39]CA Sheet'!$R$36</definedName>
    <definedName name="____N4" localSheetId="1" hidden="1">{#N/A,#N/A,FALSE,"Sheet1"}</definedName>
    <definedName name="____N4" hidden="1">{#N/A,#N/A,FALSE,"Sheet1"}</definedName>
    <definedName name="____no1" localSheetId="1">[11]Info!#REF!</definedName>
    <definedName name="____no1">[12]Info!#REF!</definedName>
    <definedName name="____o2" localSheetId="1">#REF!</definedName>
    <definedName name="____o2">#REF!</definedName>
    <definedName name="____OCT334" localSheetId="1">'[30]FF-3'!$A$1:$IV$8</definedName>
    <definedName name="____OCT334">'[31]FF-3'!$A$1:$IV$8</definedName>
    <definedName name="____OEM1">'[40]MS Box'!#REF!</definedName>
    <definedName name="____Pbs1" localSheetId="1">#REF!</definedName>
    <definedName name="____Pbs1">#REF!</definedName>
    <definedName name="____Pbs2" localSheetId="1">#REF!</definedName>
    <definedName name="____Pbs2">#REF!</definedName>
    <definedName name="____PG2">#N/A</definedName>
    <definedName name="____Pnl10" localSheetId="1">'[13]Pnl-10'!$A$1:$I$31</definedName>
    <definedName name="____Pnl10">'[14]Pnl-10'!$A$1:$I$31</definedName>
    <definedName name="____Pnl20" localSheetId="1">'[13]20'!$A$1:$K$87</definedName>
    <definedName name="____Pnl20">'[14]20'!$A$1:$K$87</definedName>
    <definedName name="____Pnl30" localSheetId="1">'[13]30'!$A$1:$L$52</definedName>
    <definedName name="____Pnl30">'[14]30'!$A$1:$L$52</definedName>
    <definedName name="____Pnl70" localSheetId="1">'[13]70'!$A$1:$K$34</definedName>
    <definedName name="____Pnl70">'[14]70'!$A$1:$K$34</definedName>
    <definedName name="____Pyt98" localSheetId="1">#REF!</definedName>
    <definedName name="____Pyt98">#REF!</definedName>
    <definedName name="____qer13" localSheetId="1">#REF!</definedName>
    <definedName name="____qer13">#REF!</definedName>
    <definedName name="_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SB1" localSheetId="1">[15]LOOSECHKLIST!$I$1069</definedName>
    <definedName name="____SB1">[16]LOOSECHKLIST!$I$1069</definedName>
    <definedName name="____SB2" localSheetId="1">[15]LOOSECHKLIST!$A$888:$IV$888</definedName>
    <definedName name="____SB2">[16]LOOSECHKLIST!$A$888:$IV$888</definedName>
    <definedName name="____SB3" localSheetId="1">[15]LOOSECHKLIST!$A$828:$IV$828</definedName>
    <definedName name="____SB3">[16]LOOSECHKLIST!$A$828:$IV$828</definedName>
    <definedName name="____SB4" localSheetId="1">[15]LOOSECHKLIST!$A$395:$IV$395</definedName>
    <definedName name="____SB4">[16]LOOSECHKLIST!$A$395:$IV$395</definedName>
    <definedName name="_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tax2" localSheetId="1">#REF!</definedName>
    <definedName name="____tax2">#REF!</definedName>
    <definedName name="____tax3" localSheetId="1">#REF!</definedName>
    <definedName name="____tax3">#REF!</definedName>
    <definedName name="____top05" localSheetId="1">#REF!</definedName>
    <definedName name="____top05">#REF!</definedName>
    <definedName name="____TOP1">#REF!</definedName>
    <definedName name="____TOP2">#REF!</definedName>
    <definedName name="_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UB1" localSheetId="1" hidden="1">{"'Feb 99'!$A$1:$G$30"}</definedName>
    <definedName name="____UB1" hidden="1">{"'Feb 99'!$A$1:$G$30"}</definedName>
    <definedName name="____UB2" localSheetId="1" hidden="1">{"'Feb 99'!$A$1:$G$30"}</definedName>
    <definedName name="____UB2" hidden="1">{"'Feb 99'!$A$1:$G$30"}</definedName>
    <definedName name="____VAR1">#REF!</definedName>
    <definedName name="____VAR2">#REF!</definedName>
    <definedName name="____VAR3">#REF!</definedName>
    <definedName name="_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weg33" localSheetId="1">[17]!_xlbgnm.weg33</definedName>
    <definedName name="____weg33">[18]!_xlbgnm.weg33</definedName>
    <definedName name="_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xlnm__FilterDatabase">NA()</definedName>
    <definedName name="____YA1" localSheetId="1">#REF!</definedName>
    <definedName name="____YA1">#REF!</definedName>
    <definedName name="___a21420" localSheetId="1">#REF!</definedName>
    <definedName name="___a21420">#REF!</definedName>
    <definedName name="___a21430" localSheetId="1">#REF!</definedName>
    <definedName name="___a21430">#REF!</definedName>
    <definedName name="___A222">#REF!</definedName>
    <definedName name="___a22220">#REF!</definedName>
    <definedName name="___a22241">#REF!</definedName>
    <definedName name="___a22242">#REF!</definedName>
    <definedName name="___a22260">#REF!</definedName>
    <definedName name="___a22270">#REF!</definedName>
    <definedName name="___a24385">#REF!</definedName>
    <definedName name="___a24391">#REF!</definedName>
    <definedName name="___a24392">#REF!</definedName>
    <definedName name="___a24393">#REF!</definedName>
    <definedName name="___a24394">#REF!</definedName>
    <definedName name="___a27120">#REF!</definedName>
    <definedName name="___a27150">#REF!</definedName>
    <definedName name="___a32320">#REF!</definedName>
    <definedName name="___a32730">#REF!</definedName>
    <definedName name="___a33130">#REF!</definedName>
    <definedName name="___a33140">#REF!</definedName>
    <definedName name="___a33160">#REF!</definedName>
    <definedName name="___a33170">#REF!</definedName>
    <definedName name="___a33190">#REF!</definedName>
    <definedName name="___a33210">#REF!</definedName>
    <definedName name="___a33230">#REF!</definedName>
    <definedName name="___a33240">#REF!</definedName>
    <definedName name="___a34010">#REF!</definedName>
    <definedName name="___a41230">#REF!</definedName>
    <definedName name="___a41240">#REF!</definedName>
    <definedName name="___a42781">#REF!</definedName>
    <definedName name="___a42782">#REF!</definedName>
    <definedName name="___a42783">#REF!</definedName>
    <definedName name="___A43220">#REF!</definedName>
    <definedName name="___a43230">#REF!</definedName>
    <definedName name="___a43260">#REF!</definedName>
    <definedName name="___a43270">#REF!</definedName>
    <definedName name="___a43320">#REF!</definedName>
    <definedName name="___a43330">#REF!</definedName>
    <definedName name="___a43360">#REF!</definedName>
    <definedName name="___a43370">#REF!</definedName>
    <definedName name="___a43530">#REF!</definedName>
    <definedName name="___a43540">#REF!</definedName>
    <definedName name="___a43560">#REF!</definedName>
    <definedName name="___a43570">#REF!</definedName>
    <definedName name="___a43630">#REF!</definedName>
    <definedName name="___a43640">#REF!</definedName>
    <definedName name="___a43660">#REF!</definedName>
    <definedName name="___a43670">#REF!</definedName>
    <definedName name="___a43730">#REF!</definedName>
    <definedName name="___a43750">#REF!</definedName>
    <definedName name="___a43760">#REF!</definedName>
    <definedName name="___a43770">#REF!</definedName>
    <definedName name="___a43780">#REF!</definedName>
    <definedName name="___a48610">#REF!</definedName>
    <definedName name="___a48611">#REF!</definedName>
    <definedName name="___a48620">#REF!</definedName>
    <definedName name="___a48621">#REF!</definedName>
    <definedName name="___a48781">#REF!</definedName>
    <definedName name="___a48782">#REF!</definedName>
    <definedName name="___a48783">#REF!</definedName>
    <definedName name="___a48784">#REF!</definedName>
    <definedName name="___a51530">#REF!</definedName>
    <definedName name="___a51560">#REF!</definedName>
    <definedName name="___a51620">#REF!</definedName>
    <definedName name="___a52010">#REF!</definedName>
    <definedName name="___a53110">#REF!</definedName>
    <definedName name="___a61430">#REF!</definedName>
    <definedName name="___a61470">#REF!</definedName>
    <definedName name="___a61620">#REF!</definedName>
    <definedName name="___a63110">#REF!</definedName>
    <definedName name="___a73310">#REF!</definedName>
    <definedName name="___a83175">#REF!</definedName>
    <definedName name="___a85160">#REF!</definedName>
    <definedName name="___a85250">#REF!</definedName>
    <definedName name="___a85510">#REF!</definedName>
    <definedName name="___a85520">#REF!</definedName>
    <definedName name="___a85530">#REF!</definedName>
    <definedName name="___a85540">#REF!</definedName>
    <definedName name="___a85550">#REF!</definedName>
    <definedName name="___a85570">#REF!</definedName>
    <definedName name="___a85580">#REF!</definedName>
    <definedName name="___a85590">#REF!</definedName>
    <definedName name="___a85611">#REF!</definedName>
    <definedName name="___a85621">#REF!</definedName>
    <definedName name="___a90300">#REF!</definedName>
    <definedName name="___a90400">#REF!</definedName>
    <definedName name="___a90510">#REF!</definedName>
    <definedName name="___a90520">#REF!</definedName>
    <definedName name="___a90530">#REF!</definedName>
    <definedName name="___a90540">#REF!</definedName>
    <definedName name="___a90610">#REF!</definedName>
    <definedName name="___a90620">#REF!</definedName>
    <definedName name="___a90630">#REF!</definedName>
    <definedName name="___a90640">#REF!</definedName>
    <definedName name="___a90710">#REF!</definedName>
    <definedName name="___a90720">#REF!</definedName>
    <definedName name="___a90730">#REF!</definedName>
    <definedName name="___a90740">#REF!</definedName>
    <definedName name="___a90810">#REF!</definedName>
    <definedName name="___a90820">#REF!</definedName>
    <definedName name="___a90830">#REF!</definedName>
    <definedName name="___a90840">#REF!</definedName>
    <definedName name="___a90910">#REF!</definedName>
    <definedName name="___a90920">#REF!</definedName>
    <definedName name="___a90930">#REF!</definedName>
    <definedName name="___a90940">#REF!</definedName>
    <definedName name="___a90950">#REF!</definedName>
    <definedName name="___a91310">#REF!</definedName>
    <definedName name="___a91320">#REF!</definedName>
    <definedName name="___a91330">#REF!</definedName>
    <definedName name="___a91340">#REF!</definedName>
    <definedName name="___a91350">#REF!</definedName>
    <definedName name="___a91710">#REF!</definedName>
    <definedName name="___a91720">#REF!</definedName>
    <definedName name="___a91730">#REF!</definedName>
    <definedName name="___a91740">#REF!</definedName>
    <definedName name="___a93100">#REF!</definedName>
    <definedName name="___a93200">#REF!</definedName>
    <definedName name="___a99340">#REF!</definedName>
    <definedName name="___a99350">#REF!</definedName>
    <definedName name="___AA1">#REF!</definedName>
    <definedName name="___ACT1">#REF!</definedName>
    <definedName name="___ACT2">#REF!</definedName>
    <definedName name="___ACT3">#REF!</definedName>
    <definedName name="___ADJ1">#REF!</definedName>
    <definedName name="___ADJ2">#REF!</definedName>
    <definedName name="___AGM2" localSheetId="1" hidden="1">{#N/A,#N/A,TRUE,"M [OS-05]-00(1)"}</definedName>
    <definedName name="___AGM2" hidden="1">{#N/A,#N/A,TRUE,"M [OS-05]-00(1)"}</definedName>
    <definedName name="___aje1" localSheetId="1">#REF!</definedName>
    <definedName name="___aje1">#REF!</definedName>
    <definedName name="___arf2001" localSheetId="1">#REF!</definedName>
    <definedName name="___arf2001">#REF!</definedName>
    <definedName name="_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b90710" localSheetId="1">#REF!</definedName>
    <definedName name="___b90710">#REF!</definedName>
    <definedName name="___b90720" localSheetId="1">#REF!</definedName>
    <definedName name="___b90720">#REF!</definedName>
    <definedName name="___b90730" localSheetId="1">#REF!</definedName>
    <definedName name="___b90730">#REF!</definedName>
    <definedName name="___b90740">#REF!</definedName>
    <definedName name="___b95310">#REF!</definedName>
    <definedName name="___b95320">#REF!</definedName>
    <definedName name="___b95330">#REF!</definedName>
    <definedName name="___b95340">#REF!</definedName>
    <definedName name="___BA1">#REF!</definedName>
    <definedName name="___BC1">#REF!</definedName>
    <definedName name="___bc2">#REF!</definedName>
    <definedName name="___CAP1">#REF!</definedName>
    <definedName name="___cap2">#REF!</definedName>
    <definedName name="___cap3">#REF!</definedName>
    <definedName name="___cap4">#REF!</definedName>
    <definedName name="___cap5">#REF!</definedName>
    <definedName name="___cf2">#REF!</definedName>
    <definedName name="___cf3">#REF!</definedName>
    <definedName name="___COH1">#REF!</definedName>
    <definedName name="___COH2">#REF!</definedName>
    <definedName name="___COH3">#REF!</definedName>
    <definedName name="___e1">#REF!</definedName>
    <definedName name="___fsa1" localSheetId="1">[32]FSA!$B$1:$K$46</definedName>
    <definedName name="___fsa1">[33]FSA!$B$1:$K$46</definedName>
    <definedName name="___fsa2" localSheetId="1">[32]FSA!$A$47:$K$73</definedName>
    <definedName name="___fsa2">[33]FSA!$A$47:$K$73</definedName>
    <definedName name="___fsa3" localSheetId="1">[32]FSA!$A$74:$K$114</definedName>
    <definedName name="___fsa3">[33]FSA!$A$74:$K$114</definedName>
    <definedName name="___fsa4" localSheetId="1">[32]FSA!$A$116:$K$161</definedName>
    <definedName name="___fsa4">[33]FSA!$A$116:$K$161</definedName>
    <definedName name="___H3" localSheetId="1" hidden="1">{#N/A,#N/A,FALSE,"Sheet1"}</definedName>
    <definedName name="___H3" hidden="1">{#N/A,#N/A,FALSE,"Sheet1"}</definedName>
    <definedName name="___IA1" localSheetId="1">#REF!</definedName>
    <definedName name="___IA1">#REF!</definedName>
    <definedName name="___iw1" localSheetId="1">[34]FS!#REF!</definedName>
    <definedName name="___iw1">[35]FS!#REF!</definedName>
    <definedName name="___K1" localSheetId="1">#REF!</definedName>
    <definedName name="___K1">#REF!</definedName>
    <definedName name="___K2" localSheetId="1" hidden="1">#REF!</definedName>
    <definedName name="___K2" hidden="1">#REF!</definedName>
    <definedName name="___K4" localSheetId="1">#REF!</definedName>
    <definedName name="___K4">#REF!</definedName>
    <definedName name="___KA1" localSheetId="1" hidden="1">{#N/A,#N/A,FALSE,"Sheet1"}</definedName>
    <definedName name="___KA1" hidden="1">{#N/A,#N/A,FALSE,"Sheet1"}</definedName>
    <definedName name="___LD1">#N/A</definedName>
    <definedName name="___LD2">#N/A</definedName>
    <definedName name="___M1" localSheetId="1">'[36]FF-1'!#REF!</definedName>
    <definedName name="___M1">'[37]FF-1'!#REF!</definedName>
    <definedName name="___MAN1" localSheetId="1">#REF!</definedName>
    <definedName name="___MAN1">#REF!</definedName>
    <definedName name="___N1" localSheetId="1">#REF!</definedName>
    <definedName name="___N1">#REF!</definedName>
    <definedName name="___N2" localSheetId="1">'[38]CA Sheet'!$R$36</definedName>
    <definedName name="___N2">'[39]CA Sheet'!$R$36</definedName>
    <definedName name="___N4" localSheetId="1" hidden="1">{#N/A,#N/A,FALSE,"Sheet1"}</definedName>
    <definedName name="___N4" hidden="1">{#N/A,#N/A,FALSE,"Sheet1"}</definedName>
    <definedName name="___no1" localSheetId="1">[11]Info!#REF!</definedName>
    <definedName name="___no1">[12]Info!#REF!</definedName>
    <definedName name="___o2" localSheetId="1">#REF!</definedName>
    <definedName name="___o2">#REF!</definedName>
    <definedName name="___OCT334" localSheetId="1">'[30]FF-3'!$A$1:$IV$8</definedName>
    <definedName name="___OCT334">'[31]FF-3'!$A$1:$IV$8</definedName>
    <definedName name="___OEM1">'[40]MS Box'!#REF!</definedName>
    <definedName name="___Pbs1" localSheetId="1">#REF!</definedName>
    <definedName name="___Pbs1">#REF!</definedName>
    <definedName name="___Pbs2" localSheetId="1">#REF!</definedName>
    <definedName name="___Pbs2">#REF!</definedName>
    <definedName name="___PG2">#N/A</definedName>
    <definedName name="___Pnl10" localSheetId="1">'[13]Pnl-10'!$A$1:$I$31</definedName>
    <definedName name="___Pnl10">'[14]Pnl-10'!$A$1:$I$31</definedName>
    <definedName name="___Pnl20" localSheetId="1">'[13]20'!$A$1:$K$87</definedName>
    <definedName name="___Pnl20">'[14]20'!$A$1:$K$87</definedName>
    <definedName name="___Pnl30" localSheetId="1">'[13]30'!$A$1:$L$52</definedName>
    <definedName name="___Pnl30">'[14]30'!$A$1:$L$52</definedName>
    <definedName name="___Pnl70" localSheetId="1">'[13]70'!$A$1:$K$34</definedName>
    <definedName name="___Pnl70">'[14]70'!$A$1:$K$34</definedName>
    <definedName name="___Pyt98" localSheetId="1">#REF!</definedName>
    <definedName name="___Pyt98">#REF!</definedName>
    <definedName name="___qer13" localSheetId="1">#REF!</definedName>
    <definedName name="___qer13">#REF!</definedName>
    <definedName name="_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SB1" localSheetId="1">[15]LOOSECHKLIST!$I$1069</definedName>
    <definedName name="___SB1">[16]LOOSECHKLIST!$I$1069</definedName>
    <definedName name="___SB2" localSheetId="1">[15]LOOSECHKLIST!$A$888:$IV$888</definedName>
    <definedName name="___SB2">[16]LOOSECHKLIST!$A$888:$IV$888</definedName>
    <definedName name="___SB3" localSheetId="1">[15]LOOSECHKLIST!$A$828:$IV$828</definedName>
    <definedName name="___SB3">[16]LOOSECHKLIST!$A$828:$IV$828</definedName>
    <definedName name="___SB4" localSheetId="1">[15]LOOSECHKLIST!$A$395:$IV$395</definedName>
    <definedName name="___SB4">[16]LOOSECHKLIST!$A$395:$IV$395</definedName>
    <definedName name="_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tax2" localSheetId="1">#REF!</definedName>
    <definedName name="___tax2">#REF!</definedName>
    <definedName name="___tax3" localSheetId="1">#REF!</definedName>
    <definedName name="___tax3">#REF!</definedName>
    <definedName name="___top05" localSheetId="1">#REF!</definedName>
    <definedName name="___top05">#REF!</definedName>
    <definedName name="___TOP1">#REF!</definedName>
    <definedName name="___TOP2">#REF!</definedName>
    <definedName name="_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UB1" localSheetId="1" hidden="1">{"'Feb 99'!$A$1:$G$30"}</definedName>
    <definedName name="___UB1" hidden="1">{"'Feb 99'!$A$1:$G$30"}</definedName>
    <definedName name="___UB2" localSheetId="1" hidden="1">{"'Feb 99'!$A$1:$G$30"}</definedName>
    <definedName name="___UB2" hidden="1">{"'Feb 99'!$A$1:$G$30"}</definedName>
    <definedName name="___VAR1">#REF!</definedName>
    <definedName name="___VAR2">#REF!</definedName>
    <definedName name="___VAR3">#REF!</definedName>
    <definedName name="_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weg33" localSheetId="1">[17]!_xlbgnm.weg33</definedName>
    <definedName name="___weg33">[18]!_xlbgnm.weg33</definedName>
    <definedName name="_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xlnm__FilterDatabase">NA()</definedName>
    <definedName name="___YA1" localSheetId="1">#REF!</definedName>
    <definedName name="___YA1">#REF!</definedName>
    <definedName name="__a21420" localSheetId="1">#REF!</definedName>
    <definedName name="__a21420">#REF!</definedName>
    <definedName name="__a21430" localSheetId="1">#REF!</definedName>
    <definedName name="__a21430">#REF!</definedName>
    <definedName name="__A222">#REF!</definedName>
    <definedName name="__a22220">#REF!</definedName>
    <definedName name="__a22241">#REF!</definedName>
    <definedName name="__a22242">#REF!</definedName>
    <definedName name="__a22260">#REF!</definedName>
    <definedName name="__a22270">#REF!</definedName>
    <definedName name="__a24385">#REF!</definedName>
    <definedName name="__a24391">#REF!</definedName>
    <definedName name="__a24392">#REF!</definedName>
    <definedName name="__a24393">#REF!</definedName>
    <definedName name="__a24394">#REF!</definedName>
    <definedName name="__a27120">#REF!</definedName>
    <definedName name="__a27150">#REF!</definedName>
    <definedName name="__a32320">#REF!</definedName>
    <definedName name="__a32730">#REF!</definedName>
    <definedName name="__a33130">#REF!</definedName>
    <definedName name="__a33140">#REF!</definedName>
    <definedName name="__a33160">#REF!</definedName>
    <definedName name="__a33170">#REF!</definedName>
    <definedName name="__a33190">#REF!</definedName>
    <definedName name="__a33210">#REF!</definedName>
    <definedName name="__a33230">#REF!</definedName>
    <definedName name="__a33240">#REF!</definedName>
    <definedName name="__a34010">#REF!</definedName>
    <definedName name="__a41230">#REF!</definedName>
    <definedName name="__a41240">#REF!</definedName>
    <definedName name="__a42781">#REF!</definedName>
    <definedName name="__a42782">#REF!</definedName>
    <definedName name="__a42783">#REF!</definedName>
    <definedName name="__A43220">#REF!</definedName>
    <definedName name="__a43230">#REF!</definedName>
    <definedName name="__a43260">#REF!</definedName>
    <definedName name="__a43270">#REF!</definedName>
    <definedName name="__a43320">#REF!</definedName>
    <definedName name="__a43330">#REF!</definedName>
    <definedName name="__a43360">#REF!</definedName>
    <definedName name="__a43370">#REF!</definedName>
    <definedName name="__a43530">#REF!</definedName>
    <definedName name="__a43540">#REF!</definedName>
    <definedName name="__a43560">#REF!</definedName>
    <definedName name="__a43570">#REF!</definedName>
    <definedName name="__a43630">#REF!</definedName>
    <definedName name="__a43640">#REF!</definedName>
    <definedName name="__a43660">#REF!</definedName>
    <definedName name="__a43670">#REF!</definedName>
    <definedName name="__a43730">#REF!</definedName>
    <definedName name="__a43750">#REF!</definedName>
    <definedName name="__a43760">#REF!</definedName>
    <definedName name="__a43770">#REF!</definedName>
    <definedName name="__a43780">#REF!</definedName>
    <definedName name="__a48610">#REF!</definedName>
    <definedName name="__a48611">#REF!</definedName>
    <definedName name="__a48620">#REF!</definedName>
    <definedName name="__a48621">#REF!</definedName>
    <definedName name="__a48781">#REF!</definedName>
    <definedName name="__a48782">#REF!</definedName>
    <definedName name="__a48783">#REF!</definedName>
    <definedName name="__a48784">#REF!</definedName>
    <definedName name="__a51530">#REF!</definedName>
    <definedName name="__a51560">#REF!</definedName>
    <definedName name="__a51620">#REF!</definedName>
    <definedName name="__a52010">#REF!</definedName>
    <definedName name="__a53110">#REF!</definedName>
    <definedName name="__a61430">#REF!</definedName>
    <definedName name="__a61470">#REF!</definedName>
    <definedName name="__a61620">#REF!</definedName>
    <definedName name="__a63110">#REF!</definedName>
    <definedName name="__a73310">#REF!</definedName>
    <definedName name="__a83175">#REF!</definedName>
    <definedName name="__a85160">#REF!</definedName>
    <definedName name="__a85250">#REF!</definedName>
    <definedName name="__a85510">#REF!</definedName>
    <definedName name="__a85520">#REF!</definedName>
    <definedName name="__a85530">#REF!</definedName>
    <definedName name="__a85540">#REF!</definedName>
    <definedName name="__a85550">#REF!</definedName>
    <definedName name="__a85570">#REF!</definedName>
    <definedName name="__a85580">#REF!</definedName>
    <definedName name="__a85590">#REF!</definedName>
    <definedName name="__a85611">#REF!</definedName>
    <definedName name="__a85621">#REF!</definedName>
    <definedName name="__a90300">#REF!</definedName>
    <definedName name="__a90400">#REF!</definedName>
    <definedName name="__a90510">#REF!</definedName>
    <definedName name="__a90520">#REF!</definedName>
    <definedName name="__a90530">#REF!</definedName>
    <definedName name="__a90540">#REF!</definedName>
    <definedName name="__a90610">#REF!</definedName>
    <definedName name="__a90620">#REF!</definedName>
    <definedName name="__a90630">#REF!</definedName>
    <definedName name="__a90640">#REF!</definedName>
    <definedName name="__a90710">#REF!</definedName>
    <definedName name="__a90720">#REF!</definedName>
    <definedName name="__a90730">#REF!</definedName>
    <definedName name="__a90740">#REF!</definedName>
    <definedName name="__a90810">#REF!</definedName>
    <definedName name="__a90820">#REF!</definedName>
    <definedName name="__a90830">#REF!</definedName>
    <definedName name="__a90840">#REF!</definedName>
    <definedName name="__a90910">#REF!</definedName>
    <definedName name="__a90920">#REF!</definedName>
    <definedName name="__a90930">#REF!</definedName>
    <definedName name="__a90940">#REF!</definedName>
    <definedName name="__a90950">#REF!</definedName>
    <definedName name="__a91310">#REF!</definedName>
    <definedName name="__a91320">#REF!</definedName>
    <definedName name="__a91330">#REF!</definedName>
    <definedName name="__a91340">#REF!</definedName>
    <definedName name="__a91350">#REF!</definedName>
    <definedName name="__a91710">#REF!</definedName>
    <definedName name="__a91720">#REF!</definedName>
    <definedName name="__a91730">#REF!</definedName>
    <definedName name="__a91740">#REF!</definedName>
    <definedName name="__a93100">#REF!</definedName>
    <definedName name="__a93200">#REF!</definedName>
    <definedName name="__a99340">#REF!</definedName>
    <definedName name="__a99350">#REF!</definedName>
    <definedName name="__AA1">#REF!</definedName>
    <definedName name="__ACT1">#REF!</definedName>
    <definedName name="__ACT2">#REF!</definedName>
    <definedName name="__ACT3">#REF!</definedName>
    <definedName name="__ADJ1">#REF!</definedName>
    <definedName name="__ADJ2">#REF!</definedName>
    <definedName name="__AGM2" localSheetId="1" hidden="1">{#N/A,#N/A,TRUE,"M [OS-05]-00(1)"}</definedName>
    <definedName name="__AGM2" hidden="1">{#N/A,#N/A,TRUE,"M [OS-05]-00(1)"}</definedName>
    <definedName name="__AIR12">"$#REF!.#REF!$#REF!"</definedName>
    <definedName name="__aje1" localSheetId="1">#REF!</definedName>
    <definedName name="__aje1">#REF!</definedName>
    <definedName name="__AP110" localSheetId="1">[41]BPR!$F$11</definedName>
    <definedName name="__AP110">[42]BPR!$F$11</definedName>
    <definedName name="__arf2001" localSheetId="1">#REF!</definedName>
    <definedName name="__arf2001">#REF!</definedName>
    <definedName name="_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b90710" localSheetId="1">#REF!</definedName>
    <definedName name="__b90710">#REF!</definedName>
    <definedName name="__b90720" localSheetId="1">#REF!</definedName>
    <definedName name="__b90720">#REF!</definedName>
    <definedName name="__b90730" localSheetId="1">#REF!</definedName>
    <definedName name="__b90730">#REF!</definedName>
    <definedName name="__b90740">#REF!</definedName>
    <definedName name="__b95310">#REF!</definedName>
    <definedName name="__b95320">#REF!</definedName>
    <definedName name="__b95330">#REF!</definedName>
    <definedName name="__b95340">#REF!</definedName>
    <definedName name="__BA1">#REF!</definedName>
    <definedName name="__BC1">#REF!</definedName>
    <definedName name="__bc2">#REF!</definedName>
    <definedName name="__BCV1918">"$#REF!.$D$40"</definedName>
    <definedName name="__BEC3457">"$#REF!.$#REF!$#REF!"</definedName>
    <definedName name="__BEC3508">"$#REF!.$#REF!$#REF!"</definedName>
    <definedName name="__CAP1" localSheetId="1">#REF!</definedName>
    <definedName name="__CAP1">#REF!</definedName>
    <definedName name="__cap2" localSheetId="1">#REF!</definedName>
    <definedName name="__cap2">#REF!</definedName>
    <definedName name="__cap3" localSheetId="1">#REF!</definedName>
    <definedName name="__cap3">#REF!</definedName>
    <definedName name="__cap4">#REF!</definedName>
    <definedName name="__cap5">#REF!</definedName>
    <definedName name="__cf2">#REF!</definedName>
    <definedName name="__cf3">#REF!</definedName>
    <definedName name="__COH1">#REF!</definedName>
    <definedName name="__COH2">#REF!</definedName>
    <definedName name="__COH3">#REF!</definedName>
    <definedName name="__e1">#REF!</definedName>
    <definedName name="__fsa1" localSheetId="1">[32]FSA!$B$1:$K$46</definedName>
    <definedName name="__fsa1">[33]FSA!$B$1:$K$46</definedName>
    <definedName name="__fsa2" localSheetId="1">[32]FSA!$A$47:$K$73</definedName>
    <definedName name="__fsa2">[33]FSA!$A$47:$K$73</definedName>
    <definedName name="__fsa3" localSheetId="1">[32]FSA!$A$74:$K$114</definedName>
    <definedName name="__fsa3">[33]FSA!$A$74:$K$114</definedName>
    <definedName name="__fsa4" localSheetId="1">[32]FSA!$A$116:$K$161</definedName>
    <definedName name="__fsa4">[33]FSA!$A$116:$K$161</definedName>
    <definedName name="__H3" localSheetId="1" hidden="1">{#N/A,#N/A,FALSE,"Sheet1"}</definedName>
    <definedName name="__H3" hidden="1">{#N/A,#N/A,FALSE,"Sheet1"}</definedName>
    <definedName name="__hp11" localSheetId="1">[43]AFA!#REF!</definedName>
    <definedName name="__hp11">[44]AFA!#REF!</definedName>
    <definedName name="__hp2">"'file://Mindy/jobonhand/Assurance/Workings&amp;Account/YenHong\'07/WeltaxcompPY.xls'#$AFA.$#REF!$#REF!"</definedName>
    <definedName name="__IA1" localSheetId="1">#REF!</definedName>
    <definedName name="__IA1">#REF!</definedName>
    <definedName name="__IntlFixup" hidden="1">TRUE</definedName>
    <definedName name="__iw1" localSheetId="1">[34]FS!#REF!</definedName>
    <definedName name="__iw1">[35]FS!#REF!</definedName>
    <definedName name="__JAK8116">"$#REF!.$#REF!$#REF!"</definedName>
    <definedName name="__JCC2934">"$#REF!.$#REF!$#REF!"</definedName>
    <definedName name="__JCD7460">"$#REF!.$#REF!$#REF!"</definedName>
    <definedName name="__JCE5834">"$#REF!.#REF!$#REF!"</definedName>
    <definedName name="__JCK4712">"$#REF!.$#REF!$#REF!"</definedName>
    <definedName name="__JCW6924">"$#REF!.$C$40"</definedName>
    <definedName name="__JDC3818">"$#REF!.$#REF!$#REF!"</definedName>
    <definedName name="__JDF3422">"$#REF!.$#REF!$#REF!"</definedName>
    <definedName name="__JDF4294">"$#REF!.$#REF!$#REF!"</definedName>
    <definedName name="__JDP2875">"$#REF!.$#REF!$#REF!"</definedName>
    <definedName name="__JDR9740">"$#REF!.$#REF!$#REF!"</definedName>
    <definedName name="__JDS601">"$#REF!.$#REF!$#REF!"</definedName>
    <definedName name="__JDV3439">"$#REF!.$#REF!$#REF!"</definedName>
    <definedName name="__K1" localSheetId="1">#REF!</definedName>
    <definedName name="__K1">#REF!</definedName>
    <definedName name="__k2" localSheetId="1">[45]FORMC94!$A$6:$M$38</definedName>
    <definedName name="__k2">[46]FORMC94!$A$6:$M$38</definedName>
    <definedName name="__K4" localSheetId="1">#REF!</definedName>
    <definedName name="__K4">#REF!</definedName>
    <definedName name="__KA1" localSheetId="1" hidden="1">{#N/A,#N/A,FALSE,"Sheet1"}</definedName>
    <definedName name="__KA1" hidden="1">{#N/A,#N/A,FALSE,"Sheet1"}</definedName>
    <definedName name="__LD1">#N/A</definedName>
    <definedName name="__LD2">#N/A</definedName>
    <definedName name="__M1" localSheetId="1">'[36]FF-1'!#REF!</definedName>
    <definedName name="__M1">'[37]FF-1'!#REF!</definedName>
    <definedName name="__MAN1" localSheetId="1">#REF!</definedName>
    <definedName name="__MAN1">#REF!</definedName>
    <definedName name="__N1" localSheetId="1">#REF!</definedName>
    <definedName name="__N1">#REF!</definedName>
    <definedName name="__N2" localSheetId="1">'[38]CA Sheet'!$R$36</definedName>
    <definedName name="__N2">'[39]CA Sheet'!$R$36</definedName>
    <definedName name="__N4" localSheetId="1" hidden="1">{#N/A,#N/A,FALSE,"Sheet1"}</definedName>
    <definedName name="__N4" hidden="1">{#N/A,#N/A,FALSE,"Sheet1"}</definedName>
    <definedName name="__no1" localSheetId="1">[11]Info!#REF!</definedName>
    <definedName name="__no1">[12]Info!#REF!</definedName>
    <definedName name="__o2" localSheetId="1">#REF!</definedName>
    <definedName name="__o2">#REF!</definedName>
    <definedName name="__OCT334" localSheetId="1">[47]FF_3!$A$1:$IV$8</definedName>
    <definedName name="__OCT334">[48]FF_3!$A$1:$IV$8</definedName>
    <definedName name="__OEM1">'[40]MS Box'!#REF!</definedName>
    <definedName name="__Pbs1" localSheetId="1">#REF!</definedName>
    <definedName name="__Pbs1">#REF!</definedName>
    <definedName name="__Pbs2" localSheetId="1">#REF!</definedName>
    <definedName name="__Pbs2">#REF!</definedName>
    <definedName name="__PG2">#N/A</definedName>
    <definedName name="__Pnl10" localSheetId="1">'[13]Pnl-10'!$A$1:$I$31</definedName>
    <definedName name="__Pnl10">'[14]Pnl-10'!$A$1:$I$31</definedName>
    <definedName name="__Pnl20" localSheetId="1">'[13]20'!$A$1:$K$87</definedName>
    <definedName name="__Pnl20">'[14]20'!$A$1:$K$87</definedName>
    <definedName name="__Pnl30" localSheetId="1">'[13]30'!$A$1:$L$52</definedName>
    <definedName name="__Pnl30">'[14]30'!$A$1:$L$52</definedName>
    <definedName name="__Pnl70" localSheetId="1">'[13]70'!$A$1:$K$34</definedName>
    <definedName name="__Pnl70">'[14]70'!$A$1:$K$34</definedName>
    <definedName name="__Pyt98" localSheetId="1">#REF!</definedName>
    <definedName name="__Pyt98">#REF!</definedName>
    <definedName name="__qer13" localSheetId="1">#REF!</definedName>
    <definedName name="__qer13">#REF!</definedName>
    <definedName name="_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SB1" localSheetId="1">[15]LOOSECHKLIST!$I$1069</definedName>
    <definedName name="__SB1">[16]LOOSECHKLIST!$I$1069</definedName>
    <definedName name="__SB2" localSheetId="1">[15]LOOSECHKLIST!$A$888:$IV$888</definedName>
    <definedName name="__SB2">[16]LOOSECHKLIST!$A$888:$IV$888</definedName>
    <definedName name="__SB3" localSheetId="1">[15]LOOSECHKLIST!$A$828:$IV$828</definedName>
    <definedName name="__SB3">[16]LOOSECHKLIST!$A$828:$IV$828</definedName>
    <definedName name="__SB4" localSheetId="1">[15]LOOSECHKLIST!$A$395:$IV$395</definedName>
    <definedName name="__SB4">[16]LOOSECHKLIST!$A$395:$IV$395</definedName>
    <definedName name="_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tax2" localSheetId="1">#REF!</definedName>
    <definedName name="__tax2">#REF!</definedName>
    <definedName name="__tax3" localSheetId="1">#REF!</definedName>
    <definedName name="__tax3">#REF!</definedName>
    <definedName name="__top05" localSheetId="1">#REF!</definedName>
    <definedName name="__top05">#REF!</definedName>
    <definedName name="__TOP1">#REF!</definedName>
    <definedName name="__TOP2">#REF!</definedName>
    <definedName name="_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UB1" localSheetId="1" hidden="1">{"'Feb 99'!$A$1:$G$30"}</definedName>
    <definedName name="__UB1" hidden="1">{"'Feb 99'!$A$1:$G$30"}</definedName>
    <definedName name="__UB2" localSheetId="1" hidden="1">{"'Feb 99'!$A$1:$G$30"}</definedName>
    <definedName name="__UB2" hidden="1">{"'Feb 99'!$A$1:$G$30"}</definedName>
    <definedName name="__VAR1">#REF!</definedName>
    <definedName name="__VAR2">#REF!</definedName>
    <definedName name="__VAR3">#REF!</definedName>
    <definedName name="_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WAS7962">"$#REF!.#REF!$#REF!"</definedName>
    <definedName name="__WCA8822">"$#REF!.$E$40"</definedName>
    <definedName name="__weg33" localSheetId="1">[17]!_xlbgnm.weg33</definedName>
    <definedName name="__weg33">[18]!_xlbgnm.weg33</definedName>
    <definedName name="_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xlnm__FilterDatabase">NA()</definedName>
    <definedName name="__YA1" localSheetId="1">#REF!</definedName>
    <definedName name="__YA1">#REF!</definedName>
    <definedName name="_1__123Graph_ACHART_5" localSheetId="1" hidden="1">#REF!</definedName>
    <definedName name="_1__123Graph_ACHART_5" hidden="1">#REF!</definedName>
    <definedName name="_1_Business_Process" localSheetId="1">#REF!</definedName>
    <definedName name="_1_Business_Process">#REF!</definedName>
    <definedName name="_10__123Graph_BCHART_5" hidden="1">#REF!</definedName>
    <definedName name="_12__123Graph_XCHART_5" hidden="1">#REF!</definedName>
    <definedName name="_1Excel_BuiltIn_Print_Area_1_1" localSheetId="1">'[50]C 1'!$A$1:$H$177,'[50]C 1'!$A$1:$M$67,'[50]C 1'!$A$1:$M$67,'[50]C 1'!$A$1:$M$67,'[50]C 1'!$A$1:$M$67,'[50]C 1'!$A$1:$M$67,'[50]C 1'!$A$1:$M$67,'[50]C 1'!$A$1:$M$67</definedName>
    <definedName name="_1Excel_BuiltIn_Print_Area_1_1">'[51]C 1'!$A$1:$H$177,'[51]C 1'!$A$1:$M$67,'[51]C 1'!$A$1:$M$67,'[51]C 1'!$A$1:$M$67,'[51]C 1'!$A$1:$M$67,'[51]C 1'!$A$1:$M$67,'[51]C 1'!$A$1:$M$67,'[51]C 1'!$A$1:$M$67</definedName>
    <definedName name="_1Excel_BuiltIn_Print_Area_26_1" localSheetId="1">#REF!</definedName>
    <definedName name="_1Excel_BuiltIn_Print_Area_26_1">#REF!</definedName>
    <definedName name="_2____123Graph_ACHART_5" localSheetId="1" hidden="1">#REF!</definedName>
    <definedName name="_2____123Graph_ACHART_5" hidden="1">#REF!</definedName>
    <definedName name="_2__123Graph_BCHART_5" localSheetId="1" hidden="1">#REF!</definedName>
    <definedName name="_2__123Graph_BCHART_5" hidden="1">#REF!</definedName>
    <definedName name="_2Excel_BuiltIn_Print_Area_1_1_1">#REF!</definedName>
    <definedName name="_3__123Graph_XCHART_5" hidden="1">#REF!</definedName>
    <definedName name="_3Excel_BuiltIn_Print_Area_26_1">#REF!</definedName>
    <definedName name="_4____123Graph_BCHART_5" hidden="1">#REF!</definedName>
    <definedName name="_6____123Graph_XCHART_5" hidden="1">#REF!</definedName>
    <definedName name="_8__123Graph_ACHART_5" hidden="1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a">"'file://Mindy//Jhb2_gen_mal_3/AabsData/DATA/Bee Sing/KIL334/YE00/Ideal Reno/awpIR.xls'#$FF_4.$#REF!$#REF!"</definedName>
    <definedName name="_a_1">"'file://Mindy//Jhb2_gen_mal_3/AabsData/DATA/Bee Sing/KIL334/YE00/Ideal Reno/awpIR.xls'#$FF_4.$#REF!$#REF!"</definedName>
    <definedName name="_a_10" localSheetId="1">[52]FF_4!#REF!</definedName>
    <definedName name="_a_10">[53]FF_4!#REF!</definedName>
    <definedName name="_a_11">"'file://Mindy//Jhb2_gen_mal_3/AabsData/DATA/Bee Sing/KIL334/YE00/Ideal Reno/awpIR.xls'#$FF_4.$#REF!$#REF!"</definedName>
    <definedName name="_a_12" localSheetId="1">[54]FF_4!#REF!</definedName>
    <definedName name="_a_12">[55]FF_4!#REF!</definedName>
    <definedName name="_a_13" localSheetId="1">[56]FF_4!#REF!</definedName>
    <definedName name="_a_13">[57]FF_4!#REF!</definedName>
    <definedName name="_a_14" localSheetId="1">[54]FF_4!#REF!</definedName>
    <definedName name="_a_14">[55]FF_4!#REF!</definedName>
    <definedName name="_a_15" localSheetId="1">[54]FF_4!#REF!</definedName>
    <definedName name="_a_15">[55]FF_4!#REF!</definedName>
    <definedName name="_a_19" localSheetId="1">[58]FF_4!#REF!</definedName>
    <definedName name="_a_19">[59]FF_4!#REF!</definedName>
    <definedName name="_a_20" localSheetId="1">[56]FF_4!#REF!</definedName>
    <definedName name="_a_20">[57]FF_4!#REF!</definedName>
    <definedName name="_a_21" localSheetId="1">[56]FF_4!#REF!</definedName>
    <definedName name="_a_21">[57]FF_4!#REF!</definedName>
    <definedName name="_a_22">"'file:///A:/BAfile/Aud1/GLP334/Ye01/09-AWPs/Bee Sing/KIL334/YE00/Ideal Reno/awpIR.xls'#$FF_4.$#REF!$#REF!"</definedName>
    <definedName name="_a_23">"'file:///A:/BAfile/Aud1/GLP334/Ye01/09-AWPs/Bee Sing/KIL334/YE00/Ideal Reno/awpIR.xls'#$FF_4.$#REF!$#REF!"</definedName>
    <definedName name="_a_23_1">"'file:///A:/BAfile/Aud1/GLP334/Ye01/09-AWPs/Bee Sing/KIL334/YE00/Ideal Reno/awpIR.xls'#$FF_4.$#REF!$#REF!"</definedName>
    <definedName name="_a_25">"'file:///A:/BAfile/Aud1/GLP334/Ye01/09-AWPs/Bee Sing/KIL334/YE00/Ideal Reno/awpIR.xls'#$FF_4.$#REF!$#REF!"</definedName>
    <definedName name="_a_29" localSheetId="1">[56]FF_4!#REF!</definedName>
    <definedName name="_a_29">[57]FF_4!#REF!</definedName>
    <definedName name="_a_43" localSheetId="1">[56]FF_4!#REF!</definedName>
    <definedName name="_a_43">[57]FF_4!#REF!</definedName>
    <definedName name="_a_47" localSheetId="1">[56]FF_4!#REF!</definedName>
    <definedName name="_a_47">[57]FF_4!#REF!</definedName>
    <definedName name="_a_49" localSheetId="1">[58]FF_4!#REF!</definedName>
    <definedName name="_a_49">[59]FF_4!#REF!</definedName>
    <definedName name="_a_65" localSheetId="1">[58]FF_4!#REF!</definedName>
    <definedName name="_a_65">[59]FF_4!#REF!</definedName>
    <definedName name="_a_66" localSheetId="1">[56]FF_4!#REF!</definedName>
    <definedName name="_a_66">[57]FF_4!#REF!</definedName>
    <definedName name="_a_8" localSheetId="1">[52]FF_4!#REF!</definedName>
    <definedName name="_a_8">[53]FF_4!#REF!</definedName>
    <definedName name="_a_9">"'file://Mindy//Jhb2_gen_mal_3/AabsData/DATA/Bee Sing/KIL334/YE00/Ideal Reno/awpIR.xls'#$FF_4.$#REF!$#REF!"</definedName>
    <definedName name="_a21420" localSheetId="1">#REF!</definedName>
    <definedName name="_a21420">#REF!</definedName>
    <definedName name="_a21430" localSheetId="1">#REF!</definedName>
    <definedName name="_a21430">#REF!</definedName>
    <definedName name="_A222" localSheetId="1">#REF!</definedName>
    <definedName name="_A222">#REF!</definedName>
    <definedName name="_a22220">#REF!</definedName>
    <definedName name="_a22241">#REF!</definedName>
    <definedName name="_a22242">#REF!</definedName>
    <definedName name="_a22260">#REF!</definedName>
    <definedName name="_a22270">#REF!</definedName>
    <definedName name="_a24385">#REF!</definedName>
    <definedName name="_a24391">#REF!</definedName>
    <definedName name="_a24392">#REF!</definedName>
    <definedName name="_a24393">#REF!</definedName>
    <definedName name="_a24394">#REF!</definedName>
    <definedName name="_a27120">#REF!</definedName>
    <definedName name="_a27150">#REF!</definedName>
    <definedName name="_a32320">#REF!</definedName>
    <definedName name="_a32730">#REF!</definedName>
    <definedName name="_a33130">#REF!</definedName>
    <definedName name="_a33140">#REF!</definedName>
    <definedName name="_a33160">#REF!</definedName>
    <definedName name="_a33170">#REF!</definedName>
    <definedName name="_a33190">#REF!</definedName>
    <definedName name="_a33210">#REF!</definedName>
    <definedName name="_a33230">#REF!</definedName>
    <definedName name="_a33240">#REF!</definedName>
    <definedName name="_a34010">#REF!</definedName>
    <definedName name="_a41230">#REF!</definedName>
    <definedName name="_a41240">#REF!</definedName>
    <definedName name="_a42781">#REF!</definedName>
    <definedName name="_a42782">#REF!</definedName>
    <definedName name="_a42783">#REF!</definedName>
    <definedName name="_A43220">#REF!</definedName>
    <definedName name="_a43230">#REF!</definedName>
    <definedName name="_a43260">#REF!</definedName>
    <definedName name="_a43270">#REF!</definedName>
    <definedName name="_a43320">#REF!</definedName>
    <definedName name="_a43330">#REF!</definedName>
    <definedName name="_a43360">#REF!</definedName>
    <definedName name="_a43370">#REF!</definedName>
    <definedName name="_a43530">#REF!</definedName>
    <definedName name="_a43540">#REF!</definedName>
    <definedName name="_a43560">#REF!</definedName>
    <definedName name="_a43570">#REF!</definedName>
    <definedName name="_a43630">#REF!</definedName>
    <definedName name="_a43640">#REF!</definedName>
    <definedName name="_a43660">#REF!</definedName>
    <definedName name="_a43670">#REF!</definedName>
    <definedName name="_a43730">#REF!</definedName>
    <definedName name="_a43750">#REF!</definedName>
    <definedName name="_a43760">#REF!</definedName>
    <definedName name="_a43770">#REF!</definedName>
    <definedName name="_a43780">#REF!</definedName>
    <definedName name="_a48610">#REF!</definedName>
    <definedName name="_a48611">#REF!</definedName>
    <definedName name="_a48620">#REF!</definedName>
    <definedName name="_a48621">#REF!</definedName>
    <definedName name="_a48781">#REF!</definedName>
    <definedName name="_a48782">#REF!</definedName>
    <definedName name="_a48783">#REF!</definedName>
    <definedName name="_a48784">#REF!</definedName>
    <definedName name="_a51530">#REF!</definedName>
    <definedName name="_a51560">#REF!</definedName>
    <definedName name="_a51620">#REF!</definedName>
    <definedName name="_a52010">#REF!</definedName>
    <definedName name="_a53110">#REF!</definedName>
    <definedName name="_a61430">#REF!</definedName>
    <definedName name="_a61470">#REF!</definedName>
    <definedName name="_a61620">#REF!</definedName>
    <definedName name="_a63110">#REF!</definedName>
    <definedName name="_a73310">#REF!</definedName>
    <definedName name="_a83175">#REF!</definedName>
    <definedName name="_a85160">#REF!</definedName>
    <definedName name="_a85250">#REF!</definedName>
    <definedName name="_a85510">#REF!</definedName>
    <definedName name="_a85520">#REF!</definedName>
    <definedName name="_a85530">#REF!</definedName>
    <definedName name="_a85540">#REF!</definedName>
    <definedName name="_a85550">#REF!</definedName>
    <definedName name="_a85570">#REF!</definedName>
    <definedName name="_a85580">#REF!</definedName>
    <definedName name="_a85590">#REF!</definedName>
    <definedName name="_a85611">#REF!</definedName>
    <definedName name="_a85621">#REF!</definedName>
    <definedName name="_a90300">#REF!</definedName>
    <definedName name="_a90400">#REF!</definedName>
    <definedName name="_a90510">#REF!</definedName>
    <definedName name="_a90520">#REF!</definedName>
    <definedName name="_a90530">#REF!</definedName>
    <definedName name="_a90540">#REF!</definedName>
    <definedName name="_a90610">#REF!</definedName>
    <definedName name="_a90620">#REF!</definedName>
    <definedName name="_a90630">#REF!</definedName>
    <definedName name="_a90640">#REF!</definedName>
    <definedName name="_a90710">#REF!</definedName>
    <definedName name="_a90720">#REF!</definedName>
    <definedName name="_a90730">#REF!</definedName>
    <definedName name="_a90740">#REF!</definedName>
    <definedName name="_a90810">#REF!</definedName>
    <definedName name="_a90820">#REF!</definedName>
    <definedName name="_a90830">#REF!</definedName>
    <definedName name="_a90840">#REF!</definedName>
    <definedName name="_a90910">#REF!</definedName>
    <definedName name="_a90920">#REF!</definedName>
    <definedName name="_a90930">#REF!</definedName>
    <definedName name="_a90940">#REF!</definedName>
    <definedName name="_a90950">#REF!</definedName>
    <definedName name="_a91310">#REF!</definedName>
    <definedName name="_a91320">#REF!</definedName>
    <definedName name="_a91330">#REF!</definedName>
    <definedName name="_a91340">#REF!</definedName>
    <definedName name="_a91350">#REF!</definedName>
    <definedName name="_a91710">#REF!</definedName>
    <definedName name="_a91720">#REF!</definedName>
    <definedName name="_a91730">#REF!</definedName>
    <definedName name="_a91740">#REF!</definedName>
    <definedName name="_a93100">#REF!</definedName>
    <definedName name="_a93200">#REF!</definedName>
    <definedName name="_a99340">#REF!</definedName>
    <definedName name="_a99350">#REF!</definedName>
    <definedName name="_AA1">#REF!</definedName>
    <definedName name="_ACT1">#REF!</definedName>
    <definedName name="_ACT2">#REF!</definedName>
    <definedName name="_ACT3">#REF!</definedName>
    <definedName name="_ADJ1">#REF!</definedName>
    <definedName name="_ADJ2">#REF!</definedName>
    <definedName name="_AGM2" localSheetId="1" hidden="1">{#N/A,#N/A,TRUE,"M [OS-05]-00(1)"}</definedName>
    <definedName name="_AGM2" hidden="1">{#N/A,#N/A,TRUE,"M [OS-05]-00(1)"}</definedName>
    <definedName name="_AIR12" localSheetId="1">#REF!</definedName>
    <definedName name="_AIR12">#REF!</definedName>
    <definedName name="_aje1" localSheetId="1">#REF!</definedName>
    <definedName name="_aje1">#REF!</definedName>
    <definedName name="_AP110" localSheetId="1">[60]BPR!$F$11</definedName>
    <definedName name="_AP110">[61]BPR!$F$11</definedName>
    <definedName name="_arf2001" localSheetId="1">#REF!</definedName>
    <definedName name="_arf2001">#REF!</definedName>
    <definedName name="_as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as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b90710" localSheetId="1">#REF!</definedName>
    <definedName name="_b90710">#REF!</definedName>
    <definedName name="_b90720" localSheetId="1">#REF!</definedName>
    <definedName name="_b90720">#REF!</definedName>
    <definedName name="_b90730" localSheetId="1">#REF!</definedName>
    <definedName name="_b90730">#REF!</definedName>
    <definedName name="_b90740">#REF!</definedName>
    <definedName name="_b95310">#REF!</definedName>
    <definedName name="_b95320">#REF!</definedName>
    <definedName name="_b95330">#REF!</definedName>
    <definedName name="_b95340">#REF!</definedName>
    <definedName name="_BA1">#REF!</definedName>
    <definedName name="_BC1">#REF!</definedName>
    <definedName name="_bc2">#REF!</definedName>
    <definedName name="_BCV1918">#REF!</definedName>
    <definedName name="_BEC3457">#REF!</definedName>
    <definedName name="_BEC3508">#REF!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f2">#REF!</definedName>
    <definedName name="_cf3">#REF!</definedName>
    <definedName name="_COH1">#REF!</definedName>
    <definedName name="_COH2">#REF!</definedName>
    <definedName name="_COH3">#REF!</definedName>
    <definedName name="_CRA" localSheetId="1">'[62]CRA-Detail'!#REF!</definedName>
    <definedName name="_CRA">'[63]CRA-Detail'!#REF!</definedName>
    <definedName name="_e1" localSheetId="1">#REF!</definedName>
    <definedName name="_e1">#REF!</definedName>
    <definedName name="_Fill" localSheetId="1" hidden="1">#REF!</definedName>
    <definedName name="_Fill" hidden="1">#REF!</definedName>
    <definedName name="_fsa1" localSheetId="1">[32]FSA!$B$1:$K$46</definedName>
    <definedName name="_fsa1">[33]FSA!$B$1:$K$46</definedName>
    <definedName name="_fsa2" localSheetId="1">[32]FSA!$A$47:$K$73</definedName>
    <definedName name="_fsa2">[33]FSA!$A$47:$K$73</definedName>
    <definedName name="_fsa3" localSheetId="1">[32]FSA!$A$74:$K$114</definedName>
    <definedName name="_fsa3">[33]FSA!$A$74:$K$114</definedName>
    <definedName name="_fsa4" localSheetId="1">[32]FSA!$A$116:$K$161</definedName>
    <definedName name="_fsa4">[33]FSA!$A$116:$K$161</definedName>
    <definedName name="_H3" localSheetId="1" hidden="1">{#N/A,#N/A,FALSE,"Sheet1"}</definedName>
    <definedName name="_H3" hidden="1">{#N/A,#N/A,FALSE,"Sheet1"}</definedName>
    <definedName name="_hp11" localSheetId="1">[43]AFA!#REF!</definedName>
    <definedName name="_hp11">[44]AFA!#REF!</definedName>
    <definedName name="_hp2" localSheetId="1">[64]AFA!#REF!</definedName>
    <definedName name="_hp2">[65]AFA!#REF!</definedName>
    <definedName name="_IA1" localSheetId="1">#REF!</definedName>
    <definedName name="_IA1">#REF!</definedName>
    <definedName name="_iw1" localSheetId="1">[34]FS!#REF!</definedName>
    <definedName name="_iw1">[35]FS!#REF!</definedName>
    <definedName name="_JAK8116" localSheetId="1">#REF!</definedName>
    <definedName name="_JAK8116">#REF!</definedName>
    <definedName name="_JCC2934" localSheetId="1">#REF!</definedName>
    <definedName name="_JCC2934">#REF!</definedName>
    <definedName name="_JCD7460" localSheetId="1">#REF!</definedName>
    <definedName name="_JCD7460">#REF!</definedName>
    <definedName name="_JCE5834">#REF!</definedName>
    <definedName name="_JCK4712">#REF!</definedName>
    <definedName name="_JCW6924">#REF!</definedName>
    <definedName name="_JDC3818">#REF!</definedName>
    <definedName name="_JDF3422">#REF!</definedName>
    <definedName name="_JDF4294">#REF!</definedName>
    <definedName name="_JDP2875">#REF!</definedName>
    <definedName name="_JDR9740">#REF!</definedName>
    <definedName name="_JDS601">#REF!</definedName>
    <definedName name="_JDV3439">#REF!</definedName>
    <definedName name="_K1">#REF!</definedName>
    <definedName name="_k2" localSheetId="1">[45]FORMC94!$A$6:$M$38</definedName>
    <definedName name="_k2">[46]FORMC94!$A$6:$M$38</definedName>
    <definedName name="_K4" localSheetId="1">#REF!</definedName>
    <definedName name="_K4">#REF!</definedName>
    <definedName name="_KA1" localSheetId="1" hidden="1">{#N/A,#N/A,FALSE,"Sheet1"}</definedName>
    <definedName name="_KA1" hidden="1">{#N/A,#N/A,FALSE,"Sheet1"}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D1">#N/A</definedName>
    <definedName name="_LD2">#N/A</definedName>
    <definedName name="_M1" localSheetId="1">'[36]FF-1'!#REF!</definedName>
    <definedName name="_M1">'[37]FF-1'!#REF!</definedName>
    <definedName name="_MAN1" localSheetId="1">#REF!</definedName>
    <definedName name="_MAN1">#REF!</definedName>
    <definedName name="_MatInverse_In" localSheetId="1" hidden="1">#REF!</definedName>
    <definedName name="_MatInverse_In" hidden="1">#REF!</definedName>
    <definedName name="_MatInverse_Out" localSheetId="1" hidden="1">#REF!</definedName>
    <definedName name="_MatInverse_Out" hidden="1">#REF!</definedName>
    <definedName name="_N1">#REF!</definedName>
    <definedName name="_N2" localSheetId="1">'[38]CA Sheet'!$R$36</definedName>
    <definedName name="_N2">'[39]CA Sheet'!$R$36</definedName>
    <definedName name="_N4" localSheetId="1" hidden="1">{#N/A,#N/A,FALSE,"Sheet1"}</definedName>
    <definedName name="_N4" hidden="1">{#N/A,#N/A,FALSE,"Sheet1"}</definedName>
    <definedName name="_no1" localSheetId="1">[11]Info!#REF!</definedName>
    <definedName name="_no1">[12]Info!#REF!</definedName>
    <definedName name="_o2" localSheetId="1">#REF!</definedName>
    <definedName name="_o2">#REF!</definedName>
    <definedName name="_OCT334" localSheetId="1">[66]FF_3!$A$1:$IV$8</definedName>
    <definedName name="_OCT334">[67]FF_3!$A$1:$IV$8</definedName>
    <definedName name="_OEM1">'[68]MS Box'!#REF!</definedName>
    <definedName name="_Order1" hidden="1">255</definedName>
    <definedName name="_Order2" hidden="1">255</definedName>
    <definedName name="_Pbs1" localSheetId="1">#REF!</definedName>
    <definedName name="_Pbs1">#REF!</definedName>
    <definedName name="_Pbs2" localSheetId="1">#REF!</definedName>
    <definedName name="_Pbs2">#REF!</definedName>
    <definedName name="_PG2">#N/A</definedName>
    <definedName name="_Pnl10" localSheetId="1">'[13]Pnl-10'!$A$1:$I$31</definedName>
    <definedName name="_Pnl10">'[14]Pnl-10'!$A$1:$I$31</definedName>
    <definedName name="_Pnl20" localSheetId="1">'[13]20'!$A$1:$K$87</definedName>
    <definedName name="_Pnl20">'[14]20'!$A$1:$K$87</definedName>
    <definedName name="_Pnl30" localSheetId="1">'[13]30'!$A$1:$L$52</definedName>
    <definedName name="_Pnl30">'[14]30'!$A$1:$L$52</definedName>
    <definedName name="_Pnl70" localSheetId="1">'[13]70'!$A$1:$K$34</definedName>
    <definedName name="_Pnl70">'[14]70'!$A$1:$K$34</definedName>
    <definedName name="_Pyt98" localSheetId="1">#REF!</definedName>
    <definedName name="_Pyt98">#REF!</definedName>
    <definedName name="_qer13" localSheetId="1">#REF!</definedName>
    <definedName name="_qer13">#REF!</definedName>
    <definedName name="_Regression_Int" hidden="1">1</definedName>
    <definedName name="_rrr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rrr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SB1" localSheetId="1">[15]LOOSECHKLIST!$I$1069</definedName>
    <definedName name="_SB1">[16]LOOSECHKLIST!$I$1069</definedName>
    <definedName name="_SB2" localSheetId="1">[15]LOOSECHKLIST!$A$888:$IV$888</definedName>
    <definedName name="_SB2">[16]LOOSECHKLIST!$A$888:$IV$888</definedName>
    <definedName name="_SB3" localSheetId="1">[15]LOOSECHKLIST!$A$828:$IV$828</definedName>
    <definedName name="_SB3">[16]LOOSECHKLIST!$A$828:$IV$828</definedName>
    <definedName name="_SB4" localSheetId="1">[15]LOOSECHKLIST!$A$395:$IV$395</definedName>
    <definedName name="_SB4">[16]LOOSECHKLIST!$A$395:$IV$395</definedName>
    <definedName name="_Sort" localSheetId="1" hidden="1">#REF!</definedName>
    <definedName name="_Sort" hidden="1">#REF!</definedName>
    <definedName name="_sss6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sss6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tax2" localSheetId="1">#REF!</definedName>
    <definedName name="_tax2">#REF!</definedName>
    <definedName name="_tax3" localSheetId="1">#REF!</definedName>
    <definedName name="_tax3">#REF!</definedName>
    <definedName name="_top05" localSheetId="1">#REF!</definedName>
    <definedName name="_top05">#REF!</definedName>
    <definedName name="_TOP1">#REF!</definedName>
    <definedName name="_TOP2">#REF!</definedName>
    <definedName name="_U4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UB1" localSheetId="1" hidden="1">{"'Feb 99'!$A$1:$G$30"}</definedName>
    <definedName name="_UB1" hidden="1">{"'Feb 99'!$A$1:$G$30"}</definedName>
    <definedName name="_UB2" localSheetId="1" hidden="1">{"'Feb 99'!$A$1:$G$30"}</definedName>
    <definedName name="_UB2" hidden="1">{"'Feb 99'!$A$1:$G$30"}</definedName>
    <definedName name="_VAR1">#REF!</definedName>
    <definedName name="_VAR2">#REF!</definedName>
    <definedName name="_VAR3">#REF!</definedName>
    <definedName name="_w23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w23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w45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w4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WAS7962" localSheetId="1">#REF!</definedName>
    <definedName name="_WAS7962">#REF!</definedName>
    <definedName name="_WCA8822" localSheetId="1">#REF!</definedName>
    <definedName name="_WCA8822">#REF!</definedName>
    <definedName name="_WCHR1.T1">#N/A</definedName>
    <definedName name="_weg33" localSheetId="1">[17]!_xlbgnm.weg33</definedName>
    <definedName name="_weg33">[18]!_xlbgnm.weg33</definedName>
    <definedName name="_ww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w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YA1" localSheetId="1">#REF!</definedName>
    <definedName name="_YA1">#REF!</definedName>
    <definedName name="A" localSheetId="1">'[71]11922'!#REF!</definedName>
    <definedName name="A">'[72]11922'!#REF!</definedName>
    <definedName name="A_02" localSheetId="1">#REF!</definedName>
    <definedName name="A_02">#REF!</definedName>
    <definedName name="a_1" localSheetId="1">[73]B!$C$7</definedName>
    <definedName name="a_1">[74]B!$C$7</definedName>
    <definedName name="a_10" localSheetId="1">[75]B!$C$7</definedName>
    <definedName name="a_10">[76]B!$C$7</definedName>
    <definedName name="a_11" localSheetId="1">[73]B!$C$7</definedName>
    <definedName name="a_11">[74]B!$C$7</definedName>
    <definedName name="a_12" localSheetId="1">[73]B!$C$7</definedName>
    <definedName name="a_12">[74]B!$C$7</definedName>
    <definedName name="a_13" localSheetId="1">[73]B!$C$7</definedName>
    <definedName name="a_13">[74]B!$C$7</definedName>
    <definedName name="a_14" localSheetId="1">[73]B!$C$7</definedName>
    <definedName name="a_14">[74]B!$C$7</definedName>
    <definedName name="a_15" localSheetId="1">[73]B!$C$7</definedName>
    <definedName name="a_15">[74]B!$C$7</definedName>
    <definedName name="a_16" localSheetId="1">[73]B!$C$7</definedName>
    <definedName name="a_16">[74]B!$C$7</definedName>
    <definedName name="a_17" localSheetId="1">[73]B!$C$7</definedName>
    <definedName name="a_17">[74]B!$C$7</definedName>
    <definedName name="a_18" localSheetId="1">[73]B!$C$7</definedName>
    <definedName name="a_18">[74]B!$C$7</definedName>
    <definedName name="a_19" localSheetId="1">[73]B!$C$7</definedName>
    <definedName name="a_19">[74]B!$C$7</definedName>
    <definedName name="A_1b" localSheetId="1">#REF!</definedName>
    <definedName name="A_1b">#REF!</definedName>
    <definedName name="a_20" localSheetId="1">[73]B!$C$7</definedName>
    <definedName name="a_20">[74]B!$C$7</definedName>
    <definedName name="a_20_1" localSheetId="1">[73]B!$C$7</definedName>
    <definedName name="a_20_1">[74]B!$C$7</definedName>
    <definedName name="a_21" localSheetId="1">[75]B!$C$7</definedName>
    <definedName name="a_21">[76]B!$C$7</definedName>
    <definedName name="a_21_72" localSheetId="1">[73]B!$C$7</definedName>
    <definedName name="a_21_72">[74]B!$C$7</definedName>
    <definedName name="a_22" localSheetId="1">[75]B!$C$7</definedName>
    <definedName name="a_22">[76]B!$C$7</definedName>
    <definedName name="a_23" localSheetId="1">[73]B!$C$7</definedName>
    <definedName name="a_23">[74]B!$C$7</definedName>
    <definedName name="a_24" localSheetId="1">[73]B!$C$7</definedName>
    <definedName name="a_24">[74]B!$C$7</definedName>
    <definedName name="a_25" localSheetId="1">[73]B!$C$7</definedName>
    <definedName name="a_25">[74]B!$C$7</definedName>
    <definedName name="a_26" localSheetId="1">[73]B!$C$7</definedName>
    <definedName name="a_26">[74]B!$C$7</definedName>
    <definedName name="a_27" localSheetId="1">[73]B!$C$7</definedName>
    <definedName name="a_27">[74]B!$C$7</definedName>
    <definedName name="a_28" localSheetId="1">[73]B!$C$7</definedName>
    <definedName name="a_28">[74]B!$C$7</definedName>
    <definedName name="a_29" localSheetId="1">[73]B!$C$7</definedName>
    <definedName name="a_29">[74]B!$C$7</definedName>
    <definedName name="a_3" localSheetId="1">[77]B!$C$7</definedName>
    <definedName name="a_3">[78]B!$C$7</definedName>
    <definedName name="a_30" localSheetId="1">[73]B!$C$7</definedName>
    <definedName name="a_30">[74]B!$C$7</definedName>
    <definedName name="a_31" localSheetId="1">[73]B!$C$7</definedName>
    <definedName name="a_31">[74]B!$C$7</definedName>
    <definedName name="a_32" localSheetId="1">[73]B!$C$7</definedName>
    <definedName name="a_32">[74]B!$C$7</definedName>
    <definedName name="a_34" localSheetId="1">[73]B!$C$7</definedName>
    <definedName name="a_34">[74]B!$C$7</definedName>
    <definedName name="a_36" localSheetId="1">[73]B!$C$7</definedName>
    <definedName name="a_36">[74]B!$C$7</definedName>
    <definedName name="a_37" localSheetId="1">[73]B!$C$7</definedName>
    <definedName name="a_37">[74]B!$C$7</definedName>
    <definedName name="a_37_1" localSheetId="1">[73]B!$C$7</definedName>
    <definedName name="a_37_1">[74]B!$C$7</definedName>
    <definedName name="a_39" localSheetId="1">[73]B!$C$7</definedName>
    <definedName name="a_39">[74]B!$C$7</definedName>
    <definedName name="a_4" localSheetId="1">[73]B!$C$7</definedName>
    <definedName name="a_4">[74]B!$C$7</definedName>
    <definedName name="a_5" localSheetId="1">[73]B!$C$7</definedName>
    <definedName name="a_5">[74]B!$C$7</definedName>
    <definedName name="a_7" localSheetId="1">[75]B!$C$7</definedName>
    <definedName name="a_7">[76]B!$C$7</definedName>
    <definedName name="a_79" localSheetId="1">[73]B!$C$7</definedName>
    <definedName name="a_79">[74]B!$C$7</definedName>
    <definedName name="a_8" localSheetId="1">[73]B!$C$7</definedName>
    <definedName name="a_8">[74]B!$C$7</definedName>
    <definedName name="A_DescriptionList" localSheetId="1">'[79]Interim --&gt; Top'!$E$3:$E$111</definedName>
    <definedName name="A_DescriptionList">'[80]Interim --&gt; Top'!$E$3:$E$111</definedName>
    <definedName name="a12120_" localSheetId="1">#REF!</definedName>
    <definedName name="a12120_">#REF!</definedName>
    <definedName name="a12220_" localSheetId="1">#REF!</definedName>
    <definedName name="a12220_">#REF!</definedName>
    <definedName name="a12241_" localSheetId="1">#REF!</definedName>
    <definedName name="a12241_">#REF!</definedName>
    <definedName name="a12260_">#REF!</definedName>
    <definedName name="a12270_">#REF!</definedName>
    <definedName name="a13220_">#REF!</definedName>
    <definedName name="a13230_">#REF!</definedName>
    <definedName name="a13320_">#REF!</definedName>
    <definedName name="a13330_">#REF!</definedName>
    <definedName name="a13720_">#REF!</definedName>
    <definedName name="a13730_">#REF!</definedName>
    <definedName name="a13750_">#REF!</definedName>
    <definedName name="a13760_">#REF!</definedName>
    <definedName name="a13820_">#REF!</definedName>
    <definedName name="a13830_">#REF!</definedName>
    <definedName name="a13850_">#REF!</definedName>
    <definedName name="a13860_">#REF!</definedName>
    <definedName name="A1A">#REF!</definedName>
    <definedName name="A2A" localSheetId="1" hidden="1">{#N/A,#N/A,FALSE,"Sheet1"}</definedName>
    <definedName name="A2A" hidden="1">{#N/A,#N/A,FALSE,"Sheet1"}</definedName>
    <definedName name="A2PRJE" localSheetId="1" hidden="1">{#N/A,#N/A,FALSE,"Sheet1"}</definedName>
    <definedName name="A2PRJE" hidden="1">{#N/A,#N/A,FALSE,"Sheet1"}</definedName>
    <definedName name="AA" localSheetId="1">#REF!</definedName>
    <definedName name="AA">#REF!</definedName>
    <definedName name="AA_1" localSheetId="1">[81]FF_4!#REF!</definedName>
    <definedName name="AA_1">[82]FF_4!#REF!</definedName>
    <definedName name="AA_10" localSheetId="1">[83]FF_4!#REF!</definedName>
    <definedName name="AA_10">[84]FF_4!#REF!</definedName>
    <definedName name="AA_1a" localSheetId="1">[13]AA!$A$1:$K$22</definedName>
    <definedName name="AA_1a">[14]AA!$A$1:$K$22</definedName>
    <definedName name="AA_25">"'file://LIEH/JobOnHand/IndexFurniture 06/DATA/Bee Sing/KIL334/YE00/Ideal Reno/awpIR.xls'#$FF_4.$#REF!$#REF!"</definedName>
    <definedName name="AA_5" localSheetId="1">[83]FF_4!#REF!</definedName>
    <definedName name="AA_5">[84]FF_4!#REF!</definedName>
    <definedName name="AA_72">"'file://MINDY/JobOnHand/IndexFurniture 06/DATA/Bee Sing/KIL334/YE00/Ideal Reno/awpIR.xls'#$FF_4.$#REF!$#REF!"</definedName>
    <definedName name="AA_8" localSheetId="1">[81]FF_4!#REF!</definedName>
    <definedName name="AA_8">[82]FF_4!#REF!</definedName>
    <definedName name="AAA" localSheetId="1">#REF!</definedName>
    <definedName name="AAA">#REF!</definedName>
    <definedName name="AAAA" localSheetId="1">#REF!</definedName>
    <definedName name="AAAA">#REF!</definedName>
    <definedName name="AAAAAAA" localSheetId="1">#REF!</definedName>
    <definedName name="AAAAAAA">#REF!</definedName>
    <definedName name="AAAAAAAAA">#REF!</definedName>
    <definedName name="aaaaaaaaaa">#REF!</definedName>
    <definedName name="aaaaaaaaaaaa" localSheetId="1">'[85]tax-ss'!$B$51</definedName>
    <definedName name="aaaaaaaaaaaa">'[86]tax-ss'!$B$51</definedName>
    <definedName name="AAAAAAAAAAAAA" localSheetId="1" hidden="1">{#N/A,#N/A,FALSE,"Sheet1"}</definedName>
    <definedName name="AAAAAAAAAAAAA" hidden="1">{#N/A,#N/A,FALSE,"Sheet1"}</definedName>
    <definedName name="AAClaim" localSheetId="1">#REF!</definedName>
    <definedName name="AAClaim">#REF!</definedName>
    <definedName name="AAClaim1" localSheetId="1">'[87]CA Sheet'!$R$36</definedName>
    <definedName name="AAClaim1">'[88]CA Sheet'!$R$36</definedName>
    <definedName name="aafaf" localSheetId="1">[17]!aafaf</definedName>
    <definedName name="aafaf">[18]!aafaf</definedName>
    <definedName name="aawa" localSheetId="1">#REF!</definedName>
    <definedName name="aawa">#REF!</definedName>
    <definedName name="AB" localSheetId="1">#REF!</definedName>
    <definedName name="AB">#REF!</definedName>
    <definedName name="abc" localSheetId="1">'[89]1 LeadSchedule'!#REF!</definedName>
    <definedName name="abc">'[90]1 LeadSchedule'!#REF!</definedName>
    <definedName name="Acc_Depreciation" localSheetId="1">#REF!</definedName>
    <definedName name="Acc_Depreciation">#REF!</definedName>
    <definedName name="Acc_Limit" localSheetId="1">'[91]0100'!$K$14:$K$106</definedName>
    <definedName name="Acc_Limit">'[92]0100'!$K$14:$K$106</definedName>
    <definedName name="Acc_Names" localSheetId="1">'[91]0100'!$A$14:$A$106</definedName>
    <definedName name="Acc_Names">'[92]0100'!$A$14:$A$106</definedName>
    <definedName name="Acc_Numbers" localSheetId="1">'[91]0100'!$C$14:$C$106</definedName>
    <definedName name="Acc_Numbers">'[92]0100'!$C$14:$C$106</definedName>
    <definedName name="Acct.code" localSheetId="1">[93]U!#REF!</definedName>
    <definedName name="Acct.code">[94]U!#REF!</definedName>
    <definedName name="accTrend7.9" localSheetId="1">#REF!</definedName>
    <definedName name="accTrend7.9">#REF!</definedName>
    <definedName name="ACT" localSheetId="1">#REF!</definedName>
    <definedName name="ACT">#REF!</definedName>
    <definedName name="ad" localSheetId="1">#REF!</definedName>
    <definedName name="ad">#REF!</definedName>
    <definedName name="adc">#REF!</definedName>
    <definedName name="Add_Less" localSheetId="1">'[89]1 LeadSchedule'!#REF!</definedName>
    <definedName name="Add_Less">'[90]1 LeadSchedule'!#REF!</definedName>
    <definedName name="adj" localSheetId="1">#REF!</definedName>
    <definedName name="adj">#REF!</definedName>
    <definedName name="adjnes" localSheetId="1">'[95]0100'!$C$14:$C$106</definedName>
    <definedName name="adjnes">'[96]0100'!$C$14:$C$106</definedName>
    <definedName name="ADMDEPN">"$#REF!.$#REF!$#REF!"</definedName>
    <definedName name="ADMDEPN_49" localSheetId="1">#REF!</definedName>
    <definedName name="ADMDEPN_49">#REF!</definedName>
    <definedName name="ADMDEPN_65" localSheetId="1">#REF!</definedName>
    <definedName name="ADMDEPN_65">#REF!</definedName>
    <definedName name="ADMDEPN_72">"$#REF!.$#REF!$#REF!"</definedName>
    <definedName name="ADMENTER">"$#REF!.$#REF!$#REF!"</definedName>
    <definedName name="ADMENTER_49" localSheetId="1">#REF!</definedName>
    <definedName name="ADMENTER_49">#REF!</definedName>
    <definedName name="ADMENTER_65" localSheetId="1">#REF!</definedName>
    <definedName name="ADMENTER_65">#REF!</definedName>
    <definedName name="ADMENTER_72">"$#REF!.$#REF!$#REF!"</definedName>
    <definedName name="ADONATION">"$#REF!.#REF!$#REF!"</definedName>
    <definedName name="ADONATION_49" localSheetId="1">#REF!</definedName>
    <definedName name="ADONATION_49">#REF!</definedName>
    <definedName name="ADONATION_65" localSheetId="1">#REF!</definedName>
    <definedName name="ADONATION_65">#REF!</definedName>
    <definedName name="ADONATION_72">"$#REF!.#REF!$#REF!"</definedName>
    <definedName name="ADSdcsas" localSheetId="1">'[97]CA Sheet'!$R$36</definedName>
    <definedName name="ADSdcsas">'[98]CA Sheet'!$R$36</definedName>
    <definedName name="adv" localSheetId="1">#REF!</definedName>
    <definedName name="adv">#REF!</definedName>
    <definedName name="adwdWQ" localSheetId="1">#REF!</definedName>
    <definedName name="adwdWQ">#REF!</definedName>
    <definedName name="ae" localSheetId="1">#REF!</definedName>
    <definedName name="ae">#REF!</definedName>
    <definedName name="AEGFQEWG" localSheetId="1">[17]!AEGFQEWG</definedName>
    <definedName name="AEGFQEWG">[18]!AEGFQEWG</definedName>
    <definedName name="aer" localSheetId="1">#REF!</definedName>
    <definedName name="aer">#REF!</definedName>
    <definedName name="af" localSheetId="1">#REF!</definedName>
    <definedName name="af">#REF!</definedName>
    <definedName name="afadfdasf" localSheetId="1">#REF!</definedName>
    <definedName name="afadfdasf">#REF!</definedName>
    <definedName name="afadfqwf" localSheetId="1">'[99]CA Sheet'!$Q$36</definedName>
    <definedName name="afadfqwf">'[100]CA Sheet'!$Q$36</definedName>
    <definedName name="afadsfaad" localSheetId="1">'[101]CA Sheet'!$R$36</definedName>
    <definedName name="afadsfaad">'[102]CA Sheet'!$R$36</definedName>
    <definedName name="afaefa" localSheetId="1">[103]SPARES!#REF!</definedName>
    <definedName name="afaefa">[104]SPARES!#REF!</definedName>
    <definedName name="afaf" localSheetId="1">#REF!</definedName>
    <definedName name="afaf">#REF!</definedName>
    <definedName name="afafa" localSheetId="1">[17]!afafa</definedName>
    <definedName name="afafa">[18]!afafa</definedName>
    <definedName name="afafgg" localSheetId="1">[17]!afafgg</definedName>
    <definedName name="afafgg">[18]!afafgg</definedName>
    <definedName name="afafqwf" localSheetId="1">[105]CA!$Q$112</definedName>
    <definedName name="afafqwf">[106]CA!$Q$112</definedName>
    <definedName name="afaq" localSheetId="1">[17]!afaq</definedName>
    <definedName name="afaq">[18]!afaq</definedName>
    <definedName name="afavaqv" localSheetId="1">[17]!afavaqv</definedName>
    <definedName name="afavaqv">[18]!afavaqv</definedName>
    <definedName name="afavew" localSheetId="1" hidden="1">#REF!</definedName>
    <definedName name="afavew" hidden="1">#REF!</definedName>
    <definedName name="afawfawf" localSheetId="1">[17]!afawfawf</definedName>
    <definedName name="afawfawf">[18]!afawfawf</definedName>
    <definedName name="afdasfas" localSheetId="1">#REF!</definedName>
    <definedName name="afdasfas">#REF!</definedName>
    <definedName name="afdaw" localSheetId="1">#REF!</definedName>
    <definedName name="afdaw">#REF!</definedName>
    <definedName name="afdqwdq" localSheetId="1">#REF!</definedName>
    <definedName name="afdqwdq">#REF!</definedName>
    <definedName name="afdqwdqw" localSheetId="1">'[107]U2.2'!#REF!</definedName>
    <definedName name="afdqwdqw">'[108]U2.2'!#REF!</definedName>
    <definedName name="afdsfdsg" localSheetId="1">#REF!</definedName>
    <definedName name="afdsfdsg">#REF!</definedName>
    <definedName name="afdsgdsgv" localSheetId="1">#REF!</definedName>
    <definedName name="afdsgdsgv">#REF!</definedName>
    <definedName name="afdsgrf" localSheetId="1">#REF!</definedName>
    <definedName name="afdsgrf">#REF!</definedName>
    <definedName name="afewvgevg" localSheetId="1" hidden="1">{#N/A,#N/A,FALSE,"Sheet1"}</definedName>
    <definedName name="afewvgevg" hidden="1">{#N/A,#N/A,FALSE,"Sheet1"}</definedName>
    <definedName name="affadsg" localSheetId="1">#REF!</definedName>
    <definedName name="affadsg">#REF!</definedName>
    <definedName name="afgewgwg" localSheetId="1">#REF!</definedName>
    <definedName name="afgewgwg">#REF!</definedName>
    <definedName name="afqefg" localSheetId="1">#REF!</definedName>
    <definedName name="afqefg">#REF!</definedName>
    <definedName name="afqegfqew" localSheetId="1">[17]!afqegfqew</definedName>
    <definedName name="afqegfqew">[18]!afqegfqew</definedName>
    <definedName name="afqfqe" localSheetId="1">[17]!afqfqe</definedName>
    <definedName name="afqfqe">[18]!afqfqe</definedName>
    <definedName name="afqfqwf" localSheetId="1" hidden="1">{#N/A,#N/A,FALSE,"Sheet1"}</definedName>
    <definedName name="afqfqwf" hidden="1">{#N/A,#N/A,FALSE,"Sheet1"}</definedName>
    <definedName name="AFQWEF" localSheetId="1">#REF!</definedName>
    <definedName name="AFQWEF">#REF!</definedName>
    <definedName name="afqwff" localSheetId="1">#REF!</definedName>
    <definedName name="afqwff">#REF!</definedName>
    <definedName name="afqwg" localSheetId="1" hidden="1">{#N/A,#N/A,FALSE,"Sheet1"}</definedName>
    <definedName name="afqwg" hidden="1">{#N/A,#N/A,FALSE,"Sheet1"}</definedName>
    <definedName name="afsfa" localSheetId="1">#REF!</definedName>
    <definedName name="afsfa">#REF!</definedName>
    <definedName name="aftrqg" localSheetId="1" hidden="1">#REF!</definedName>
    <definedName name="aftrqg" hidden="1">#REF!</definedName>
    <definedName name="ag" localSheetId="1">#REF!</definedName>
    <definedName name="ag">#REF!</definedName>
    <definedName name="agaegew" localSheetId="1">[109]CA!$Q$112</definedName>
    <definedName name="agaegew">[110]CA!$Q$112</definedName>
    <definedName name="agagaseg" localSheetId="1">#REF!</definedName>
    <definedName name="agagaseg">#REF!</definedName>
    <definedName name="ageaggeq" localSheetId="1" hidden="1">{#N/A,#N/A,FALSE,"Sheet1"}</definedName>
    <definedName name="ageaggeq" hidden="1">{#N/A,#N/A,FALSE,"Sheet1"}</definedName>
    <definedName name="agege" localSheetId="1">[17]!agege</definedName>
    <definedName name="agege">[18]!agege</definedName>
    <definedName name="Ageing" localSheetId="1">#REF!</definedName>
    <definedName name="Ageing">#REF!</definedName>
    <definedName name="agfqeg" localSheetId="1">[17]!agfqeg</definedName>
    <definedName name="agfqeg">[18]!agfqeg</definedName>
    <definedName name="aggesg" localSheetId="1">#REF!</definedName>
    <definedName name="aggesg">#REF!</definedName>
    <definedName name="agsegr" localSheetId="1">#REF!</definedName>
    <definedName name="agsegr">#REF!</definedName>
    <definedName name="agsgwshd" localSheetId="1">#REF!</definedName>
    <definedName name="agsgwshd">#REF!</definedName>
    <definedName name="agtesgeg">#REF!</definedName>
    <definedName name="AGWgrwqg">#REF!</definedName>
    <definedName name="ah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h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I" localSheetId="1">#REF!</definedName>
    <definedName name="AI">#REF!</definedName>
    <definedName name="AIR12_49" localSheetId="1">#REF!</definedName>
    <definedName name="AIR12_49">#REF!</definedName>
    <definedName name="AIR12_65" localSheetId="1">#REF!</definedName>
    <definedName name="AIR12_65">#REF!</definedName>
    <definedName name="AIR12_72">"$#REF!.#REF!$#REF!"</definedName>
    <definedName name="AJE" localSheetId="1">#REF!</definedName>
    <definedName name="AJE">#REF!</definedName>
    <definedName name="AJE.COS" localSheetId="1">#REF!</definedName>
    <definedName name="AJE.COS">#REF!</definedName>
    <definedName name="aje2to5" localSheetId="1">#REF!</definedName>
    <definedName name="aje2to5">#REF!</definedName>
    <definedName name="ALI" localSheetId="1" hidden="1">{"'Feb 99'!$A$1:$G$30"}</definedName>
    <definedName name="ALI" hidden="1">{"'Feb 99'!$A$1:$G$30"}</definedName>
    <definedName name="All47YN">'[111]Tornado 4.7 Component List'!$C$11:$C$12</definedName>
    <definedName name="ALLOT1">#REF!</definedName>
    <definedName name="ALLOT2">#REF!</definedName>
    <definedName name="AllYN">'[112]Tornado 5.6 Component List'!$B$11:$B$12</definedName>
    <definedName name="AMORT">"$#REF!.$#REF!$#REF!"</definedName>
    <definedName name="AMORT_49" localSheetId="1">#REF!</definedName>
    <definedName name="AMORT_49">#REF!</definedName>
    <definedName name="AMORT_65" localSheetId="1">#REF!</definedName>
    <definedName name="AMORT_65">#REF!</definedName>
    <definedName name="AMORT_72">"$#REF!.$#REF!$#REF!"</definedName>
    <definedName name="AMT" localSheetId="1">#REF!</definedName>
    <definedName name="AMT">#REF!</definedName>
    <definedName name="ANALY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NALY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NALYSIS_OF_EXP_BY_DEPT" localSheetId="1">#REF!</definedName>
    <definedName name="ANALYSIS_OF_EXP_BY_DEPT">#REF!</definedName>
    <definedName name="analysisde1" localSheetId="1">[113]gl!#REF!</definedName>
    <definedName name="analysisde1">[114]gl!#REF!</definedName>
    <definedName name="analysisde2" localSheetId="1">[113]gl!#REF!</definedName>
    <definedName name="analysisde2">[114]gl!#REF!</definedName>
    <definedName name="anmTrend5.9" localSheetId="1">'[115]cc 196 (SYS) (2)'!#REF!</definedName>
    <definedName name="anmTrend5.9">'[116]cc 196 (SYS) (2)'!#REF!</definedName>
    <definedName name="AP_110" localSheetId="1">[13]AP110!$A$1:$F$50</definedName>
    <definedName name="AP_110">[14]AP110!$A$1:$F$50</definedName>
    <definedName name="AP110_72" localSheetId="1">[60]BPR!$F$11</definedName>
    <definedName name="AP110_72">[61]BPR!$F$11</definedName>
    <definedName name="appendix1" localSheetId="1">[113]gl!#REF!</definedName>
    <definedName name="appendix1">[114]gl!#REF!</definedName>
    <definedName name="appendix2_1" localSheetId="1">[113]gl!#REF!</definedName>
    <definedName name="appendix2_1">[114]gl!#REF!</definedName>
    <definedName name="appendix2_2" localSheetId="1">[113]gl!#REF!</definedName>
    <definedName name="appendix2_2">[114]gl!#REF!</definedName>
    <definedName name="appl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ppl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ppx_D" localSheetId="1">'[117]Appx B'!#REF!</definedName>
    <definedName name="Appx_D">'[118]Appx B'!#REF!</definedName>
    <definedName name="Appx_F" localSheetId="1">#REF!</definedName>
    <definedName name="Appx_F">#REF!</definedName>
    <definedName name="Apr" localSheetId="1">#REF!</definedName>
    <definedName name="Apr">#REF!</definedName>
    <definedName name="Aq" localSheetId="1">#REF!</definedName>
    <definedName name="Aq">#REF!</definedName>
    <definedName name="AR">#REF!</definedName>
    <definedName name="araet">#REF!</definedName>
    <definedName name="aratewt">#REF!</definedName>
    <definedName name="arawtewt">#REF!</definedName>
    <definedName name="are">#REF!</definedName>
    <definedName name="areae">#REF!</definedName>
    <definedName name="areawtewt">#REF!</definedName>
    <definedName name="arerear">#REF!</definedName>
    <definedName name="ArtPnL" localSheetId="1">'[119]ABR P&amp;L'!#REF!</definedName>
    <definedName name="ArtPnL">'[120]ABR P&amp;L'!#REF!</definedName>
    <definedName name="as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s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S2DocOpenMode" hidden="1">"AS2DocumentEdit"</definedName>
    <definedName name="AS2HasNoAutoHeaderFooter" hidden="1">" "</definedName>
    <definedName name="asaewg" localSheetId="1">[17]!asaewg</definedName>
    <definedName name="asaewg">[18]!asaewg</definedName>
    <definedName name="asd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sd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sdawfda" localSheetId="1">#REF!</definedName>
    <definedName name="asdawfda">#REF!</definedName>
    <definedName name="asdgtwegeg" localSheetId="1">[17]!asdgtwegeg</definedName>
    <definedName name="asdgtwegeg">[18]!asdgtwegeg</definedName>
    <definedName name="asfadfad" localSheetId="1">#REF!</definedName>
    <definedName name="asfadfad">#REF!</definedName>
    <definedName name="asfafa" localSheetId="1">#REF!</definedName>
    <definedName name="asfafa">#REF!</definedName>
    <definedName name="asfafgeag" localSheetId="1">'[121]CA Sheet'!$Q$36</definedName>
    <definedName name="asfafgeag">'[122]CA Sheet'!$Q$36</definedName>
    <definedName name="asfagfeq" localSheetId="1">[17]!asfagfeq</definedName>
    <definedName name="asfagfeq">[18]!asfagfeq</definedName>
    <definedName name="asfasfca" localSheetId="1">'[121]CA Sheet'!$R$36</definedName>
    <definedName name="asfasfca">'[122]CA Sheet'!$R$36</definedName>
    <definedName name="asfasgfe" localSheetId="1">'[99]CA Sheet'!$R$36</definedName>
    <definedName name="asfasgfe">'[100]CA Sheet'!$R$36</definedName>
    <definedName name="asff" localSheetId="1">[17]!asff</definedName>
    <definedName name="asff">[18]!asff</definedName>
    <definedName name="asfsefs" localSheetId="1">#REF!</definedName>
    <definedName name="asfsefs">#REF!</definedName>
    <definedName name="asfwf" localSheetId="1">[17]!asfwf</definedName>
    <definedName name="asfwf">[18]!asfwf</definedName>
    <definedName name="asgdsage" localSheetId="1" hidden="1">{#N/A,#N/A,FALSE,"Sheet1"}</definedName>
    <definedName name="asgdsage" hidden="1">{#N/A,#N/A,FALSE,"Sheet1"}</definedName>
    <definedName name="ASGEAGEQW" localSheetId="1">[17]!ASGEAGEQW</definedName>
    <definedName name="ASGEAGEQW">[18]!ASGEAGEQW</definedName>
    <definedName name="asgsg" localSheetId="1">#REF!</definedName>
    <definedName name="asgsg">#REF!</definedName>
    <definedName name="Asset_Lookup" localSheetId="1">#REF!</definedName>
    <definedName name="Asset_Lookup">#REF!</definedName>
    <definedName name="Asset_Type" localSheetId="1">#REF!</definedName>
    <definedName name="Asset_Type">#REF!</definedName>
    <definedName name="asss">#REF!</definedName>
    <definedName name="asvbvadv" localSheetId="1">[123]B!$B$3</definedName>
    <definedName name="asvbvadv">[124]B!$B$3</definedName>
    <definedName name="asvsa" localSheetId="1">[125]CA!$Q$112</definedName>
    <definedName name="asvsa">[126]CA!$Q$112</definedName>
    <definedName name="atgeseh" localSheetId="1">#REF!</definedName>
    <definedName name="atgeseh">#REF!</definedName>
    <definedName name="audit" localSheetId="1">'[127]F-5'!$A$3</definedName>
    <definedName name="audit">'[128]F-5'!$A$3</definedName>
    <definedName name="auditor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uditor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ug" localSheetId="1">#REF!</definedName>
    <definedName name="Aug">#REF!</definedName>
    <definedName name="August" localSheetId="1">#REF!</definedName>
    <definedName name="August">#REF!</definedName>
    <definedName name="Austco">[129]details!$C$189</definedName>
    <definedName name="AUTOMATIC10">"$#REF!.$#REF!$#REF!"</definedName>
    <definedName name="AUTOMATIC10_49" localSheetId="1">#REF!</definedName>
    <definedName name="AUTOMATIC10_49">#REF!</definedName>
    <definedName name="AUTOMATIC10_65" localSheetId="1">#REF!</definedName>
    <definedName name="AUTOMATIC10_65">#REF!</definedName>
    <definedName name="AUTOMATIC10_72">"$#REF!.$#REF!$#REF!"</definedName>
    <definedName name="AV" localSheetId="1">#REF!</definedName>
    <definedName name="AV">#REF!</definedName>
    <definedName name="AVANTI" localSheetId="1">#REF!</definedName>
    <definedName name="AVANTI">#REF!</definedName>
    <definedName name="avav" localSheetId="1">[17]!avav</definedName>
    <definedName name="avav">[18]!avav</definedName>
    <definedName name="avgavgbvg" localSheetId="1">[17]!avgavgbvg</definedName>
    <definedName name="avgavgbvg">[18]!avgavgbvg</definedName>
    <definedName name="aw">"'file://Mindy/jobonhand/Assurance/Workings&amp;Account/YenHong\'07/DATA/Bee Sing/KIL334/YE00/Ideal Reno/awpIR.xls'#$FF_4.$#REF!$#REF!"</definedName>
    <definedName name="aw_1">"'file://Jb003/assurance/MY Orchids_01/DATA/Bee Sing/KIL334/YE00/Ideal Reno/awpIR.xls'#$FF_4.$#REF!$#REF!"</definedName>
    <definedName name="aw_1_1">"'file://Jb003/assurance/MY Orchids_01/DATA/Bee Sing/KIL334/YE00/Ideal Reno/awpIR.xls'#$FF_4.$#REF!$#REF!"</definedName>
    <definedName name="aw_10">"'file://NIL-YXRA5HG0HP5/Company/Assurance/AAA/YEAR 2004/Sengair 04/DATA/Bee Sing/KIL334/YE00/Ideal Reno/awpIR.xls'#$FF_4.$#REF!$#REF!"</definedName>
    <definedName name="aw_10_1">"'file://NIL-YXRA5HG0HP5/Company/Assurance/AAA/YEAR 2004/Sengair 04/DATA/Bee Sing/KIL334/YE00/Ideal Reno/awpIR.xls'#$FF_4.$#REF!$#REF!"</definedName>
    <definedName name="aw_10_72">"'file:///A:/DATA/Bee Sing/KIL334/YE00/Ideal Reno/awpIR.xls'#$FF_4.$#REF!$#REF!"</definedName>
    <definedName name="aw_11">"'file:///A:/DATA/Bee Sing/KIL334/YE00/Ideal Reno/awpIR.xls'#$FF_4.$#REF!$#REF!"</definedName>
    <definedName name="aw_12" localSheetId="1">[130]FF_4!#REF!</definedName>
    <definedName name="aw_12">[131]FF_4!#REF!</definedName>
    <definedName name="aw_12_1" localSheetId="1">[130]FF_4!#REF!</definedName>
    <definedName name="aw_12_1">[131]FF_4!#REF!</definedName>
    <definedName name="aw_13">"'file:///A:/DATA/Bee Sing/KIL334/YE00/Ideal Reno/awpIR.xls'#$FF_4.$#REF!$#REF!"</definedName>
    <definedName name="aw_13_1">"'file:///A:/DATA/Bee Sing/KIL334/YE00/Ideal Reno/awpIR.xls'#$FF_4.$#REF!$#REF!"</definedName>
    <definedName name="aw_13_72">"'file://JB2/Company/Assurance/QuanCheng_05/DATA/Bee Sing/KIL334/YE00/Ideal Reno/awpIR.xls'#$FF_4.$#REF!$#REF!"</definedName>
    <definedName name="aw_14" localSheetId="1">[132]FF_4!#REF!</definedName>
    <definedName name="aw_14">[133]FF_4!#REF!</definedName>
    <definedName name="aw_14_1" localSheetId="1">[134]FF_4!#REF!</definedName>
    <definedName name="aw_14_1">[135]FF_4!#REF!</definedName>
    <definedName name="aw_15">"'file://JB2/Company/Assurance/QuanCheng_05/DATA/Bee Sing/KIL334/YE00/Ideal Reno/awpIR.xls'#$FF_4.$#REF!$#REF!"</definedName>
    <definedName name="aw_15_1">"'file://JB2/Company/Assurance/QuanCheng_05/DATA/Bee Sing/KIL334/YE00/Ideal Reno/awpIR.xls'#$FF_4.$#REF!$#REF!"</definedName>
    <definedName name="aw_16">"'file:///A:/DATA/Bee Sing/KIL334/YE00/Ideal Reno/awpIR.xls'#$FF_4.$#REF!$#REF!"</definedName>
    <definedName name="aw_16_1">"'file:///A:/DATA/Bee Sing/KIL334/YE00/Ideal Reno/awpIR.xls'#$FF_4.$#REF!$#REF!"</definedName>
    <definedName name="aw_16_72">"'file://JULIE/Assurance/Company/Assurance/LifetimeDiscovery\'05/DATA/Bee Sing/KIL334/YE00/Ideal Reno/awpIR.xls'#$FF_4.$#REF!$#REF!"</definedName>
    <definedName name="aw_17">"'file:///A:/DATA/Bee Sing/KIL334/YE00/Ideal Reno/awpIR.xls'#$FF_4.$#REF!$#REF!"</definedName>
    <definedName name="aw_17_1">"'file:///A:/DATA/Bee Sing/KIL334/YE00/Ideal Reno/awpIR.xls'#$FF_4.$#REF!$#REF!"</definedName>
    <definedName name="aw_18">"'file:///A:/DATA/Bee Sing/KIL334/YE00/Ideal Reno/awpIR.xls'#$FF_4.$#REF!$#REF!"</definedName>
    <definedName name="aw_18_1">"'file:///A:/DATA/Bee Sing/KIL334/YE00/Ideal Reno/awpIR.xls'#$FF_4.$#REF!$#REF!"</definedName>
    <definedName name="aw_19">"'file:///A:/DATA/Bee Sing/KIL334/YE00/Ideal Reno/awpIR.xls'#$FF_4.$#REF!$#REF!"</definedName>
    <definedName name="aw_19_72">"'file://JULIE/Assurance/Company/Assurance/LifetimeDiscovery\'05/DATA/Bee Sing/KIL334/YE00/Ideal Reno/awpIR.xls'#$FF_4.$#REF!$#REF!"</definedName>
    <definedName name="aw_2" localSheetId="1">[134]FF_4!#REF!</definedName>
    <definedName name="aw_2">[135]FF_4!#REF!</definedName>
    <definedName name="aw_20">"'file:///A:/DATA/Bee Sing/KIL334/YE00/Ideal Reno/awpIR.xls'#$FF_4.$#REF!$#REF!"</definedName>
    <definedName name="aw_20_1">"'file:///A:/DATA/Bee Sing/KIL334/YE00/Ideal Reno/awpIR.xls'#$FF_4.$#REF!$#REF!"</definedName>
    <definedName name="aw_21">"'file:///A:/DATA/Bee Sing/KIL334/YE00/Ideal Reno/awpIR.xls'#$FF_4.$#REF!$#REF!"</definedName>
    <definedName name="aw_22">"'file:///A:/DATA/Bee Sing/KIL334/YE00/Ideal Reno/awpIR.xls'#$FF_4.$#REF!$#REF!"</definedName>
    <definedName name="aw_22_72">"'file://Pentiumiii550/workstation/Documents and Settings/User/Desktop/Sengair_06/DATA/Bee Sing/KIL334/YE00/Ideal Reno/awpIR.xls'#$FF_4.$#REF!$#REF!"</definedName>
    <definedName name="aw_23" localSheetId="1">[130]FF_4!#REF!</definedName>
    <definedName name="aw_23">[131]FF_4!#REF!</definedName>
    <definedName name="aw_24" localSheetId="1">[130]FF_4!#REF!</definedName>
    <definedName name="aw_24">[131]FF_4!#REF!</definedName>
    <definedName name="aw_25">"'file:///A:/DATA/Bee Sing/KIL334/YE00/Ideal Reno/awpIR.xls'#$FF_4.$#REF!$#REF!"</definedName>
    <definedName name="aw_25_1">"'file:///A:/DATA/Bee Sing/KIL334/YE00/Ideal Reno/awpIR.xls'#$FF_4.$#REF!$#REF!"</definedName>
    <definedName name="aw_25_72">"'file://NIL-YXRA5HG0HP5/Company/Assurance/SinoMalay 04/DATA/Bee Sing/KIL334/YE00/Ideal Reno/awpIR.xls'#$FF_4.$#REF!$#REF!"</definedName>
    <definedName name="aw_26" localSheetId="1">[130]FF_4!#REF!</definedName>
    <definedName name="aw_26">[131]FF_4!#REF!</definedName>
    <definedName name="aw_26_1">"'file://Mindy/workstation/Assurance/YEAR 2006/Sengair_06/DATA/Bee Sing/KIL334/YE00/Ideal Reno/awpIR.xls'#$FF_4.$#REF!$#REF!"</definedName>
    <definedName name="aw_27">"'file:///A:/DATA/Bee Sing/KIL334/YE00/Ideal Reno/awpIR.xls'#$FF_4.$#REF!$#REF!"</definedName>
    <definedName name="aw_28">"'file:///A:/DATA/Bee Sing/KIL334/YE00/Ideal Reno/awpIR.xls'#$FF_4.$#REF!$#REF!"</definedName>
    <definedName name="aw_28_72">"'file://MINDY/JobOnHand/Assurance/RedFox_06/DATA/Bee Sing/KIL334/YE00/Ideal Reno/awpIR.xls'#$FF_4.$#REF!$#REF!"</definedName>
    <definedName name="aw_29">"'file:///A:/DATA/Bee Sing/KIL334/YE00/Ideal Reno/awpIR.xls'#$FF_4.$#REF!$#REF!"</definedName>
    <definedName name="aw_29_1">"'file:///A:/DATA/Bee Sing/KIL334/YE00/Ideal Reno/awpIR.xls'#$FF_4.$#REF!$#REF!"</definedName>
    <definedName name="aw_3">"'file://Jb003/assurance/MY Orchids_01/DATA/Bee Sing/KIL334/YE00/Ideal Reno/awpIR.xls'#$FF_4.$#REF!$#REF!"</definedName>
    <definedName name="aw_3_1">"'file://Jb003/assurance/MY Orchids_01/DATA/Bee Sing/KIL334/YE00/Ideal Reno/awpIR.xls'#$FF_4.$#REF!$#REF!"</definedName>
    <definedName name="aw_30" localSheetId="1">[136]FF_4!#REF!</definedName>
    <definedName name="aw_30">[137]FF_4!#REF!</definedName>
    <definedName name="aw_30_1">"'file:///A:/DATA/Bee Sing/KIL334/YE00/Ideal Reno/awpIR.xls'#$FF_4.$#REF!$#REF!"</definedName>
    <definedName name="aw_31">"'file://Lieh/jobonhand/My Jobs/Royaparcel_06/DATA/Bee Sing/KIL334/YE00/Ideal Reno/awpIR.xls'#$FF_4.$#REF!$#REF!"</definedName>
    <definedName name="aw_31_1">"'file://Lieh/jobonhand/My Jobs/Royaparcel_06/DATA/Bee Sing/KIL334/YE00/Ideal Reno/awpIR.xls'#$FF_4.$#REF!$#REF!"</definedName>
    <definedName name="aw_32" localSheetId="1">[130]FF_4!#REF!</definedName>
    <definedName name="aw_32">[131]FF_4!#REF!</definedName>
    <definedName name="aw_33" localSheetId="1">[130]FF_4!#REF!</definedName>
    <definedName name="aw_33">[131]FF_4!#REF!</definedName>
    <definedName name="aw_33_1">"'file://MINDY/JobOnHand/Assurance/RedFox_06/DATA/Bee Sing/KIL334/YE00/Ideal Reno/awpIR.xls'#$FF_4.$#REF!$#REF!"</definedName>
    <definedName name="aw_34" localSheetId="1">[130]FF_4!#REF!</definedName>
    <definedName name="aw_34">[131]FF_4!#REF!</definedName>
    <definedName name="aw_34_1">"'file:///A:/DATA/Bee Sing/KIL334/YE00/Ideal Reno/awpIR.xls'#$FF_4.$#REF!$#REF!"</definedName>
    <definedName name="aw_35" localSheetId="1">[138]FF_4!#REF!</definedName>
    <definedName name="aw_35">[139]FF_4!#REF!</definedName>
    <definedName name="aw_35_1">"'file://NIL-YXRA5HG0HP5/Company/Company/Assurance/Dosca_04/DATA/Bee Sing/KIL334/YE00/Ideal Reno/awpIR.xls'#$FF_4.$#REF!$#REF!"</definedName>
    <definedName name="aw_36" localSheetId="1">[130]FF_4!#REF!</definedName>
    <definedName name="aw_36">[131]FF_4!#REF!</definedName>
    <definedName name="aw_37" localSheetId="1">[136]FF_4!#REF!</definedName>
    <definedName name="aw_37">[137]FF_4!#REF!</definedName>
    <definedName name="aw_37_1">"'file://Lieh/jobonhand/My Jobs/Royaparcel_06/DATA/Bee Sing/KIL334/YE00/Ideal Reno/awpIR.xls'#$FF_4.$#REF!$#REF!"</definedName>
    <definedName name="aw_38" localSheetId="1">[138]FF_4!#REF!</definedName>
    <definedName name="aw_38">[139]FF_4!#REF!</definedName>
    <definedName name="aw_39" localSheetId="1">[140]FF_4!#REF!</definedName>
    <definedName name="aw_39">[141]FF_4!#REF!</definedName>
    <definedName name="aw_4" localSheetId="1">[142]FF_4!#REF!</definedName>
    <definedName name="aw_4">[143]FF_4!#REF!</definedName>
    <definedName name="aw_40" localSheetId="1">[130]FF_4!#REF!</definedName>
    <definedName name="aw_40">[131]FF_4!#REF!</definedName>
    <definedName name="aw_41" localSheetId="1">[144]FF_4!#REF!</definedName>
    <definedName name="aw_41">[145]FF_4!#REF!</definedName>
    <definedName name="aw_42" localSheetId="1">[130]FF_4!#REF!</definedName>
    <definedName name="aw_42">[131]FF_4!#REF!</definedName>
    <definedName name="aw_43" localSheetId="1">[144]FF_4!#REF!</definedName>
    <definedName name="aw_43">[145]FF_4!#REF!</definedName>
    <definedName name="aw_44" localSheetId="1">[144]FF_4!#REF!</definedName>
    <definedName name="aw_44">[145]FF_4!#REF!</definedName>
    <definedName name="aw_45" localSheetId="1">[130]FF_4!#REF!</definedName>
    <definedName name="aw_45">[131]FF_4!#REF!</definedName>
    <definedName name="aw_46" localSheetId="1">[144]FF_4!#REF!</definedName>
    <definedName name="aw_46">[145]FF_4!#REF!</definedName>
    <definedName name="aw_47" localSheetId="1">[146]FF_4!#REF!</definedName>
    <definedName name="aw_47">[147]FF_4!#REF!</definedName>
    <definedName name="aw_49" localSheetId="1">[148]FF_4!#REF!</definedName>
    <definedName name="aw_49">[149]FF_4!#REF!</definedName>
    <definedName name="aw_5" localSheetId="1">[134]FF_4!#REF!</definedName>
    <definedName name="aw_5">[135]FF_4!#REF!</definedName>
    <definedName name="aw_50" localSheetId="1">[148]FF_4!#REF!</definedName>
    <definedName name="aw_50">[149]FF_4!#REF!</definedName>
    <definedName name="aw_52" localSheetId="1">[130]FF_4!#REF!</definedName>
    <definedName name="aw_52">[131]FF_4!#REF!</definedName>
    <definedName name="aw_53" localSheetId="1">[130]FF_4!#REF!</definedName>
    <definedName name="aw_53">[131]FF_4!#REF!</definedName>
    <definedName name="aw_54" localSheetId="1">[138]FF_4!#REF!</definedName>
    <definedName name="aw_54">[139]FF_4!#REF!</definedName>
    <definedName name="aw_56" localSheetId="1">[138]FF_4!#REF!</definedName>
    <definedName name="aw_56">[139]FF_4!#REF!</definedName>
    <definedName name="aw_6" localSheetId="1">[134]FF_4!#REF!</definedName>
    <definedName name="aw_6">[135]FF_4!#REF!</definedName>
    <definedName name="aw_6_1" localSheetId="1">[134]FF_4!#REF!</definedName>
    <definedName name="aw_6_1">[135]FF_4!#REF!</definedName>
    <definedName name="aw_60" localSheetId="1">[130]FF_4!#REF!</definedName>
    <definedName name="aw_60">[131]FF_4!#REF!</definedName>
    <definedName name="aw_61" localSheetId="1">[130]FF_4!#REF!</definedName>
    <definedName name="aw_61">[131]FF_4!#REF!</definedName>
    <definedName name="aw_65" localSheetId="1">[150]FF_4!#REF!</definedName>
    <definedName name="aw_65">[151]FF_4!#REF!</definedName>
    <definedName name="aw_67" localSheetId="1">[130]FF_4!#REF!</definedName>
    <definedName name="aw_67">[131]FF_4!#REF!</definedName>
    <definedName name="aw_68" localSheetId="1">[130]FF_4!#REF!</definedName>
    <definedName name="aw_68">[131]FF_4!#REF!</definedName>
    <definedName name="aw_7" localSheetId="1">[152]FF_4!#REF!</definedName>
    <definedName name="aw_7">[153]FF_4!#REF!</definedName>
    <definedName name="aw_70" localSheetId="1">[130]FF_4!#REF!</definedName>
    <definedName name="aw_70">[131]FF_4!#REF!</definedName>
    <definedName name="aw_71" localSheetId="1">[130]FF_4!#REF!</definedName>
    <definedName name="aw_71">[131]FF_4!#REF!</definedName>
    <definedName name="aw_72">"'file://JB2/Company/Assurance/QuanCheng_05/DATA/Bee Sing/KIL334/YE00/Ideal Reno/awpIR.xls'#$FF_4.$#REF!$#REF!"</definedName>
    <definedName name="aw_79" localSheetId="1">[154]FF_4!#REF!</definedName>
    <definedName name="aw_79">[155]FF_4!#REF!</definedName>
    <definedName name="aw_8">"'file:///A:/DATA/Bee Sing/KIL334/YE00/Ideal Reno/awpIR.xls'#$FF_4.$#REF!$#REF!"</definedName>
    <definedName name="aw_8_1">"'file:///A:/DATA/Bee Sing/KIL334/YE00/Ideal Reno/awpIR.xls'#$FF_4.$#REF!$#REF!"</definedName>
    <definedName name="aw_9">"'file://NIL-YXRA5HG0HP5/Company/Assurance/LeepHong_04/DATA/Bee Sing/KIL334/YE00/Ideal Reno/awpIR.xls'#$FF_4.$#REF!$#REF!"</definedName>
    <definedName name="aw_9_1">"'file://NIL-YXRA5HG0HP5/Company/Assurance/LeepHong_04/DATA/Bee Sing/KIL334/YE00/Ideal Reno/awpIR.xls'#$FF_4.$#REF!$#REF!"</definedName>
    <definedName name="aw_9_72">"'file:///A:/DATA/Bee Sing/KIL334/YE00/Ideal Reno/awpIR.xls'#$FF_4.$#REF!$#REF!"</definedName>
    <definedName name="awff" localSheetId="1">[17]!awff</definedName>
    <definedName name="awff">[18]!awff</definedName>
    <definedName name="Awp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wp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wps" localSheetId="1">'[156]FF-6'!$A$5:$K$9</definedName>
    <definedName name="awps">'[157]FF-6'!$A$5:$K$9</definedName>
    <definedName name="awtaqg" localSheetId="1">[17]!awtaqg</definedName>
    <definedName name="awtaqg">[18]!awtaqg</definedName>
    <definedName name="b" localSheetId="1">[75]B!$D$7</definedName>
    <definedName name="b">[76]B!$D$7</definedName>
    <definedName name="B_02" localSheetId="1">#REF!</definedName>
    <definedName name="B_02">#REF!</definedName>
    <definedName name="B_03" localSheetId="1">#REF!</definedName>
    <definedName name="B_03">#REF!</definedName>
    <definedName name="B_05" localSheetId="1">#REF!</definedName>
    <definedName name="B_05">#REF!</definedName>
    <definedName name="B_08">#REF!</definedName>
    <definedName name="b_1" localSheetId="1">[73]B!$D$7</definedName>
    <definedName name="b_1">[74]B!$D$7</definedName>
    <definedName name="b_10" localSheetId="1">[75]B!$D$7</definedName>
    <definedName name="b_10">[76]B!$D$7</definedName>
    <definedName name="b_11" localSheetId="1">[73]B!$D$7</definedName>
    <definedName name="b_11">[74]B!$D$7</definedName>
    <definedName name="b_12" localSheetId="1">[73]B!$D$7</definedName>
    <definedName name="b_12">[74]B!$D$7</definedName>
    <definedName name="b_13" localSheetId="1">[73]B!$D$7</definedName>
    <definedName name="b_13">[74]B!$D$7</definedName>
    <definedName name="b_14" localSheetId="1">[73]B!$D$7</definedName>
    <definedName name="b_14">[74]B!$D$7</definedName>
    <definedName name="b_15" localSheetId="1">[73]B!$D$7</definedName>
    <definedName name="b_15">[74]B!$D$7</definedName>
    <definedName name="b_16" localSheetId="1">[73]B!$D$7</definedName>
    <definedName name="b_16">[74]B!$D$7</definedName>
    <definedName name="b_17" localSheetId="1">[73]B!$D$7</definedName>
    <definedName name="b_17">[74]B!$D$7</definedName>
    <definedName name="b_18" localSheetId="1">[73]B!$D$7</definedName>
    <definedName name="b_18">[74]B!$D$7</definedName>
    <definedName name="b_19" localSheetId="1">[73]B!$D$7</definedName>
    <definedName name="b_19">[74]B!$D$7</definedName>
    <definedName name="b_20" localSheetId="1">[73]B!$D$7</definedName>
    <definedName name="b_20">[74]B!$D$7</definedName>
    <definedName name="b_20_1" localSheetId="1">[73]B!$D$7</definedName>
    <definedName name="b_20_1">[74]B!$D$7</definedName>
    <definedName name="b_21" localSheetId="1">[75]B!$D$7</definedName>
    <definedName name="b_21">[76]B!$D$7</definedName>
    <definedName name="b_21_72" localSheetId="1">[73]B!$D$7</definedName>
    <definedName name="b_21_72">[74]B!$D$7</definedName>
    <definedName name="b_22" localSheetId="1">[75]B!$D$7</definedName>
    <definedName name="b_22">[76]B!$D$7</definedName>
    <definedName name="b_23" localSheetId="1">[73]B!$D$7</definedName>
    <definedName name="b_23">[74]B!$D$7</definedName>
    <definedName name="b_24" localSheetId="1">[73]B!$D$7</definedName>
    <definedName name="b_24">[74]B!$D$7</definedName>
    <definedName name="b_25" localSheetId="1">[73]B!$D$7</definedName>
    <definedName name="b_25">[74]B!$D$7</definedName>
    <definedName name="b_26" localSheetId="1">[73]B!$D$7</definedName>
    <definedName name="b_26">[74]B!$D$7</definedName>
    <definedName name="b_27" localSheetId="1">[73]B!$D$7</definedName>
    <definedName name="b_27">[74]B!$D$7</definedName>
    <definedName name="b_28" localSheetId="1">[73]B!$D$7</definedName>
    <definedName name="b_28">[74]B!$D$7</definedName>
    <definedName name="b_29" localSheetId="1">[73]B!$D$7</definedName>
    <definedName name="b_29">[74]B!$D$7</definedName>
    <definedName name="B_2a" localSheetId="1">#REF!</definedName>
    <definedName name="B_2a">#REF!</definedName>
    <definedName name="B_2b" localSheetId="1">'[13]B-10'!$A$1:$K$56</definedName>
    <definedName name="B_2b">'[14]B-10'!$A$1:$K$56</definedName>
    <definedName name="b_3" localSheetId="1">[77]B!$D$7</definedName>
    <definedName name="b_3">[78]B!$D$7</definedName>
    <definedName name="b_30" localSheetId="1">[73]B!$D$7</definedName>
    <definedName name="b_30">[74]B!$D$7</definedName>
    <definedName name="b_31" localSheetId="1">[73]B!$D$7</definedName>
    <definedName name="b_31">[74]B!$D$7</definedName>
    <definedName name="b_32" localSheetId="1">[73]B!$D$7</definedName>
    <definedName name="b_32">[74]B!$D$7</definedName>
    <definedName name="b_34" localSheetId="1">[73]B!$D$7</definedName>
    <definedName name="b_34">[74]B!$D$7</definedName>
    <definedName name="b_36" localSheetId="1">[73]B!$D$7</definedName>
    <definedName name="b_36">[74]B!$D$7</definedName>
    <definedName name="b_37" localSheetId="1">[73]B!$D$7</definedName>
    <definedName name="b_37">[74]B!$D$7</definedName>
    <definedName name="b_37_1" localSheetId="1">[73]B!$D$7</definedName>
    <definedName name="b_37_1">[74]B!$D$7</definedName>
    <definedName name="b_39" localSheetId="1">[73]B!$D$7</definedName>
    <definedName name="b_39">[74]B!$D$7</definedName>
    <definedName name="b_4" localSheetId="1">[73]B!$D$7</definedName>
    <definedName name="b_4">[74]B!$D$7</definedName>
    <definedName name="b_5" localSheetId="1">[73]B!$D$7</definedName>
    <definedName name="b_5">[74]B!$D$7</definedName>
    <definedName name="b_7" localSheetId="1">[75]B!$D$7</definedName>
    <definedName name="b_7">[76]B!$D$7</definedName>
    <definedName name="b_79" localSheetId="1">[73]B!$D$7</definedName>
    <definedName name="b_79">[74]B!$D$7</definedName>
    <definedName name="b_8" localSheetId="1">[73]B!$D$7</definedName>
    <definedName name="b_8">[74]B!$D$7</definedName>
    <definedName name="B_S" localSheetId="1">[158]BS!$A$1:$AD$150</definedName>
    <definedName name="B_S">[159]BS!$A$1:$AD$150</definedName>
    <definedName name="B2XK35">#REF!</definedName>
    <definedName name="b95310_" localSheetId="1">#REF!</definedName>
    <definedName name="b95310_">#REF!</definedName>
    <definedName name="b95320_" localSheetId="1">#REF!</definedName>
    <definedName name="b95320_">#REF!</definedName>
    <definedName name="b95330_" localSheetId="1">#REF!</definedName>
    <definedName name="b95330_">#REF!</definedName>
    <definedName name="b95340_">#REF!</definedName>
    <definedName name="BA">#REF!</definedName>
    <definedName name="back6">#REF!</definedName>
    <definedName name="back7">#REF!</definedName>
    <definedName name="BAClaim">#REF!</definedName>
    <definedName name="BAClaim1">#REF!</definedName>
    <definedName name="BAL_SHEET" localSheetId="1">[160]B_Sheet!$A$1</definedName>
    <definedName name="BAL_SHEET">[161]B_Sheet!$A$1</definedName>
    <definedName name="BALLRM" localSheetId="1">#REF!</definedName>
    <definedName name="BALLRM">#REF!</definedName>
    <definedName name="Bank" localSheetId="1">#REF!</definedName>
    <definedName name="Bank">#REF!</definedName>
    <definedName name="BANT95">'[162]Cum.91-93'!$AQ$238:$AQ$432</definedName>
    <definedName name="BANTING">'[162]Cum.91-93'!$AQ$460:$AQ$673</definedName>
    <definedName name="bas" localSheetId="1">'[95]0100'!$O$14:$R$67</definedName>
    <definedName name="bas">'[96]0100'!$O$14:$R$67</definedName>
    <definedName name="Basis_end" localSheetId="1">#REF!</definedName>
    <definedName name="Basis_end">#REF!</definedName>
    <definedName name="Basis_start" localSheetId="1">#REF!</definedName>
    <definedName name="Basis_start">#REF!</definedName>
    <definedName name="BATT" localSheetId="1" hidden="1">{#N/A,#N/A,TRUE,"M [OS-05]-00(1)"}</definedName>
    <definedName name="BATT" hidden="1">{#N/A,#N/A,TRUE,"M [OS-05]-00(1)"}</definedName>
    <definedName name="BB" localSheetId="1">#REF!</definedName>
    <definedName name="BB">#REF!</definedName>
    <definedName name="BB_1a" localSheetId="1">#REF!</definedName>
    <definedName name="BB_1a">#REF!</definedName>
    <definedName name="BB_2a" localSheetId="1">'[13]BB-1'!$A$1:$I$62</definedName>
    <definedName name="BB_2a">'[14]BB-1'!$A$1:$I$62</definedName>
    <definedName name="BB_3" localSheetId="1">#REF!</definedName>
    <definedName name="BB_3">#REF!</definedName>
    <definedName name="BBB" localSheetId="1">'[163]5 Analysis'!#REF!</definedName>
    <definedName name="BBB">'[164]5 Analysis'!#REF!</definedName>
    <definedName name="BBBB">'[165]11922'!#REF!</definedName>
    <definedName name="BC" localSheetId="1">#REF!</definedName>
    <definedName name="BC">#REF!</definedName>
    <definedName name="BCClaim" localSheetId="1">#REF!</definedName>
    <definedName name="BCClaim">#REF!</definedName>
    <definedName name="BCClaim1" localSheetId="1">#REF!</definedName>
    <definedName name="BCClaim1">#REF!</definedName>
    <definedName name="BCV1918_72">"$#REF!.$D$43"</definedName>
    <definedName name="BEC3457_49" localSheetId="1">#REF!</definedName>
    <definedName name="BEC3457_49">#REF!</definedName>
    <definedName name="BEC3457_65" localSheetId="1">#REF!</definedName>
    <definedName name="BEC3457_65">#REF!</definedName>
    <definedName name="BEC3457_72">"$#REF!.$#REF!$#REF!"</definedName>
    <definedName name="BEC3508_49" localSheetId="1">#REF!</definedName>
    <definedName name="BEC3508_49">#REF!</definedName>
    <definedName name="BEC3508_65" localSheetId="1">#REF!</definedName>
    <definedName name="BEC3508_65">#REF!</definedName>
    <definedName name="BEC3508_72">"$#REF!.$#REF!$#REF!"</definedName>
    <definedName name="bfd" localSheetId="1">'[95]0100'!$F$14:$G$106</definedName>
    <definedName name="bfd">'[96]0100'!$F$14:$G$106</definedName>
    <definedName name="Biz_Tool">'[49]MS Box'!#REF!</definedName>
    <definedName name="bkon" localSheetId="1">'[85]tax-ss'!$Q$7:$Q$37</definedName>
    <definedName name="bkon">'[86]tax-ss'!$Q$7:$Q$37</definedName>
    <definedName name="blance" localSheetId="1" hidden="1">{#N/A,#N/A,TRUE,"M [OS-05]-00(1)";#N/A,#N/A,TRUE,"M [OS-05]-00(1)"}</definedName>
    <definedName name="blance" hidden="1">{#N/A,#N/A,TRUE,"M [OS-05]-00(1)";#N/A,#N/A,TRUE,"M [OS-05]-00(1)"}</definedName>
    <definedName name="BldgContractor" localSheetId="1">#REF!</definedName>
    <definedName name="BldgContractor">#REF!</definedName>
    <definedName name="BOH" localSheetId="1">#REF!</definedName>
    <definedName name="BOH">#REF!</definedName>
    <definedName name="BPR_01" localSheetId="1">#REF!</definedName>
    <definedName name="BPR_01">#REF!</definedName>
    <definedName name="BPR_Bloom" localSheetId="1">'[166]BPR-Bloom'!$A$1:$P$451</definedName>
    <definedName name="BPR_Bloom">'[167]BPR-Bloom'!$A$1:$P$451</definedName>
    <definedName name="BPR_BS" localSheetId="1">#REF!</definedName>
    <definedName name="BPR_BS">#REF!</definedName>
    <definedName name="BPR_pl" localSheetId="1">#REF!</definedName>
    <definedName name="BPR_pl">#REF!</definedName>
    <definedName name="BQT" localSheetId="1">#REF!</definedName>
    <definedName name="BQT">#REF!</definedName>
    <definedName name="BR">#REF!</definedName>
    <definedName name="BS">#REF!</definedName>
    <definedName name="bsheet">#REF!</definedName>
    <definedName name="BSNotes">#REF!</definedName>
    <definedName name="BSsheet">#REF!</definedName>
    <definedName name="BUILDINGS1">"$#REF!.$H$18"</definedName>
    <definedName name="BUILDINGS1_72">"$#REF!.$H$19"</definedName>
    <definedName name="BUILDINGS8">"$#REF!.$P$105"</definedName>
    <definedName name="BUILDINGS8_72">"$#REF!.$P$106"</definedName>
    <definedName name="BuiltIn_Print_Area">#N/A</definedName>
    <definedName name="C_01" localSheetId="1">#REF!</definedName>
    <definedName name="C_01">#REF!</definedName>
    <definedName name="C_1a" localSheetId="1">#REF!</definedName>
    <definedName name="C_1a">#REF!</definedName>
    <definedName name="C_2a" localSheetId="1">'[13]C-5'!$A$1:$J$37</definedName>
    <definedName name="C_2a">'[14]C-5'!$A$1:$J$37</definedName>
    <definedName name="C_3a" localSheetId="1">'[13]C-6'!$A$1:$K$46</definedName>
    <definedName name="C_3a">'[14]C-6'!$A$1:$K$46</definedName>
    <definedName name="C_4" localSheetId="1">#REF!</definedName>
    <definedName name="C_4">#REF!</definedName>
    <definedName name="C_5a" localSheetId="1">#REF!</definedName>
    <definedName name="C_5a">#REF!</definedName>
    <definedName name="C_6a" localSheetId="1">'[13]C-6'!$A$1:$K$47</definedName>
    <definedName name="C_6a">'[14]C-6'!$A$1:$K$47</definedName>
    <definedName name="C_6a1" localSheetId="1">'[13]C-6a'!$A$1:$L$46</definedName>
    <definedName name="C_6a1">'[14]C-6a'!$A$1:$L$46</definedName>
    <definedName name="CAJE" localSheetId="1">#REF!</definedName>
    <definedName name="CAJE">#REF!</definedName>
    <definedName name="CAPITAL">"$#REF!.$#REF!$#REF!"</definedName>
    <definedName name="CAPITAL_49" localSheetId="1">#REF!</definedName>
    <definedName name="CAPITAL_49">#REF!</definedName>
    <definedName name="CAPITAL_65" localSheetId="1">#REF!</definedName>
    <definedName name="CAPITAL_65">#REF!</definedName>
    <definedName name="CAPITAL_72">"$#REF!.$#REF!$#REF!"</definedName>
    <definedName name="CAPITALISE">"$#REF!.#REF!$#REF!"</definedName>
    <definedName name="CAPITALISE_49" localSheetId="1">#REF!</definedName>
    <definedName name="CAPITALISE_49">#REF!</definedName>
    <definedName name="CAPITALISE_65" localSheetId="1">#REF!</definedName>
    <definedName name="CAPITALISE_65">#REF!</definedName>
    <definedName name="CAPITALISE_72">"$#REF!.#REF!$#REF!"</definedName>
    <definedName name="Capitalize">[168]Details!$D$2:$E$12</definedName>
    <definedName name="capsum" localSheetId="1">#REF!</definedName>
    <definedName name="capsum">#REF!</definedName>
    <definedName name="carrot78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carrot78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CASH" localSheetId="1">#REF!</definedName>
    <definedName name="CASH">#REF!</definedName>
    <definedName name="CATotals" localSheetId="1">#REF!</definedName>
    <definedName name="CATotals">#REF!</definedName>
    <definedName name="CATotals1" localSheetId="1">#REF!</definedName>
    <definedName name="CATotals1">#REF!</definedName>
    <definedName name="CC">#REF!</definedName>
    <definedName name="CC_1a" localSheetId="1">[13]CC!$A$1:$J$41</definedName>
    <definedName name="CC_1a">[14]CC!$A$1:$J$41</definedName>
    <definedName name="CC_3" localSheetId="1">#REF!</definedName>
    <definedName name="CC_3">#REF!</definedName>
    <definedName name="ccc" localSheetId="1">[169]FORMC94!$A$6:$M$38</definedName>
    <definedName name="ccc">[170]FORMC94!$A$6:$M$38</definedName>
    <definedName name="ccc_1" localSheetId="1">[171]FORMC94!$A$6:$M$38</definedName>
    <definedName name="ccc_1">[172]FORMC94!$A$6:$M$38</definedName>
    <definedName name="ccc_10" localSheetId="1">[173]FORMC94!$A$6:$M$38</definedName>
    <definedName name="ccc_10">[174]FORMC94!$A$6:$M$38</definedName>
    <definedName name="ccc_25" localSheetId="1">[173]FORMC94!$A$6:$M$38</definedName>
    <definedName name="ccc_25">[174]FORMC94!$A$6:$M$38</definedName>
    <definedName name="ccc_5" localSheetId="1">[173]FORMC94!$A$6:$M$38</definedName>
    <definedName name="ccc_5">[174]FORMC94!$A$6:$M$38</definedName>
    <definedName name="ccc_8" localSheetId="1">[171]FORMC94!$A$6:$M$38</definedName>
    <definedName name="ccc_8">[172]FORMC94!$A$6:$M$38</definedName>
    <definedName name="cccc" localSheetId="1">#REF!</definedName>
    <definedName name="cccc">#REF!</definedName>
    <definedName name="cccccccc" localSheetId="1">'[85]tax-ss'!$G$7:$G$37</definedName>
    <definedName name="cccccccc">'[86]tax-ss'!$G$7:$G$37</definedName>
    <definedName name="cccccccccc" localSheetId="1">[17]!cccccccccc</definedName>
    <definedName name="cccccccccc">[18]!cccccccccc</definedName>
    <definedName name="ccccccccccccccccc" localSheetId="1">#REF!</definedName>
    <definedName name="ccccccccccccccccc">#REF!</definedName>
    <definedName name="cccccccccccccccccc" localSheetId="1">[17]!cccccccccccccccccc</definedName>
    <definedName name="cccccccccccccccccc">[18]!cccccccccccccccccc</definedName>
    <definedName name="cccccccccccccccccccccc" localSheetId="1">[17]!cccccccccccccccccccccc</definedName>
    <definedName name="cccccccccccccccccccccc">[18]!cccccccccccccccccccccc</definedName>
    <definedName name="cccccusuuus" localSheetId="1">'[85]tax-ss'!$K$7:$K$37</definedName>
    <definedName name="cccccusuuus">'[86]tax-ss'!$K$7:$K$37</definedName>
    <definedName name="cccccuuuu" localSheetId="1">'[85]tax-ss'!$L$7:$L$37</definedName>
    <definedName name="cccccuuuu">'[86]tax-ss'!$L$7:$L$37</definedName>
    <definedName name="CDB" localSheetId="1">#REF!</definedName>
    <definedName name="CDB">#REF!</definedName>
    <definedName name="cddddddddddd" localSheetId="1">'[85]tax-ss'!$N$7:$N$37</definedName>
    <definedName name="cddddddddddd">'[86]tax-ss'!$N$7:$N$37</definedName>
    <definedName name="cdsioa" localSheetId="1">'[85]tax-ss'!$N$7:$N$37</definedName>
    <definedName name="cdsioa">'[86]tax-ss'!$N$7:$N$37</definedName>
    <definedName name="CE" localSheetId="1">#REF!</definedName>
    <definedName name="CE">#REF!</definedName>
    <definedName name="cefewfee" localSheetId="1">#REF!</definedName>
    <definedName name="cefewfee">#REF!</definedName>
    <definedName name="cf" localSheetId="1">#REF!</definedName>
    <definedName name="cf">#REF!</definedName>
    <definedName name="CF_1a">#REF!</definedName>
    <definedName name="CF_2a">#REF!</definedName>
    <definedName name="CF_2b">#REF!</definedName>
    <definedName name="CF_2b1">#REF!</definedName>
    <definedName name="CF_2b2">#REF!</definedName>
    <definedName name="CF_3a">#REF!</definedName>
    <definedName name="CF_3a1">#REF!</definedName>
    <definedName name="CF_3b">#REF!</definedName>
    <definedName name="CF_3b1">#REF!</definedName>
    <definedName name="CF_3b2">#REF!</definedName>
    <definedName name="CF_3c">#REF!</definedName>
    <definedName name="CF_3d">#REF!</definedName>
    <definedName name="CF_3e">#REF!</definedName>
    <definedName name="CF_3e1">#REF!</definedName>
    <definedName name="CF_3e2">#REF!</definedName>
    <definedName name="CF_3f">#REF!</definedName>
    <definedName name="CF_3f1">#REF!</definedName>
    <definedName name="CF_3f2">#REF!</definedName>
    <definedName name="CF_3f3">#REF!</definedName>
    <definedName name="CF_3f4">#REF!</definedName>
    <definedName name="CF_3f5">#REF!</definedName>
    <definedName name="CF_3g">#REF!</definedName>
    <definedName name="CF_3h">#REF!</definedName>
    <definedName name="Cflow">#REF!</definedName>
    <definedName name="CFWORKING">#REF!</definedName>
    <definedName name="Charge" localSheetId="1">'[175]FF-1'!#REF!</definedName>
    <definedName name="Charge">'[176]FF-1'!#REF!</definedName>
    <definedName name="Chargeabl" localSheetId="1">'[177]FF-1'!#REF!</definedName>
    <definedName name="Chargeabl">'[178]FF-1'!#REF!</definedName>
    <definedName name="Chargeable" localSheetId="1">'[179]FF-1'!#REF!</definedName>
    <definedName name="Chargeable">'[180]FF-1'!#REF!</definedName>
    <definedName name="CHECK" localSheetId="1">#REF!</definedName>
    <definedName name="CHECK">#REF!</definedName>
    <definedName name="CI" localSheetId="1">#REF!</definedName>
    <definedName name="CI">#REF!</definedName>
    <definedName name="Cis.Comm">[129]details!$C$138</definedName>
    <definedName name="CJE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CJE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cksv" localSheetId="1">#REF!</definedName>
    <definedName name="cksv">#REF!</definedName>
    <definedName name="CLAY">"$#REF!.$#REF!$#REF!"</definedName>
    <definedName name="CLAY_49" localSheetId="1">#REF!</definedName>
    <definedName name="CLAY_49">#REF!</definedName>
    <definedName name="CLAY_65" localSheetId="1">#REF!</definedName>
    <definedName name="CLAY_65">#REF!</definedName>
    <definedName name="CLAY_72">"$#REF!.$#REF!$#REF!"</definedName>
    <definedName name="client_name">"Reinhausen Asia-Pacific Sdn Bhd"</definedName>
    <definedName name="cname" localSheetId="1">[11]Info!$D$1</definedName>
    <definedName name="cname">[12]Info!$D$1</definedName>
    <definedName name="Co_name" localSheetId="1">#REF!</definedName>
    <definedName name="Co_name">#REF!</definedName>
    <definedName name="code" localSheetId="1">#REF!</definedName>
    <definedName name="code">#REF!</definedName>
    <definedName name="COH" localSheetId="1">#REF!</definedName>
    <definedName name="COH">#REF!</definedName>
    <definedName name="cohb">#REF!</definedName>
    <definedName name="COHB1">#REF!</definedName>
    <definedName name="COHB2">#REF!</definedName>
    <definedName name="COHB3">#REF!</definedName>
    <definedName name="Col_Numbers" localSheetId="1">'[91]0100'!$D$109:$E$109</definedName>
    <definedName name="Col_Numbers">'[92]0100'!$D$109:$E$109</definedName>
    <definedName name="Col_Type" localSheetId="1">'[91]0100'!$D$110:$E$110</definedName>
    <definedName name="Col_Type">'[92]0100'!$D$110:$E$110</definedName>
    <definedName name="ColmNo" localSheetId="1">[181]Weights!$B$5:$K$5</definedName>
    <definedName name="ColmNo">[182]Weights!$B$5:$K$5</definedName>
    <definedName name="COMMITMENTS">#N/A</definedName>
    <definedName name="Companyname" localSheetId="1">'[183]F-3'!$A$1</definedName>
    <definedName name="Companyname">'[184]F-3'!$A$1</definedName>
    <definedName name="COMPAQ">"$#REF!.$#REF!$#REF!"</definedName>
    <definedName name="COMPAQ_49" localSheetId="1">#REF!</definedName>
    <definedName name="COMPAQ_49">#REF!</definedName>
    <definedName name="COMPAQ_65" localSheetId="1">#REF!</definedName>
    <definedName name="COMPAQ_65">#REF!</definedName>
    <definedName name="COMPAQ_72">"$#REF!.$#REF!$#REF!"</definedName>
    <definedName name="COMPUTER">"$#REF!.$#REF!$#REF!"</definedName>
    <definedName name="COMPUTER_72">"'sch _2_'.$#REF!$#REF!"</definedName>
    <definedName name="COMPUTER40">"$#REF!.$#REF!#REF!"</definedName>
    <definedName name="COMPUTER40_49" localSheetId="1">#REF!</definedName>
    <definedName name="COMPUTER40_49">#REF!</definedName>
    <definedName name="COMPUTER40_65" localSheetId="1">#REF!</definedName>
    <definedName name="COMPUTER40_65">#REF!</definedName>
    <definedName name="COMPUTER40_72">"$#REF!.$#REF!#REF!"</definedName>
    <definedName name="CONCIERGE" localSheetId="1">#REF!</definedName>
    <definedName name="CONCIERGE">#REF!</definedName>
    <definedName name="conso" localSheetId="1">#REF!</definedName>
    <definedName name="conso">#REF!</definedName>
    <definedName name="CONSOL_BS" localSheetId="1">#REF!</definedName>
    <definedName name="CONSOL_BS">#REF!</definedName>
    <definedName name="CONSOL_JNL">#N/A</definedName>
    <definedName name="CONSOL_P_L" localSheetId="1">#REF!</definedName>
    <definedName name="CONSOL_P_L">#REF!</definedName>
    <definedName name="Content_Dev___Delivery">'[49]MS Box'!#REF!</definedName>
    <definedName name="CONTINGENCY">#N/A</definedName>
    <definedName name="CONTROL">#N/A</definedName>
    <definedName name="CONVENTN" localSheetId="1">#REF!</definedName>
    <definedName name="CONVENTN">#REF!</definedName>
    <definedName name="Copy">#N/A</definedName>
    <definedName name="CORRIDOR" localSheetId="1">#REF!</definedName>
    <definedName name="CORRIDOR">#REF!</definedName>
    <definedName name="cost" localSheetId="1">'[185]addl cost'!$A$3:$M$37</definedName>
    <definedName name="cost">'[186]addl cost'!$A$3:$M$37</definedName>
    <definedName name="CoTrend" localSheetId="1">#REF!</definedName>
    <definedName name="CoTrend">#REF!</definedName>
    <definedName name="COtrendNew" localSheetId="1">#REF!</definedName>
    <definedName name="COtrendNew">#REF!</definedName>
    <definedName name="Cover" localSheetId="1">#REF!</definedName>
    <definedName name="Cover">#REF!</definedName>
    <definedName name="Coy_cel">#REF!</definedName>
    <definedName name="Coy_cell">#REF!</definedName>
    <definedName name="Coy_name">#REF!</definedName>
    <definedName name="CR" localSheetId="1">[187]APCODE!$A$3:$B$65536</definedName>
    <definedName name="CR">[188]APCODE!$A$3:$B$65536</definedName>
    <definedName name="crate">[189]Rates!$B$4</definedName>
    <definedName name="CREDITOR" localSheetId="1">#REF!</definedName>
    <definedName name="CREDITOR">#REF!</definedName>
    <definedName name="CREDITORS" localSheetId="1">#REF!</definedName>
    <definedName name="CREDITORS">#REF!</definedName>
    <definedName name="CresitorAccruals" localSheetId="1">#REF!</definedName>
    <definedName name="CresitorAccruals">#REF!</definedName>
    <definedName name="_xlnm.Criteria">#REF!</definedName>
    <definedName name="CROK" localSheetId="1">[187]APCODE!$B$3:$C$602</definedName>
    <definedName name="CROK">[188]APCODE!$B$3:$C$602</definedName>
    <definedName name="CS" localSheetId="1">#REF!</definedName>
    <definedName name="CS">#REF!</definedName>
    <definedName name="csC" localSheetId="1">'[85]tax-ss'!$J$7:$J$37</definedName>
    <definedName name="csC">'[86]tax-ss'!$J$7:$J$37</definedName>
    <definedName name="csscc" localSheetId="1">'[85]tax-ss'!$C$7:$C$37</definedName>
    <definedName name="csscc">'[86]tax-ss'!$C$7:$C$37</definedName>
    <definedName name="CTTotals" localSheetId="1">#REF!</definedName>
    <definedName name="CTTotals">#REF!</definedName>
    <definedName name="CTTotals1" localSheetId="1">#REF!</definedName>
    <definedName name="CTTotals1">#REF!</definedName>
    <definedName name="cty_code">[189]Rates!$B$6</definedName>
    <definedName name="cu" localSheetId="1">'[85]tax-ss'!$M$7:$M$37</definedName>
    <definedName name="cu">'[86]tax-ss'!$M$7:$M$37</definedName>
    <definedName name="CUMMINS">"$#REF!.$#REF!$#REF!"</definedName>
    <definedName name="CUMMINS_49" localSheetId="1">#REF!</definedName>
    <definedName name="CUMMINS_49">#REF!</definedName>
    <definedName name="CUMMINS_65" localSheetId="1">#REF!</definedName>
    <definedName name="CUMMINS_65">#REF!</definedName>
    <definedName name="CUMMINS_72">"$#REF!.$#REF!$#REF!"</definedName>
    <definedName name="CURDATE">"TODAY()"</definedName>
    <definedName name="Currency">#REF!</definedName>
    <definedName name="current" localSheetId="1">'[127]F-5'!$B$7</definedName>
    <definedName name="current">'[128]F-5'!$B$7</definedName>
    <definedName name="current_ya">2001</definedName>
    <definedName name="CurrYA" localSheetId="1">'[190]G-35-3'!#REF!</definedName>
    <definedName name="CurrYA">'[191]G-35-3'!#REF!</definedName>
    <definedName name="custnew" localSheetId="1">#REF!</definedName>
    <definedName name="custnew">#REF!</definedName>
    <definedName name="Customer_name">#REF!</definedName>
    <definedName name="Customize" localSheetId="1">[192]!Customize</definedName>
    <definedName name="Customize">[193]!Customize</definedName>
    <definedName name="CVCV" localSheetId="1" hidden="1">{#VALUE!,#N/A,FALSE,0}</definedName>
    <definedName name="CVCV" hidden="1">{#VALUE!,#N/A,FALSE,0}</definedName>
    <definedName name="CVT" localSheetId="1">#REF!</definedName>
    <definedName name="CVT">#REF!</definedName>
    <definedName name="cyear" localSheetId="1">[11]Info!$D$8</definedName>
    <definedName name="cyear">[12]Info!$D$8</definedName>
    <definedName name="czu" localSheetId="1">'[85]tax-ss'!$H$7:$H$37</definedName>
    <definedName name="czu">'[86]tax-ss'!$H$7:$H$37</definedName>
    <definedName name="D" localSheetId="1">'[192]IBA &lt;O3&gt;'!$E$24:$E$25</definedName>
    <definedName name="D">'[193]IBA &lt;O3&gt;'!$E$24:$E$25</definedName>
    <definedName name="da">"TOA Paint (Malaysia) Sdn Bhd"</definedName>
    <definedName name="dagdsgds" localSheetId="1">#REF!</definedName>
    <definedName name="dagdsgds">#REF!</definedName>
    <definedName name="DASH" localSheetId="1">'[194]Cost centre expenditure'!$B$16</definedName>
    <definedName name="DASH">'[195]Cost centre expenditure'!$B$16</definedName>
    <definedName name="Data" localSheetId="1">[196]BPR!$F$11</definedName>
    <definedName name="Data">[197]BPR!$F$11</definedName>
    <definedName name="Data_10" localSheetId="1">[198]BPR!$F$11</definedName>
    <definedName name="Data_10">[199]BPR!$F$11</definedName>
    <definedName name="Data_11" localSheetId="1">[196]BPR!$F$11</definedName>
    <definedName name="Data_11">[197]BPR!$F$11</definedName>
    <definedName name="Data_12" localSheetId="1">[196]BPR!$F$11</definedName>
    <definedName name="Data_12">[197]BPR!$F$11</definedName>
    <definedName name="Data_13" localSheetId="1">[200]BPR!$F$11</definedName>
    <definedName name="Data_13">[201]BPR!$F$11</definedName>
    <definedName name="Data_14" localSheetId="1">[196]BPR!$F$11</definedName>
    <definedName name="Data_14">[197]BPR!$F$11</definedName>
    <definedName name="Data_15" localSheetId="1">[196]BPR!$F$11</definedName>
    <definedName name="Data_15">[197]BPR!$F$11</definedName>
    <definedName name="Data_19" localSheetId="1">[202]BPR!$F$11</definedName>
    <definedName name="Data_19">[203]BPR!$F$11</definedName>
    <definedName name="Data_20" localSheetId="1">[200]BPR!$F$11</definedName>
    <definedName name="Data_20">[201]BPR!$F$11</definedName>
    <definedName name="Data_21" localSheetId="1">[200]BPR!$F$11</definedName>
    <definedName name="Data_21">[201]BPR!$F$11</definedName>
    <definedName name="Data_22" localSheetId="1">[200]BPR!$F$11</definedName>
    <definedName name="Data_22">[201]BPR!$F$11</definedName>
    <definedName name="Data_23" localSheetId="1">[200]BPR!$F$11</definedName>
    <definedName name="Data_23">[201]BPR!$F$11</definedName>
    <definedName name="Data_23_1" localSheetId="1">[200]BPR!$F$11</definedName>
    <definedName name="Data_23_1">[201]BPR!$F$11</definedName>
    <definedName name="Data_25" localSheetId="1">[200]BPR!$F$11</definedName>
    <definedName name="Data_25">[201]BPR!$F$11</definedName>
    <definedName name="Data_29" localSheetId="1">[200]BPR!$F$11</definedName>
    <definedName name="Data_29">[201]BPR!$F$11</definedName>
    <definedName name="Data_43" localSheetId="1">[200]BPR!$F$11</definedName>
    <definedName name="Data_43">[201]BPR!$F$11</definedName>
    <definedName name="Data_47" localSheetId="1">[200]BPR!$F$11</definedName>
    <definedName name="Data_47">[201]BPR!$F$11</definedName>
    <definedName name="Data_66" localSheetId="1">[200]BPR!$F$11</definedName>
    <definedName name="Data_66">[201]BPR!$F$11</definedName>
    <definedName name="Data_72" localSheetId="1">[202]BPR!$F$11</definedName>
    <definedName name="Data_72">[203]BPR!$F$11</definedName>
    <definedName name="Data_8" localSheetId="1">[198]BPR!$F$11</definedName>
    <definedName name="Data_8">[199]BPR!$F$11</definedName>
    <definedName name="Data_9" localSheetId="1">[196]BPR!$F$11</definedName>
    <definedName name="Data_9">[197]BPR!$F$11</definedName>
    <definedName name="data1" localSheetId="1">#REF!</definedName>
    <definedName name="data1">#REF!</definedName>
    <definedName name="data2" localSheetId="1">#REF!</definedName>
    <definedName name="data2">#REF!</definedName>
    <definedName name="data3" localSheetId="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_xlnm.Database">#REF!</definedName>
    <definedName name="Database_MI">#REF!</definedName>
    <definedName name="Database1">#REF!</definedName>
    <definedName name="Date">#REF!</definedName>
    <definedName name="dAWDAWDA">#REF!</definedName>
    <definedName name="DC">#REF!</definedName>
    <definedName name="DD">#REF!</definedName>
    <definedName name="DDD">#REF!</definedName>
    <definedName name="dddd" localSheetId="1">[17]!dddd</definedName>
    <definedName name="dddd">[18]!dddd</definedName>
    <definedName name="ddddd" localSheetId="1" hidden="1">{#N/A,#N/A,FALSE,"Sheet1"}</definedName>
    <definedName name="ddddd" hidden="1">{#N/A,#N/A,FALSE,"Sheet1"}</definedName>
    <definedName name="ddfdf" localSheetId="1">#REF!</definedName>
    <definedName name="ddfdf">#REF!</definedName>
    <definedName name="ddgg" localSheetId="1">#REF!</definedName>
    <definedName name="ddgg">#REF!</definedName>
    <definedName name="dds" localSheetId="1">#REF!</definedName>
    <definedName name="dds">#REF!</definedName>
    <definedName name="ddsgg">#REF!</definedName>
    <definedName name="DE">#REF!</definedName>
    <definedName name="DEB">#REF!</definedName>
    <definedName name="DEBTOR">#REF!</definedName>
    <definedName name="Dec">#REF!</definedName>
    <definedName name="DEDetail">#REF!</definedName>
    <definedName name="deferred">#REF!</definedName>
    <definedName name="DEMonths">#REF!</definedName>
    <definedName name="DEPN">"$#REF!.$H$15"</definedName>
    <definedName name="DEPN_72">"$#REF!.$H$16"</definedName>
    <definedName name="Depr" localSheetId="1">#REF!</definedName>
    <definedName name="Depr">#REF!</definedName>
    <definedName name="Derty" localSheetId="1">#REF!</definedName>
    <definedName name="Derty">#REF!</definedName>
    <definedName name="Detail10" localSheetId="1">#REF!</definedName>
    <definedName name="Detail10">#REF!</definedName>
    <definedName name="Detail20">#REF!</definedName>
    <definedName name="Developer_Tools">'[49]MS Box'!#REF!</definedName>
    <definedName name="dfd" localSheetId="1">'[204]FF-3'!$A$9:$K$11</definedName>
    <definedName name="dfd">'[205]FF-3'!$A$9:$K$11</definedName>
    <definedName name="dfdf" localSheetId="1">#REF!</definedName>
    <definedName name="dfdf">#REF!</definedName>
    <definedName name="dfdfdds" localSheetId="1">#REF!</definedName>
    <definedName name="dfdfdds">#REF!</definedName>
    <definedName name="dfdfds" localSheetId="1">#REF!</definedName>
    <definedName name="dfdfds">#REF!</definedName>
    <definedName name="DFDFDW">#REF!</definedName>
    <definedName name="dfdfff">#REF!</definedName>
    <definedName name="dfdsf" localSheetId="1">'[206]CA Sheet'!$R$36</definedName>
    <definedName name="dfdsf">'[207]CA Sheet'!$R$36</definedName>
    <definedName name="dfdsfgfg" localSheetId="1">'[208]CA Sheet'!$R$36</definedName>
    <definedName name="dfdsfgfg">'[209]CA Sheet'!$R$36</definedName>
    <definedName name="dffd" localSheetId="1">#REF!</definedName>
    <definedName name="dffd">#REF!</definedName>
    <definedName name="dffgdfrd" localSheetId="1">#REF!</definedName>
    <definedName name="dffgdfrd">#REF!</definedName>
    <definedName name="dfg" localSheetId="1">#REF!</definedName>
    <definedName name="dfg">#REF!</definedName>
    <definedName name="dfgdfdf">#REF!</definedName>
    <definedName name="dfgdfg">#REF!</definedName>
    <definedName name="dfgfd">#REF!</definedName>
    <definedName name="dfgrfgsdg">#REF!</definedName>
    <definedName name="dfh">#REF!</definedName>
    <definedName name="dfhddt">#REF!</definedName>
    <definedName name="dfhdffd">#REF!</definedName>
    <definedName name="dfhdfhdf">#REF!</definedName>
    <definedName name="dfhfh">#REF!</definedName>
    <definedName name="dfhjdj">#REF!</definedName>
    <definedName name="dfhnfj">#REF!</definedName>
    <definedName name="dfhsdfgse">#REF!</definedName>
    <definedName name="dfjftjt">#REF!</definedName>
    <definedName name="dfjndghjdt">#REF!</definedName>
    <definedName name="dflt1" localSheetId="1">'[192]Customize Your Loan Manager'!$G$21</definedName>
    <definedName name="dflt1">'[193]Customize Your Loan Manager'!$G$21</definedName>
    <definedName name="dfsdfes" localSheetId="1">'[206]CA Sheet'!$R$36</definedName>
    <definedName name="dfsdfes">'[207]CA Sheet'!$R$36</definedName>
    <definedName name="dfsdgfd" localSheetId="1">#REF!</definedName>
    <definedName name="dfsdgfd">#REF!</definedName>
    <definedName name="dfsfd" localSheetId="1">'[210]CA Sheet'!$R$36</definedName>
    <definedName name="dfsfd">'[211]CA Sheet'!$R$36</definedName>
    <definedName name="dfsfdf" localSheetId="1">#REF!</definedName>
    <definedName name="dfsfdf">#REF!</definedName>
    <definedName name="dfsff" localSheetId="1">#REF!</definedName>
    <definedName name="dfsff">#REF!</definedName>
    <definedName name="DFWDFW" localSheetId="1">#REF!</definedName>
    <definedName name="DFWDFW">#REF!</definedName>
    <definedName name="dg">#REF!</definedName>
    <definedName name="DGASG" localSheetId="1">[17]!DGASG</definedName>
    <definedName name="DGASG">[18]!DGASG</definedName>
    <definedName name="dgewrhe" localSheetId="1">#REF!</definedName>
    <definedName name="dgewrhe">#REF!</definedName>
    <definedName name="dgfdsgfd" localSheetId="1">#REF!</definedName>
    <definedName name="dgfdsgfd">#REF!</definedName>
    <definedName name="dgjdg" localSheetId="1">#REF!</definedName>
    <definedName name="dgjdg">#REF!</definedName>
    <definedName name="dgrdgd">#REF!</definedName>
    <definedName name="dgsdgsd">#REF!</definedName>
    <definedName name="dgsg">#REF!</definedName>
    <definedName name="dgsgs">#REF!</definedName>
    <definedName name="dhdfhfdj">#REF!</definedName>
    <definedName name="dhdh">#REF!</definedName>
    <definedName name="dhdhd">#REF!</definedName>
    <definedName name="dhdhdh">#REF!</definedName>
    <definedName name="dhdhsw">#REF!</definedName>
    <definedName name="dhfdhdtj">#REF!</definedName>
    <definedName name="dhhdh">#REF!</definedName>
    <definedName name="dhtdhdth">#REF!</definedName>
    <definedName name="DIS">"$#REF!.$G$14:$G$19"</definedName>
    <definedName name="DIS_72">"$#REF!.$G$15:$G$20"</definedName>
    <definedName name="Disc">[189]Rates!$B$2</definedName>
    <definedName name="display_area_2" localSheetId="1">#REF!</definedName>
    <definedName name="display_area_2">#REF!</definedName>
    <definedName name="DisposalTotals" localSheetId="1">#REF!</definedName>
    <definedName name="DisposalTotals">#REF!</definedName>
    <definedName name="DisposalTotals1" localSheetId="1">#REF!</definedName>
    <definedName name="DisposalTotals1">#REF!</definedName>
    <definedName name="div_code">[189]Rates!$B$7</definedName>
    <definedName name="djdjt" localSheetId="1">#REF!</definedName>
    <definedName name="djdjt">#REF!</definedName>
    <definedName name="djfhjdhje" localSheetId="1">#REF!</definedName>
    <definedName name="djfhjdhje">#REF!</definedName>
    <definedName name="djfjherhjr" localSheetId="1">#REF!</definedName>
    <definedName name="djfjherhjr">#REF!</definedName>
    <definedName name="DM2_">'[162]Cum.91-93'!$AI$460:$AI$673</definedName>
    <definedName name="DM95_">'[162]Cum.91-93'!$AI$238:$AI$432</definedName>
    <definedName name="docs" localSheetId="1">#REF!</definedName>
    <definedName name="docs">#REF!</definedName>
    <definedName name="DONATION">"$#REF!.$#REF!$#REF!"</definedName>
    <definedName name="DONATION_49" localSheetId="1">#REF!</definedName>
    <definedName name="DONATION_49">#REF!</definedName>
    <definedName name="DONATION_65" localSheetId="1">#REF!</definedName>
    <definedName name="DONATION_65">#REF!</definedName>
    <definedName name="DONATION_72">"$#REF!.$#REF!$#REF!"</definedName>
    <definedName name="dqewedqewd" localSheetId="1">'[107]U2.2'!#REF!</definedName>
    <definedName name="dqewedqewd">'[108]U2.2'!#REF!</definedName>
    <definedName name="DR" localSheetId="1">#REF!</definedName>
    <definedName name="DR">#REF!</definedName>
    <definedName name="DRIVER" localSheetId="1">#REF!</definedName>
    <definedName name="DRIVER">#REF!</definedName>
    <definedName name="ds" localSheetId="1">#REF!</definedName>
    <definedName name="ds">#REF!</definedName>
    <definedName name="dsd">#REF!</definedName>
    <definedName name="dsfdff">#REF!</definedName>
    <definedName name="dsfdsfds">#REF!</definedName>
    <definedName name="dsfdsgsdfd">#REF!</definedName>
    <definedName name="dsffef">#REF!</definedName>
    <definedName name="dsfgfgrd">#REF!</definedName>
    <definedName name="dsgdsgds">#REF!</definedName>
    <definedName name="dsgfewgew">#REF!</definedName>
    <definedName name="dsgfsgeg">#REF!</definedName>
    <definedName name="dsgfsggrf">#REF!</definedName>
    <definedName name="dsggshhr">#REF!</definedName>
    <definedName name="dsgrrerehhr" localSheetId="1">[17]!dsgrrerehhr</definedName>
    <definedName name="dsgrrerehhr">[18]!dsgrrerehhr</definedName>
    <definedName name="dsgsrsrh" localSheetId="1">#REF!</definedName>
    <definedName name="dsgsrsrh">#REF!</definedName>
    <definedName name="DSP" localSheetId="1">#REF!</definedName>
    <definedName name="DSP">#REF!</definedName>
    <definedName name="DSPIMO" localSheetId="1">#REF!</definedName>
    <definedName name="DSPIMO">#REF!</definedName>
    <definedName name="DSPMO">#REF!</definedName>
    <definedName name="DSPTLMO">#REF!</definedName>
    <definedName name="dssbfeq" hidden="1">#REF!</definedName>
    <definedName name="dssdg">#REF!</definedName>
    <definedName name="dsvsdfrdsg">#REF!</definedName>
    <definedName name="dtdyu" localSheetId="1">[17]!dtdyu</definedName>
    <definedName name="dtdyu">[18]!dtdyu</definedName>
    <definedName name="dthtdht" localSheetId="1">#REF!</definedName>
    <definedName name="dthtdht">#REF!</definedName>
    <definedName name="dvvsv" localSheetId="1">#REF!</definedName>
    <definedName name="dvvsv">#REF!</definedName>
    <definedName name="dwfq" localSheetId="1">#REF!</definedName>
    <definedName name="dwfq">#REF!</definedName>
    <definedName name="dwqdq" localSheetId="1">'[107]U2.2'!#REF!</definedName>
    <definedName name="dwqdq">'[108]U2.2'!#REF!</definedName>
    <definedName name="e" localSheetId="1">#REF!</definedName>
    <definedName name="e">#REF!</definedName>
    <definedName name="E_I2">"$#REF!.$O$197"</definedName>
    <definedName name="E_I2_72">"$#REF!.$O$198"</definedName>
    <definedName name="ea" localSheetId="1">#REF!</definedName>
    <definedName name="ea">#REF!</definedName>
    <definedName name="edgewrqgr" localSheetId="1">#REF!</definedName>
    <definedName name="edgewrqgr">#REF!</definedName>
    <definedName name="Edit_Area" localSheetId="1">'[91]0100'!$D$14:$E$106</definedName>
    <definedName name="Edit_Area">'[92]0100'!$D$14:$E$106</definedName>
    <definedName name="Edit_Comp_1" localSheetId="1">'[91]0100'!$F$14:$G$106</definedName>
    <definedName name="Edit_Comp_1">'[92]0100'!$F$14:$G$106</definedName>
    <definedName name="Edit_Comp_2" localSheetId="1">'[91]0100'!$H$14:$I$106</definedName>
    <definedName name="Edit_Comp_2">'[92]0100'!$H$14:$I$106</definedName>
    <definedName name="Edit_Title_C1" localSheetId="1">'[91]0100'!$F$11:$F$11</definedName>
    <definedName name="Edit_Title_C1">'[92]0100'!$F$11:$F$11</definedName>
    <definedName name="Edit_Title_C2" localSheetId="1">'[91]0100'!$H$11:$H$11</definedName>
    <definedName name="Edit_Title_C2">'[92]0100'!$H$11:$H$11</definedName>
    <definedName name="Edit_Title_EA" localSheetId="1">'[91]0100'!$D$11:$D$11</definedName>
    <definedName name="Edit_Title_EA">'[92]0100'!$D$11:$D$11</definedName>
    <definedName name="EdRes" localSheetId="1">#REF!</definedName>
    <definedName name="EdRes">#REF!</definedName>
    <definedName name="EE" localSheetId="1">#REF!</definedName>
    <definedName name="EE">#REF!</definedName>
    <definedName name="ee_49" localSheetId="1">[212]FF_4!#REF!</definedName>
    <definedName name="ee_49">[213]FF_4!#REF!</definedName>
    <definedName name="ee_65" localSheetId="1">[212]FF_4!#REF!</definedName>
    <definedName name="ee_65">[213]FF_4!#REF!</definedName>
    <definedName name="ee_72">"'file://Nil-yxra5hg0hp5/company/Assurance/Premium Tyre Retreading05/DATA/Bee Sing/KIL334/YE00/Ideal Reno/awpIR.xls'#$FF_4.$#REF!$#REF!"</definedName>
    <definedName name="eee" localSheetId="1">[17]!eee</definedName>
    <definedName name="eee">[18]!eee</definedName>
    <definedName name="eeee" localSheetId="1">[214]FORMC94!$A$6:$M$38</definedName>
    <definedName name="eeee">[215]FORMC94!$A$6:$M$38</definedName>
    <definedName name="eeeeeeee" localSheetId="1">'[85]tax-ss'!$M$7:$M$37</definedName>
    <definedName name="eeeeeeee">'[86]tax-ss'!$M$7:$M$37</definedName>
    <definedName name="eerfr" localSheetId="1">#REF!</definedName>
    <definedName name="eerfr">#REF!</definedName>
    <definedName name="eewgte" localSheetId="1">'[216]Gain Loss Calculation'!$X$3</definedName>
    <definedName name="eewgte">'[217]Gain Loss Calculation'!$X$3</definedName>
    <definedName name="efdg" localSheetId="1">#REF!</definedName>
    <definedName name="efdg">#REF!</definedName>
    <definedName name="efdsf" localSheetId="1">#REF!</definedName>
    <definedName name="efdsf">#REF!</definedName>
    <definedName name="efefe" localSheetId="1">#REF!</definedName>
    <definedName name="efefe">#REF!</definedName>
    <definedName name="efefeee">#REF!</definedName>
    <definedName name="efefefwe">#REF!</definedName>
    <definedName name="efefewrfer">#REF!</definedName>
    <definedName name="efefgewee">#REF!</definedName>
    <definedName name="efewefe\">#REF!</definedName>
    <definedName name="efewfefew">#REF!</definedName>
    <definedName name="efewff" localSheetId="1">'[99]CA Sheet'!$R$36</definedName>
    <definedName name="efewff">'[100]CA Sheet'!$R$36</definedName>
    <definedName name="efewgeg" localSheetId="1">[17]!efewgeg</definedName>
    <definedName name="efewgeg">[18]!efewgeg</definedName>
    <definedName name="efgwegge" localSheetId="1">#REF!</definedName>
    <definedName name="efgwegge">#REF!</definedName>
    <definedName name="efwegwge" localSheetId="1">[17]!efwegwge</definedName>
    <definedName name="efwegwge">[18]!efwegwge</definedName>
    <definedName name="efwgewg" localSheetId="1">#REF!</definedName>
    <definedName name="efwgewg">#REF!</definedName>
    <definedName name="eg2wr3gwf" localSheetId="1" hidden="1">{#N/A,#N/A,FALSE,"Sheet1"}</definedName>
    <definedName name="eg2wr3gwf" hidden="1">{#N/A,#N/A,FALSE,"Sheet1"}</definedName>
    <definedName name="egewqgewqg" localSheetId="1">[218]B!$B$3</definedName>
    <definedName name="egewqgewqg">[219]B!$B$3</definedName>
    <definedName name="egfeqgegeg" localSheetId="1" hidden="1">#REF!</definedName>
    <definedName name="egfeqgegeg" hidden="1">#REF!</definedName>
    <definedName name="egfesge" localSheetId="1">#REF!</definedName>
    <definedName name="egfesge">#REF!</definedName>
    <definedName name="egfrgrewg" localSheetId="1">'[99]CA Sheet'!$Q$36</definedName>
    <definedName name="egfrgrewg">'[100]CA Sheet'!$Q$36</definedName>
    <definedName name="egg2g31" localSheetId="1">[17]!egg2g31</definedName>
    <definedName name="egg2g31">[18]!egg2g31</definedName>
    <definedName name="egqeg" localSheetId="1">[17]!egqeg</definedName>
    <definedName name="egqeg">[18]!egqeg</definedName>
    <definedName name="egreger" localSheetId="1">#REF!</definedName>
    <definedName name="egreger">#REF!</definedName>
    <definedName name="egrfrfg" localSheetId="1">#REF!</definedName>
    <definedName name="egrfrfg">#REF!</definedName>
    <definedName name="egtweg" localSheetId="1">[17]!egtweg</definedName>
    <definedName name="egtweg">[18]!egtweg</definedName>
    <definedName name="egwetrfewt" localSheetId="1">#REF!</definedName>
    <definedName name="egwetrfewt">#REF!</definedName>
    <definedName name="egwg" localSheetId="1">[17]!egwg</definedName>
    <definedName name="egwg">[18]!egwg</definedName>
    <definedName name="egwgwrh" localSheetId="1">[17]!egwgwrh</definedName>
    <definedName name="egwgwrh">[18]!egwgwrh</definedName>
    <definedName name="ehege" localSheetId="1">#REF!</definedName>
    <definedName name="ehege">#REF!</definedName>
    <definedName name="ehehe" localSheetId="1">#REF!</definedName>
    <definedName name="ehehe">#REF!</definedName>
    <definedName name="eheqhq" localSheetId="1">#REF!</definedName>
    <definedName name="eheqhq">#REF!</definedName>
    <definedName name="eherh">#REF!</definedName>
    <definedName name="EHERHE">#REF!</definedName>
    <definedName name="eherherh">#REF!</definedName>
    <definedName name="ehetheth">#REF!</definedName>
    <definedName name="ehgrdh">#REF!</definedName>
    <definedName name="ehrfhhsga">#REF!</definedName>
    <definedName name="EHTEJHTR">#REF!</definedName>
    <definedName name="ehtrh">#REF!</definedName>
    <definedName name="ejethuer" localSheetId="1">'[101]CA Sheet'!$Q$36</definedName>
    <definedName name="ejethuer">'[102]CA Sheet'!$Q$36</definedName>
    <definedName name="ejttrjrjr" localSheetId="1">#REF!</definedName>
    <definedName name="ejttrjrjr">#REF!</definedName>
    <definedName name="EL" localSheetId="1">#REF!</definedName>
    <definedName name="EL">#REF!</definedName>
    <definedName name="ELECT2">"$#REF!.#REF!$#REF!"</definedName>
    <definedName name="ELECT2_49" localSheetId="1">#REF!</definedName>
    <definedName name="ELECT2_49">#REF!</definedName>
    <definedName name="ELECT2_65" localSheetId="1">#REF!</definedName>
    <definedName name="ELECT2_65">#REF!</definedName>
    <definedName name="ELECT2_72">"$#REF!.#REF!$#REF!"</definedName>
    <definedName name="ELECTRICAL">"$#REF!.$H$77"</definedName>
    <definedName name="ELECTRICAL_72">"$#REF!.$H$78"</definedName>
    <definedName name="ELECTRICAL2">"$#REF!.$#REF!$#REF!"</definedName>
    <definedName name="ELECTRICAL2_49" localSheetId="1">#REF!</definedName>
    <definedName name="ELECTRICAL2_49">#REF!</definedName>
    <definedName name="ELECTRICAL2_65" localSheetId="1">#REF!</definedName>
    <definedName name="ELECTRICAL2_65">#REF!</definedName>
    <definedName name="ELECTRICAL2_72">"$#REF!.$#REF!$#REF!"</definedName>
    <definedName name="EmploymentCost" localSheetId="1">#REF!</definedName>
    <definedName name="EmploymentCost">#REF!</definedName>
    <definedName name="EndBP" localSheetId="1">#REF!</definedName>
    <definedName name="EndBP">#REF!</definedName>
    <definedName name="ended">36891</definedName>
    <definedName name="ENTER">"$#REF!.$#REF!$#REF!"</definedName>
    <definedName name="ENTER_49" localSheetId="1">#REF!</definedName>
    <definedName name="ENTER_49">#REF!</definedName>
    <definedName name="ENTER_65" localSheetId="1">#REF!</definedName>
    <definedName name="ENTER_65">#REF!</definedName>
    <definedName name="ENTER_72">"$#REF!.$#REF!$#REF!"</definedName>
    <definedName name="Entered_Pmt" localSheetId="1">#REF!</definedName>
    <definedName name="Entered_Pmt">#REF!</definedName>
    <definedName name="Entity">[168]Details!$B$2:$B$34</definedName>
    <definedName name="EntityList">[168]Details!$C$2:$C$28</definedName>
    <definedName name="EO" localSheetId="1">#REF!</definedName>
    <definedName name="EO">#REF!</definedName>
    <definedName name="EP" localSheetId="1">#REF!</definedName>
    <definedName name="EP">#REF!</definedName>
    <definedName name="eqaavs" localSheetId="1">[17]!eqaavs</definedName>
    <definedName name="eqaavs">[18]!eqaavs</definedName>
    <definedName name="eqfqew" localSheetId="1">[17]!eqfqew</definedName>
    <definedName name="eqfqew">[18]!eqfqew</definedName>
    <definedName name="eqrqewr" localSheetId="1">'[107]U2.2'!#REF!</definedName>
    <definedName name="eqrqewr">'[108]U2.2'!#REF!</definedName>
    <definedName name="EQTQ1R" localSheetId="1">#REF!</definedName>
    <definedName name="EQTQ1R">#REF!</definedName>
    <definedName name="eqwtrfewgtrwg" localSheetId="1">#REF!</definedName>
    <definedName name="eqwtrfewgtrwg">#REF!</definedName>
    <definedName name="ergetr" localSheetId="1">#REF!</definedName>
    <definedName name="ergetr">#REF!</definedName>
    <definedName name="ergewgtr">#REF!</definedName>
    <definedName name="ergtgtrg">#REF!</definedName>
    <definedName name="ergttwrtw" localSheetId="1">'[107]U2.2'!#REF!</definedName>
    <definedName name="ergttwrtw">'[108]U2.2'!#REF!</definedName>
    <definedName name="ergtwrq" localSheetId="1">#REF!</definedName>
    <definedName name="ergtwrq">#REF!</definedName>
    <definedName name="ergwq" localSheetId="1">#REF!</definedName>
    <definedName name="ergwq">#REF!</definedName>
    <definedName name="erherhh" localSheetId="1">#REF!</definedName>
    <definedName name="erherhh">#REF!</definedName>
    <definedName name="erhjtejnjmn">#REF!</definedName>
    <definedName name="erhnethet" localSheetId="1">'[107]U2.2'!#REF!</definedName>
    <definedName name="erhnethet">'[108]U2.2'!#REF!</definedName>
    <definedName name="erhreherh" localSheetId="1">#REF!</definedName>
    <definedName name="erhreherh">#REF!</definedName>
    <definedName name="erhtejnyrmj" localSheetId="1">#REF!</definedName>
    <definedName name="erhtejnyrmj">#REF!</definedName>
    <definedName name="erhtjht" localSheetId="1">#REF!</definedName>
    <definedName name="erhtjht">#REF!</definedName>
    <definedName name="errgwr">#REF!</definedName>
    <definedName name="ertjhjtrjheet">#REF!</definedName>
    <definedName name="ery3y">#REF!</definedName>
    <definedName name="eryerhgerh" localSheetId="1">'[101]CA Sheet'!$Q$36</definedName>
    <definedName name="eryerhgerh">'[102]CA Sheet'!$Q$36</definedName>
    <definedName name="eryerur" localSheetId="1">[17]!eryerur</definedName>
    <definedName name="eryerur">[18]!eryerur</definedName>
    <definedName name="eryhrh" localSheetId="1">#REF!</definedName>
    <definedName name="eryhrh">#REF!</definedName>
    <definedName name="eryw" localSheetId="1">#REF!</definedName>
    <definedName name="eryw">#REF!</definedName>
    <definedName name="ES" localSheetId="1">#REF!</definedName>
    <definedName name="ES">#REF!</definedName>
    <definedName name="esgtewgfe">#REF!</definedName>
    <definedName name="esgtwhwrh" hidden="1">#REF!</definedName>
    <definedName name="estimate">#REF!</definedName>
    <definedName name="estre">#REF!</definedName>
    <definedName name="ethgetge">#REF!</definedName>
    <definedName name="ethntrjnty" localSheetId="1">'[220]CA Sheet'!$Q$36</definedName>
    <definedName name="ethntrjnty">'[221]CA Sheet'!$Q$36</definedName>
    <definedName name="eththt4" localSheetId="1">#REF!</definedName>
    <definedName name="eththt4">#REF!</definedName>
    <definedName name="etr" localSheetId="1">#REF!</definedName>
    <definedName name="etr">#REF!</definedName>
    <definedName name="etwet" localSheetId="1">#REF!</definedName>
    <definedName name="etwet">#REF!</definedName>
    <definedName name="etwjhetqj">#REF!</definedName>
    <definedName name="ETYETET">#REF!</definedName>
    <definedName name="etyuetet5">#REF!</definedName>
    <definedName name="EVOL" localSheetId="1">[69]MCMD95!$U$130:$AO$151</definedName>
    <definedName name="EVOL">[70]MCMD95!$U$130:$AO$151</definedName>
    <definedName name="ewew" localSheetId="1">#REF!</definedName>
    <definedName name="ewew">#REF!</definedName>
    <definedName name="ewfewfef" localSheetId="1">#REF!</definedName>
    <definedName name="ewfewfef">#REF!</definedName>
    <definedName name="ewgr4hreh" localSheetId="1">#REF!</definedName>
    <definedName name="ewgr4hreh">#REF!</definedName>
    <definedName name="ewgwege" localSheetId="1">[17]!ewgwege</definedName>
    <definedName name="ewgwege">[18]!ewgwege</definedName>
    <definedName name="ewgwegg" localSheetId="1">#REF!</definedName>
    <definedName name="ewgwegg">#REF!</definedName>
    <definedName name="ewgwegwg" localSheetId="1">#REF!</definedName>
    <definedName name="ewgwegwg">#REF!</definedName>
    <definedName name="ewqfwqgf" localSheetId="1" hidden="1">{#N/A,#N/A,FALSE,"Sheet1"}</definedName>
    <definedName name="ewqfwqgf" hidden="1">{#N/A,#N/A,FALSE,"Sheet1"}</definedName>
    <definedName name="ewqgftwg" localSheetId="1" hidden="1">{#N/A,#N/A,FALSE,"Sheet1"}</definedName>
    <definedName name="ewqgftwg" hidden="1">{#N/A,#N/A,FALSE,"Sheet1"}</definedName>
    <definedName name="ewqgtwqg" localSheetId="1" hidden="1">{#N/A,#N/A,FALSE,"Sheet1"}</definedName>
    <definedName name="ewqgtwqg" hidden="1">{#N/A,#N/A,FALSE,"Sheet1"}</definedName>
    <definedName name="ewr" localSheetId="1">#REF!</definedName>
    <definedName name="ewr">#REF!</definedName>
    <definedName name="EWRHETHTRJ" localSheetId="1">#REF!</definedName>
    <definedName name="EWRHETHTRJ">#REF!</definedName>
    <definedName name="ewtfwegw4g" localSheetId="1">[17]!ewtfwegw4g</definedName>
    <definedName name="ewtfwegw4g">[18]!ewtfwegw4g</definedName>
    <definedName name="ewtqetqe" localSheetId="1">#REF!</definedName>
    <definedName name="ewtqetqe">#REF!</definedName>
    <definedName name="ewttew" localSheetId="1">#REF!</definedName>
    <definedName name="ewttew">#REF!</definedName>
    <definedName name="ewtw2tew" localSheetId="1">#REF!</definedName>
    <definedName name="ewtw2tew">#REF!</definedName>
    <definedName name="ewtwg" localSheetId="1">[17]!ewtwg</definedName>
    <definedName name="ewtwg">[18]!ewtwg</definedName>
    <definedName name="Excel_BuiltIn__FilterDatabase" localSheetId="1">#REF!</definedName>
    <definedName name="Excel_BuiltIn__FilterDatabase">#REF!</definedName>
    <definedName name="Excel_BuiltIn__FilterDatabase_1" localSheetId="1">#REF!</definedName>
    <definedName name="Excel_BuiltIn__FilterDatabase_1">#REF!</definedName>
    <definedName name="Excel_BuiltIn__FilterDatabase_10">"$#REF!.$B$4:$N$4"</definedName>
    <definedName name="Excel_BuiltIn__FilterDatabase_10_1">"$#REF!.$B$5:$T$5"</definedName>
    <definedName name="Excel_BuiltIn__FilterDatabase_10_1_1">"$#REF!.$B$5:$T$5"</definedName>
    <definedName name="Excel_BuiltIn__FilterDatabase_11" localSheetId="1">#REF!</definedName>
    <definedName name="Excel_BuiltIn__FilterDatabase_11">#REF!</definedName>
    <definedName name="Excel_BuiltIn__FilterDatabase_12">"$#REF!.$A$#REF!:$J$#REF!"</definedName>
    <definedName name="Excel_BuiltIn__FilterDatabase_17" localSheetId="1">#REF!</definedName>
    <definedName name="Excel_BuiltIn__FilterDatabase_17">#REF!</definedName>
    <definedName name="Excel_BuiltIn__FilterDatabase_19" localSheetId="1">#REF!</definedName>
    <definedName name="Excel_BuiltIn__FilterDatabase_19">#REF!</definedName>
    <definedName name="Excel_BuiltIn__FilterDatabase_2" localSheetId="1">#REF!</definedName>
    <definedName name="Excel_BuiltIn__FilterDatabase_2">#REF!</definedName>
    <definedName name="Excel_BuiltIn__FilterDatabase_3">#REF!</definedName>
    <definedName name="Excel_BuiltIn__FilterDatabase_3_1">"$#REF!.$B$4:$V$4"</definedName>
    <definedName name="Excel_BuiltIn__FilterDatabase_4">"$#REF!.$F$7:$F$386"</definedName>
    <definedName name="Excel_BuiltIn__FilterDatabase_5">"$#REF!.$D$3:$D$63715"</definedName>
    <definedName name="Excel_BuiltIn__FilterDatabase_5_1">"$#REF!.$B$3:$S$3"</definedName>
    <definedName name="Excel_BuiltIn__FilterDatabase_6">"$#REF!.$#REF!$#REF!:$#REF!$#REF!"</definedName>
    <definedName name="Excel_BuiltIn__FilterDatabase_6_1">"$#REF!.$B$4:$S$4"</definedName>
    <definedName name="Excel_BuiltIn__FilterDatabase_8">"$#REF!.$B$3:$O$3"</definedName>
    <definedName name="Excel_BuiltIn__FilterDatabase_9" localSheetId="1">#REF!</definedName>
    <definedName name="Excel_BuiltIn__FilterDatabase_9">#REF!</definedName>
    <definedName name="Excel_BuiltIn_Print_Area">"$#REF!.$A$1:$M$73"</definedName>
    <definedName name="Excel_BuiltIn_Print_Area_1">"$#REF!.$A$1:$G$29"</definedName>
    <definedName name="Excel_BuiltIn_Print_Area_1_1_1" localSheetId="1">#REF!</definedName>
    <definedName name="Excel_BuiltIn_Print_Area_1_1_1">#REF!</definedName>
    <definedName name="Excel_BuiltIn_Print_Area_10" localSheetId="1">#REF!</definedName>
    <definedName name="Excel_BuiltIn_Print_Area_10">#REF!</definedName>
    <definedName name="Excel_BuiltIn_Print_Area_10_1" localSheetId="1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2_1">#REF!</definedName>
    <definedName name="Excel_BuiltIn_Print_Area_13">"$#REF!.$A$1:$M$73"</definedName>
    <definedName name="Excel_BuiltIn_Print_Area_13_1" localSheetId="1">#REF!</definedName>
    <definedName name="Excel_BuiltIn_Print_Area_13_1">#REF!</definedName>
    <definedName name="Excel_BuiltIn_Print_Area_13_72">"$#REF!.$A$1:$M$74"</definedName>
    <definedName name="Excel_BuiltIn_Print_Area_14" localSheetId="1">#REF!</definedName>
    <definedName name="Excel_BuiltIn_Print_Area_14">#REF!</definedName>
    <definedName name="Excel_BuiltIn_Print_Area_15" localSheetId="1">#REF!</definedName>
    <definedName name="Excel_BuiltIn_Print_Area_15">#REF!</definedName>
    <definedName name="Excel_BuiltIn_Print_Area_16">"$#REF!.$A$1:$M$73"</definedName>
    <definedName name="Excel_BuiltIn_Print_Area_16_72">"$#REF!.$A$1:$M$74"</definedName>
    <definedName name="Excel_BuiltIn_Print_Area_17">"$#REF!.$A$1:$M$73"</definedName>
    <definedName name="Excel_BuiltIn_Print_Area_18">"$#REF!.$A$1:$M$73"</definedName>
    <definedName name="Excel_BuiltIn_Print_Area_19">"$#REF!.$A$1:$M$73"</definedName>
    <definedName name="Excel_BuiltIn_Print_Area_19_72">"$#REF!.$A$1:$M$74"</definedName>
    <definedName name="Excel_BuiltIn_Print_Area_2" localSheetId="1">'[222]1131 '!#REF!</definedName>
    <definedName name="Excel_BuiltIn_Print_Area_2">'[223]1131 '!#REF!</definedName>
    <definedName name="Excel_BuiltIn_Print_Area_20">"$#REF!.$A$1:$M$73"</definedName>
    <definedName name="Excel_BuiltIn_Print_Area_20_72">"$#REF!.$A$1:$M$74"</definedName>
    <definedName name="Excel_BuiltIn_Print_Area_21">"$#REF!.$A$1:$M$73"</definedName>
    <definedName name="Excel_BuiltIn_Print_Area_21_72">"$#REF!.$A$1:$M$74"</definedName>
    <definedName name="Excel_BuiltIn_Print_Area_22" localSheetId="1">#REF!</definedName>
    <definedName name="Excel_BuiltIn_Print_Area_22">#REF!</definedName>
    <definedName name="Excel_BuiltIn_Print_Area_23" localSheetId="1">#REF!</definedName>
    <definedName name="Excel_BuiltIn_Print_Area_23">#REF!</definedName>
    <definedName name="Excel_BuiltIn_Print_Area_24" localSheetId="1">#REF!</definedName>
    <definedName name="Excel_BuiltIn_Print_Area_24">#REF!</definedName>
    <definedName name="Excel_BuiltIn_Print_Area_25">"$#REF!.$A$1:$M$73"</definedName>
    <definedName name="Excel_BuiltIn_Print_Area_25_72">"$#REF!.$A$1:$M$74"</definedName>
    <definedName name="Excel_BuiltIn_Print_Area_27" localSheetId="1">#REF!</definedName>
    <definedName name="Excel_BuiltIn_Print_Area_27">#REF!</definedName>
    <definedName name="Excel_BuiltIn_Print_Area_28" localSheetId="1">#REF!</definedName>
    <definedName name="Excel_BuiltIn_Print_Area_28">#REF!</definedName>
    <definedName name="Excel_BuiltIn_Print_Area_28_1" localSheetId="1">#REF!</definedName>
    <definedName name="Excel_BuiltIn_Print_Area_28_1">#REF!</definedName>
    <definedName name="Excel_BuiltIn_Print_Area_29">#REF!</definedName>
    <definedName name="Excel_BuiltIn_Print_Area_29_1">#REF!</definedName>
    <definedName name="Excel_BuiltIn_Print_Area_3">NA()</definedName>
    <definedName name="Excel_BuiltIn_Print_Area_30">"$#REF!.$A$1:$M$74"</definedName>
    <definedName name="Excel_BuiltIn_Print_Area_30_1" localSheetId="1">#REF!</definedName>
    <definedName name="Excel_BuiltIn_Print_Area_30_1">#REF!</definedName>
    <definedName name="Excel_BuiltIn_Print_Area_31" localSheetId="1">#REF!</definedName>
    <definedName name="Excel_BuiltIn_Print_Area_31">#REF!</definedName>
    <definedName name="Excel_BuiltIn_Print_Area_32" localSheetId="1">#REF!</definedName>
    <definedName name="Excel_BuiltIn_Print_Area_32">#REF!</definedName>
    <definedName name="Excel_BuiltIn_Print_Area_32_1">#REF!</definedName>
    <definedName name="Excel_BuiltIn_Print_Area_33">#REF!</definedName>
    <definedName name="Excel_BuiltIn_Print_Area_34">#REF!</definedName>
    <definedName name="Excel_BuiltIn_Print_Area_34_1">#REF!</definedName>
    <definedName name="Excel_BuiltIn_Print_Area_35">"$#REF!.$A$1:$M$74"</definedName>
    <definedName name="Excel_BuiltIn_Print_Area_35_1" localSheetId="1">#REF!</definedName>
    <definedName name="Excel_BuiltIn_Print_Area_35_1">#REF!</definedName>
    <definedName name="Excel_BuiltIn_Print_Area_36" localSheetId="1">#REF!</definedName>
    <definedName name="Excel_BuiltIn_Print_Area_36">#REF!</definedName>
    <definedName name="Excel_BuiltIn_Print_Area_38" localSheetId="1">#REF!</definedName>
    <definedName name="Excel_BuiltIn_Print_Area_38">#REF!</definedName>
    <definedName name="Excel_BuiltIn_Print_Area_40">#REF!</definedName>
    <definedName name="Excel_BuiltIn_Print_Area_42">#REF!</definedName>
    <definedName name="Excel_BuiltIn_Print_Area_47">#REF!</definedName>
    <definedName name="Excel_BuiltIn_Print_Area_5">NA()</definedName>
    <definedName name="Excel_BuiltIn_Print_Area_52" localSheetId="1">#REF!</definedName>
    <definedName name="Excel_BuiltIn_Print_Area_52">#REF!</definedName>
    <definedName name="Excel_BuiltIn_Print_Area_6">"$#REF!.$B$1:$T$4"</definedName>
    <definedName name="Excel_BuiltIn_Print_Area_6_1">NA()</definedName>
    <definedName name="Excel_BuiltIn_Print_Area_67" localSheetId="1">#REF!</definedName>
    <definedName name="Excel_BuiltIn_Print_Area_67">#REF!</definedName>
    <definedName name="Excel_BuiltIn_Print_Area_7">"$#REF!.$B$5:$T$5"</definedName>
    <definedName name="Excel_BuiltIn_Print_Area_70" localSheetId="1">#REF!</definedName>
    <definedName name="Excel_BuiltIn_Print_Area_70">#REF!</definedName>
    <definedName name="Excel_BuiltIn_Print_Area_72">"$#REF!.$A$1:$M$74"</definedName>
    <definedName name="Excel_BuiltIn_Print_Area_8" localSheetId="1">#REF!</definedName>
    <definedName name="Excel_BuiltIn_Print_Area_8">#REF!</definedName>
    <definedName name="Excel_BuiltIn_Print_Area_9" localSheetId="1">#REF!</definedName>
    <definedName name="Excel_BuiltIn_Print_Area_9">#REF!</definedName>
    <definedName name="Excel_BuiltIn_Print_Area_9_1" localSheetId="1">#REF!</definedName>
    <definedName name="Excel_BuiltIn_Print_Area_9_1">#REF!</definedName>
    <definedName name="Excel_BuiltIn_Print_Titles">"$#REF!.$A$2:$IV$10"</definedName>
    <definedName name="Excel_BuiltIn_Print_Titles_1" localSheetId="1">#REF!</definedName>
    <definedName name="Excel_BuiltIn_Print_Titles_1">#REF!</definedName>
    <definedName name="Excel_BuiltIn_Print_Titles_1_1" localSheetId="1">#REF!</definedName>
    <definedName name="Excel_BuiltIn_Print_Titles_1_1">#REF!</definedName>
    <definedName name="Excel_BuiltIn_Print_Titles_10" localSheetId="1">#REF!</definedName>
    <definedName name="Excel_BuiltIn_Print_Titles_10">#REF!</definedName>
    <definedName name="Excel_BuiltIn_Print_Titles_10_1">"$#REF!.$A$3:$DV$5"</definedName>
    <definedName name="Excel_BuiltIn_Print_Titles_11" localSheetId="1">#REF!</definedName>
    <definedName name="Excel_BuiltIn_Print_Titles_11">#REF!</definedName>
    <definedName name="Excel_BuiltIn_Print_Titles_12" localSheetId="1">#REF!</definedName>
    <definedName name="Excel_BuiltIn_Print_Titles_12">#REF!</definedName>
    <definedName name="Excel_BuiltIn_Print_Titles_13">"$#REF!.$A$2:$IV$10"</definedName>
    <definedName name="Excel_BuiltIn_Print_Titles_14" localSheetId="1">#REF!</definedName>
    <definedName name="Excel_BuiltIn_Print_Titles_14">#REF!</definedName>
    <definedName name="Excel_BuiltIn_Print_Titles_15" localSheetId="1">#REF!</definedName>
    <definedName name="Excel_BuiltIn_Print_Titles_15">#REF!</definedName>
    <definedName name="Excel_BuiltIn_Print_Titles_16">"$#REF!.$A$2:$IV$10"</definedName>
    <definedName name="Excel_BuiltIn_Print_Titles_17">"$#REF!.$A$2:$IV$10"</definedName>
    <definedName name="Excel_BuiltIn_Print_Titles_18">"$#REF!.$A$2:$IV$10"</definedName>
    <definedName name="Excel_BuiltIn_Print_Titles_19">"$#REF!.$A$2:$IV$10"</definedName>
    <definedName name="Excel_BuiltIn_Print_Titles_20">"$#REF!.$A$2:$IV$10"</definedName>
    <definedName name="Excel_BuiltIn_Print_Titles_21">"$#REF!.$A$2:$IV$10"</definedName>
    <definedName name="Excel_BuiltIn_Print_Titles_22" localSheetId="1">#REF!</definedName>
    <definedName name="Excel_BuiltIn_Print_Titles_22">#REF!</definedName>
    <definedName name="Excel_BuiltIn_Print_Titles_23" localSheetId="1">#REF!</definedName>
    <definedName name="Excel_BuiltIn_Print_Titles_23">#REF!</definedName>
    <definedName name="Excel_BuiltIn_Print_Titles_24" localSheetId="1">#REF!</definedName>
    <definedName name="Excel_BuiltIn_Print_Titles_24">#REF!</definedName>
    <definedName name="Excel_BuiltIn_Print_Titles_25">"$#REF!.$A$2:$IV$10"</definedName>
    <definedName name="Excel_BuiltIn_Print_Titles_26" localSheetId="1">#REF!</definedName>
    <definedName name="Excel_BuiltIn_Print_Titles_26">#REF!</definedName>
    <definedName name="Excel_BuiltIn_Print_Titles_26_1" localSheetId="1">#REF!</definedName>
    <definedName name="Excel_BuiltIn_Print_Titles_26_1">#REF!</definedName>
    <definedName name="Excel_BuiltIn_Print_Titles_27">"$#REF!.$A$2:$IV$10"</definedName>
    <definedName name="Excel_BuiltIn_Print_Titles_28">"$#REF!.$A$2:$IV$10"</definedName>
    <definedName name="Excel_BuiltIn_Print_Titles_29">"$#REF!.$A$2:$IV$10"</definedName>
    <definedName name="Excel_BuiltIn_Print_Titles_29_1" localSheetId="1">#REF!</definedName>
    <definedName name="Excel_BuiltIn_Print_Titles_29_1">#REF!</definedName>
    <definedName name="Excel_BuiltIn_Print_Titles_3" localSheetId="1">#REF!</definedName>
    <definedName name="Excel_BuiltIn_Print_Titles_3">#REF!</definedName>
    <definedName name="Excel_BuiltIn_Print_Titles_30">"$#REF!.$A$2:$IV$10"</definedName>
    <definedName name="Excel_BuiltIn_Print_Titles_30_1" localSheetId="1">#REF!</definedName>
    <definedName name="Excel_BuiltIn_Print_Titles_30_1">#REF!</definedName>
    <definedName name="Excel_BuiltIn_Print_Titles_31" localSheetId="1">#REF!</definedName>
    <definedName name="Excel_BuiltIn_Print_Titles_31">#REF!</definedName>
    <definedName name="Excel_BuiltIn_Print_Titles_31_1" localSheetId="1">#REF!</definedName>
    <definedName name="Excel_BuiltIn_Print_Titles_31_1">#REF!</definedName>
    <definedName name="Excel_BuiltIn_Print_Titles_32">#REF!</definedName>
    <definedName name="Excel_BuiltIn_Print_Titles_33">#REF!</definedName>
    <definedName name="Excel_BuiltIn_Print_Titles_33_1">#REF!</definedName>
    <definedName name="Excel_BuiltIn_Print_Titles_34">#REF!</definedName>
    <definedName name="Excel_BuiltIn_Print_Titles_35">"$#REF!.$A$2:$IV$10"</definedName>
    <definedName name="Excel_BuiltIn_Print_Titles_35_1" localSheetId="1">#REF!</definedName>
    <definedName name="Excel_BuiltIn_Print_Titles_35_1">#REF!</definedName>
    <definedName name="Excel_BuiltIn_Print_Titles_36" localSheetId="1">#REF!</definedName>
    <definedName name="Excel_BuiltIn_Print_Titles_36">#REF!</definedName>
    <definedName name="Excel_BuiltIn_Print_Titles_38" localSheetId="1">#REF!</definedName>
    <definedName name="Excel_BuiltIn_Print_Titles_38">#REF!</definedName>
    <definedName name="Excel_BuiltIn_Print_Titles_4" localSheetId="1">'[224]A461 '!#REF!</definedName>
    <definedName name="Excel_BuiltIn_Print_Titles_4">'[225]A461 '!#REF!</definedName>
    <definedName name="Excel_BuiltIn_Print_Titles_40" localSheetId="1">#REF!</definedName>
    <definedName name="Excel_BuiltIn_Print_Titles_40">#REF!</definedName>
    <definedName name="Excel_BuiltIn_Print_Titles_42" localSheetId="1">#REF!</definedName>
    <definedName name="Excel_BuiltIn_Print_Titles_42">#REF!</definedName>
    <definedName name="Excel_BuiltIn_Print_Titles_45" localSheetId="1">#REF!</definedName>
    <definedName name="Excel_BuiltIn_Print_Titles_45">#REF!</definedName>
    <definedName name="Excel_BuiltIn_Print_Titles_47">#REF!</definedName>
    <definedName name="Excel_BuiltIn_Print_Titles_5">"$#REF!.$A$3:$EE$5"</definedName>
    <definedName name="Excel_BuiltIn_Print_Titles_52" localSheetId="1">#REF!</definedName>
    <definedName name="Excel_BuiltIn_Print_Titles_52">#REF!</definedName>
    <definedName name="Excel_BuiltIn_Print_Titles_53" localSheetId="1">#REF!</definedName>
    <definedName name="Excel_BuiltIn_Print_Titles_53">#REF!</definedName>
    <definedName name="Excel_BuiltIn_Print_Titles_6">"$#REF!.$A$1:$IT$4"</definedName>
    <definedName name="Excel_BuiltIn_Print_Titles_6_1">"$#REF!.$A$3:$EE$5"</definedName>
    <definedName name="Excel_BuiltIn_Print_Titles_6_1_1">"$#REF!.$A$1:$IT$4"</definedName>
    <definedName name="Excel_BuiltIn_Print_Titles_60" localSheetId="1">#REF!</definedName>
    <definedName name="Excel_BuiltIn_Print_Titles_60">#REF!</definedName>
    <definedName name="Excel_BuiltIn_Print_Titles_67" localSheetId="1">#REF!</definedName>
    <definedName name="Excel_BuiltIn_Print_Titles_67">#REF!</definedName>
    <definedName name="Excel_BuiltIn_Print_Titles_7_1">"$#REF!.$A$1:$IT$4"</definedName>
    <definedName name="Excel_BuiltIn_Print_Titles_70" localSheetId="1">#REF!</definedName>
    <definedName name="Excel_BuiltIn_Print_Titles_70">#REF!</definedName>
    <definedName name="Excel_BuiltIn_Print_Titles_8" localSheetId="1">#REF!</definedName>
    <definedName name="Excel_BuiltIn_Print_Titles_8">#REF!</definedName>
    <definedName name="Excel_BuiltIn_Print_Titles_9">"$#REF!.$A$2:$AMJ$3"</definedName>
    <definedName name="Exch_2000_CAL_NL_L">'[49]MOLP C'!#REF!</definedName>
    <definedName name="Exch_2000_SVR_NL_L">'[49]MOLP C'!#REF!</definedName>
    <definedName name="Exec4" localSheetId="1">#REF!</definedName>
    <definedName name="Exec4">#REF!</definedName>
    <definedName name="exera" localSheetId="1">[226]FORMC94!$A$6:$M$38</definedName>
    <definedName name="exera">[227]FORMC94!$A$6:$M$38</definedName>
    <definedName name="exera_1" localSheetId="1">[228]FORMC94!$A$6:$M$38</definedName>
    <definedName name="exera_1">[229]FORMC94!$A$6:$M$38</definedName>
    <definedName name="exera_1_1" localSheetId="1">[228]FORMC94!$A$6:$M$38</definedName>
    <definedName name="exera_1_1">[229]FORMC94!$A$6:$M$38</definedName>
    <definedName name="exera_10" localSheetId="1">[230]FORMC94!$A$6:$M$38</definedName>
    <definedName name="exera_10">[231]FORMC94!$A$6:$M$38</definedName>
    <definedName name="exera_10_1" localSheetId="1">[230]FORMC94!$A$6:$M$38</definedName>
    <definedName name="exera_10_1">[231]FORMC94!$A$6:$M$38</definedName>
    <definedName name="exera_10_72" localSheetId="1">[45]FORMC94!$A$6:$M$38</definedName>
    <definedName name="exera_10_72">[46]FORMC94!$A$6:$M$38</definedName>
    <definedName name="exera_11" localSheetId="1">[45]FORMC94!$A$6:$M$38</definedName>
    <definedName name="exera_11">[46]FORMC94!$A$6:$M$38</definedName>
    <definedName name="exera_12" localSheetId="1">[45]FORMC94!$A$6:$M$38</definedName>
    <definedName name="exera_12">[46]FORMC94!$A$6:$M$38</definedName>
    <definedName name="exera_12_1" localSheetId="1">[45]FORMC94!$A$6:$M$38</definedName>
    <definedName name="exera_12_1">[46]FORMC94!$A$6:$M$38</definedName>
    <definedName name="exera_13" localSheetId="1">[45]FORMC94!$A$6:$M$38</definedName>
    <definedName name="exera_13">[46]FORMC94!$A$6:$M$38</definedName>
    <definedName name="exera_13_1" localSheetId="1">[45]FORMC94!$A$6:$M$38</definedName>
    <definedName name="exera_13_1">[46]FORMC94!$A$6:$M$38</definedName>
    <definedName name="exera_13_72" localSheetId="1">[232]FORMC94!$A$6:$M$38</definedName>
    <definedName name="exera_13_72">[233]FORMC94!$A$6:$M$38</definedName>
    <definedName name="exera_14" localSheetId="1">[234]FORMC94!$A$6:$M$38</definedName>
    <definedName name="exera_14">[235]FORMC94!$A$6:$M$38</definedName>
    <definedName name="exera_14_1" localSheetId="1">[232]FORMC94!$A$6:$M$38</definedName>
    <definedName name="exera_14_1">[233]FORMC94!$A$6:$M$38</definedName>
    <definedName name="exera_15" localSheetId="1">[232]FORMC94!$A$6:$M$38</definedName>
    <definedName name="exera_15">[233]FORMC94!$A$6:$M$38</definedName>
    <definedName name="exera_15_1" localSheetId="1">[232]FORMC94!$A$6:$M$38</definedName>
    <definedName name="exera_15_1">[233]FORMC94!$A$6:$M$38</definedName>
    <definedName name="exera_16" localSheetId="1">[45]FORMC94!$A$6:$M$38</definedName>
    <definedName name="exera_16">[46]FORMC94!$A$6:$M$38</definedName>
    <definedName name="exera_16_1" localSheetId="1">[45]FORMC94!$A$6:$M$38</definedName>
    <definedName name="exera_16_1">[46]FORMC94!$A$6:$M$38</definedName>
    <definedName name="exera_16_72" localSheetId="1">[236]FORMC94!$A$6:$M$38</definedName>
    <definedName name="exera_16_72">[237]FORMC94!$A$6:$M$38</definedName>
    <definedName name="exera_17" localSheetId="1">[45]FORMC94!$A$6:$M$38</definedName>
    <definedName name="exera_17">[46]FORMC94!$A$6:$M$38</definedName>
    <definedName name="exera_17_1" localSheetId="1">[45]FORMC94!$A$6:$M$38</definedName>
    <definedName name="exera_17_1">[46]FORMC94!$A$6:$M$38</definedName>
    <definedName name="exera_18" localSheetId="1">[45]FORMC94!$A$6:$M$38</definedName>
    <definedName name="exera_18">[46]FORMC94!$A$6:$M$38</definedName>
    <definedName name="exera_18_1" localSheetId="1">[45]FORMC94!$A$6:$M$38</definedName>
    <definedName name="exera_18_1">[46]FORMC94!$A$6:$M$38</definedName>
    <definedName name="exera_19" localSheetId="1">[45]FORMC94!$A$6:$M$38</definedName>
    <definedName name="exera_19">[46]FORMC94!$A$6:$M$38</definedName>
    <definedName name="exera_19_72" localSheetId="1">[236]FORMC94!$A$6:$M$38</definedName>
    <definedName name="exera_19_72">[237]FORMC94!$A$6:$M$38</definedName>
    <definedName name="exera_2" localSheetId="1">[232]FORMC94!$A$6:$M$38</definedName>
    <definedName name="exera_2">[233]FORMC94!$A$6:$M$38</definedName>
    <definedName name="exera_20" localSheetId="1">[45]FORMC94!$A$6:$M$38</definedName>
    <definedName name="exera_20">[46]FORMC94!$A$6:$M$38</definedName>
    <definedName name="exera_20_1" localSheetId="1">[45]FORMC94!$A$6:$M$38</definedName>
    <definedName name="exera_20_1">[46]FORMC94!$A$6:$M$38</definedName>
    <definedName name="exera_21" localSheetId="1">[45]FORMC94!$A$6:$M$38</definedName>
    <definedName name="exera_21">[46]FORMC94!$A$6:$M$38</definedName>
    <definedName name="exera_22" localSheetId="1">[45]FORMC94!$A$6:$M$38</definedName>
    <definedName name="exera_22">[46]FORMC94!$A$6:$M$38</definedName>
    <definedName name="exera_22_72" localSheetId="1">[238]FORMC94!$A$6:$M$38</definedName>
    <definedName name="exera_22_72">[239]FORMC94!$A$6:$M$38</definedName>
    <definedName name="exera_23" localSheetId="1">[45]FORMC94!$A$6:$M$38</definedName>
    <definedName name="exera_23">[46]FORMC94!$A$6:$M$38</definedName>
    <definedName name="exera_24" localSheetId="1">[45]FORMC94!$A$6:$M$38</definedName>
    <definedName name="exera_24">[46]FORMC94!$A$6:$M$38</definedName>
    <definedName name="exera_25" localSheetId="1">[45]FORMC94!$A$6:$M$38</definedName>
    <definedName name="exera_25">[46]FORMC94!$A$6:$M$38</definedName>
    <definedName name="exera_25_1" localSheetId="1">[45]FORMC94!$A$6:$M$38</definedName>
    <definedName name="exera_25_1">[46]FORMC94!$A$6:$M$38</definedName>
    <definedName name="exera_25_72" localSheetId="1">[240]FORMC94!$A$6:$M$38</definedName>
    <definedName name="exera_25_72">[241]FORMC94!$A$6:$M$38</definedName>
    <definedName name="exera_26" localSheetId="1">[45]FORMC94!$A$6:$M$38</definedName>
    <definedName name="exera_26">[46]FORMC94!$A$6:$M$38</definedName>
    <definedName name="exera_26_1" localSheetId="1">[242]FORMC94!$A$6:$M$38</definedName>
    <definedName name="exera_26_1">[243]FORMC94!$A$6:$M$38</definedName>
    <definedName name="exera_27" localSheetId="1">[45]FORMC94!$A$6:$M$38</definedName>
    <definedName name="exera_27">[46]FORMC94!$A$6:$M$38</definedName>
    <definedName name="exera_28" localSheetId="1">[45]FORMC94!$A$6:$M$38</definedName>
    <definedName name="exera_28">[46]FORMC94!$A$6:$M$38</definedName>
    <definedName name="exera_28_72" localSheetId="1">[244]FORMC94!$A$6:$M$38</definedName>
    <definedName name="exera_28_72">[245]FORMC94!$A$6:$M$38</definedName>
    <definedName name="exera_29" localSheetId="1">[45]FORMC94!$A$6:$M$38</definedName>
    <definedName name="exera_29">[46]FORMC94!$A$6:$M$38</definedName>
    <definedName name="exera_29_1" localSheetId="1">[45]FORMC94!$A$6:$M$38</definedName>
    <definedName name="exera_29_1">[46]FORMC94!$A$6:$M$38</definedName>
    <definedName name="exera_3" localSheetId="1">[228]FORMC94!$A$6:$M$38</definedName>
    <definedName name="exera_3">[229]FORMC94!$A$6:$M$38</definedName>
    <definedName name="exera_3_1" localSheetId="1">[228]FORMC94!$A$6:$M$38</definedName>
    <definedName name="exera_3_1">[229]FORMC94!$A$6:$M$38</definedName>
    <definedName name="exera_30" localSheetId="1">[246]FORMC94!$A$6:$M$38</definedName>
    <definedName name="exera_30">[247]FORMC94!$A$6:$M$38</definedName>
    <definedName name="exera_30_1" localSheetId="1">[45]FORMC94!$A$6:$M$38</definedName>
    <definedName name="exera_30_1">[46]FORMC94!$A$6:$M$38</definedName>
    <definedName name="exera_31" localSheetId="1">[214]FORMC94!$A$6:$M$38</definedName>
    <definedName name="exera_31">[215]FORMC94!$A$6:$M$38</definedName>
    <definedName name="exera_31_1" localSheetId="1">[214]FORMC94!$A$6:$M$38</definedName>
    <definedName name="exera_31_1">[215]FORMC94!$A$6:$M$38</definedName>
    <definedName name="exera_32" localSheetId="1">[45]FORMC94!$A$6:$M$38</definedName>
    <definedName name="exera_32">[46]FORMC94!$A$6:$M$38</definedName>
    <definedName name="exera_33" localSheetId="1">[45]FORMC94!$A$6:$M$38</definedName>
    <definedName name="exera_33">[46]FORMC94!$A$6:$M$38</definedName>
    <definedName name="exera_33_1" localSheetId="1">[244]FORMC94!$A$6:$M$38</definedName>
    <definedName name="exera_33_1">[245]FORMC94!$A$6:$M$38</definedName>
    <definedName name="exera_34" localSheetId="1">[45]FORMC94!$A$6:$M$38</definedName>
    <definedName name="exera_34">[46]FORMC94!$A$6:$M$38</definedName>
    <definedName name="exera_34_1" localSheetId="1">[45]FORMC94!$A$6:$M$38</definedName>
    <definedName name="exera_34_1">[46]FORMC94!$A$6:$M$38</definedName>
    <definedName name="exera_35" localSheetId="1">[248]FORMC94!$A$6:$M$38</definedName>
    <definedName name="exera_35">[249]FORMC94!$A$6:$M$38</definedName>
    <definedName name="exera_35_1" localSheetId="1">[250]FORMC94!$A$6:$M$38</definedName>
    <definedName name="exera_35_1">[251]FORMC94!$A$6:$M$38</definedName>
    <definedName name="exera_36" localSheetId="1">[45]FORMC94!$A$6:$M$38</definedName>
    <definedName name="exera_36">[46]FORMC94!$A$6:$M$38</definedName>
    <definedName name="exera_37" localSheetId="1">[246]FORMC94!$A$6:$M$38</definedName>
    <definedName name="exera_37">[247]FORMC94!$A$6:$M$38</definedName>
    <definedName name="exera_37_1" localSheetId="1">[214]FORMC94!$A$6:$M$38</definedName>
    <definedName name="exera_37_1">[215]FORMC94!$A$6:$M$38</definedName>
    <definedName name="exera_38" localSheetId="1">[248]FORMC94!$A$6:$M$38</definedName>
    <definedName name="exera_38">[249]FORMC94!$A$6:$M$38</definedName>
    <definedName name="exera_39" localSheetId="1">[252]FORMC94!$A$6:$M$38</definedName>
    <definedName name="exera_39">[253]FORMC94!$A$6:$M$38</definedName>
    <definedName name="exera_4" localSheetId="1">[254]FORMC94!$A$6:$M$38</definedName>
    <definedName name="exera_4">[255]FORMC94!$A$6:$M$38</definedName>
    <definedName name="exera_40" localSheetId="1">[45]FORMC94!$A$6:$M$38</definedName>
    <definedName name="exera_40">[46]FORMC94!$A$6:$M$38</definedName>
    <definedName name="exera_41" localSheetId="1">[256]FORMC94!$A$6:$M$38</definedName>
    <definedName name="exera_41">[257]FORMC94!$A$6:$M$38</definedName>
    <definedName name="exera_42" localSheetId="1">[45]FORMC94!$A$6:$M$38</definedName>
    <definedName name="exera_42">[46]FORMC94!$A$6:$M$38</definedName>
    <definedName name="exera_43" localSheetId="1">[256]FORMC94!$A$6:$M$38</definedName>
    <definedName name="exera_43">[257]FORMC94!$A$6:$M$38</definedName>
    <definedName name="exera_44" localSheetId="1">[256]FORMC94!$A$6:$M$38</definedName>
    <definedName name="exera_44">[257]FORMC94!$A$6:$M$38</definedName>
    <definedName name="exera_45" localSheetId="1">[45]FORMC94!$A$6:$M$38</definedName>
    <definedName name="exera_45">[46]FORMC94!$A$6:$M$38</definedName>
    <definedName name="exera_46" localSheetId="1">[256]FORMC94!$A$6:$M$38</definedName>
    <definedName name="exera_46">[257]FORMC94!$A$6:$M$38</definedName>
    <definedName name="exera_47" localSheetId="1">[240]FORMC94!$A$6:$M$38</definedName>
    <definedName name="exera_47">[241]FORMC94!$A$6:$M$38</definedName>
    <definedName name="exera_49" localSheetId="1">[258]FORMC94!$A$6:$M$38</definedName>
    <definedName name="exera_49">[259]FORMC94!$A$6:$M$38</definedName>
    <definedName name="exera_5" localSheetId="1">[232]FORMC94!$A$6:$M$38</definedName>
    <definedName name="exera_5">[233]FORMC94!$A$6:$M$38</definedName>
    <definedName name="exera_50" localSheetId="1">[258]FORMC94!$A$6:$M$38</definedName>
    <definedName name="exera_50">[259]FORMC94!$A$6:$M$38</definedName>
    <definedName name="exera_52" localSheetId="1">[45]FORMC94!$A$6:$M$38</definedName>
    <definedName name="exera_52">[46]FORMC94!$A$6:$M$38</definedName>
    <definedName name="exera_53" localSheetId="1">[45]FORMC94!$A$6:$M$38</definedName>
    <definedName name="exera_53">[46]FORMC94!$A$6:$M$38</definedName>
    <definedName name="exera_54" localSheetId="1">[248]FORMC94!$A$6:$M$38</definedName>
    <definedName name="exera_54">[249]FORMC94!$A$6:$M$38</definedName>
    <definedName name="exera_56" localSheetId="1">[248]FORMC94!$A$6:$M$38</definedName>
    <definedName name="exera_56">[249]FORMC94!$A$6:$M$38</definedName>
    <definedName name="exera_6" localSheetId="1">[232]FORMC94!$A$6:$M$38</definedName>
    <definedName name="exera_6">[233]FORMC94!$A$6:$M$38</definedName>
    <definedName name="exera_6_1" localSheetId="1">[232]FORMC94!$A$6:$M$38</definedName>
    <definedName name="exera_6_1">[233]FORMC94!$A$6:$M$38</definedName>
    <definedName name="exera_60" localSheetId="1">[45]FORMC94!$A$6:$M$38</definedName>
    <definedName name="exera_60">[46]FORMC94!$A$6:$M$38</definedName>
    <definedName name="exera_61" localSheetId="1">[45]FORMC94!$A$6:$M$38</definedName>
    <definedName name="exera_61">[46]FORMC94!$A$6:$M$38</definedName>
    <definedName name="exera_67" localSheetId="1">[45]FORMC94!$A$6:$M$38</definedName>
    <definedName name="exera_67">[46]FORMC94!$A$6:$M$38</definedName>
    <definedName name="exera_68" localSheetId="1">[45]FORMC94!$A$6:$M$38</definedName>
    <definedName name="exera_68">[46]FORMC94!$A$6:$M$38</definedName>
    <definedName name="exera_7" localSheetId="1">[260]FORMC94!$A$6:$M$38</definedName>
    <definedName name="exera_7">[261]FORMC94!$A$6:$M$38</definedName>
    <definedName name="exera_70" localSheetId="1">[45]FORMC94!$A$6:$M$38</definedName>
    <definedName name="exera_70">[46]FORMC94!$A$6:$M$38</definedName>
    <definedName name="exera_71" localSheetId="1">[45]FORMC94!$A$6:$M$38</definedName>
    <definedName name="exera_71">[46]FORMC94!$A$6:$M$38</definedName>
    <definedName name="exera_72" localSheetId="1">[232]FORMC94!$A$6:$M$38</definedName>
    <definedName name="exera_72">[233]FORMC94!$A$6:$M$38</definedName>
    <definedName name="exera_79" localSheetId="1">[262]FORMC94!$A$6:$M$38</definedName>
    <definedName name="exera_79">[263]FORMC94!$A$6:$M$38</definedName>
    <definedName name="exera_8" localSheetId="1">[45]FORMC94!$A$6:$M$38</definedName>
    <definedName name="exera_8">[46]FORMC94!$A$6:$M$38</definedName>
    <definedName name="exera_8_1" localSheetId="1">[45]FORMC94!$A$6:$M$38</definedName>
    <definedName name="exera_8_1">[46]FORMC94!$A$6:$M$38</definedName>
    <definedName name="exera_9" localSheetId="1">[264]FORMC94!$A$6:$M$38</definedName>
    <definedName name="exera_9">[265]FORMC94!$A$6:$M$38</definedName>
    <definedName name="exera_9_1" localSheetId="1">[264]FORMC94!$A$6:$M$38</definedName>
    <definedName name="exera_9_1">[265]FORMC94!$A$6:$M$38</definedName>
    <definedName name="exera_9_72" localSheetId="1">[45]FORMC94!$A$6:$M$38</definedName>
    <definedName name="exera_9_72">[46]FORMC94!$A$6:$M$38</definedName>
    <definedName name="EXGAIN">"$#REF!.$I$33"</definedName>
    <definedName name="EXGAIN_72">"$#REF!.$I$36"</definedName>
    <definedName name="EXP">'[162]Dec 94'!$C$13:$AT$180</definedName>
    <definedName name="Exp_COS" localSheetId="1">#REF!</definedName>
    <definedName name="Exp_COS">#REF!</definedName>
    <definedName name="Exp_Samp" localSheetId="1">#REF!</definedName>
    <definedName name="Exp_Samp">#REF!</definedName>
    <definedName name="EXPBOR">'[162]Dec 94'!$D$1:$AT$12</definedName>
    <definedName name="EXPORT1" localSheetId="1">[17]!EXPORT1</definedName>
    <definedName name="EXPORT1">[18]!EXPORT1</definedName>
    <definedName name="EXPORT2" localSheetId="1">[17]!EXPORT2</definedName>
    <definedName name="EXPORT2">[18]!EXPORT2</definedName>
    <definedName name="Exposure_level" localSheetId="1">#REF!</definedName>
    <definedName name="Exposure_level">#REF!</definedName>
    <definedName name="_xlnm.Extract" localSheetId="1">#REF!</definedName>
    <definedName name="_xlnm.Extract">#REF!</definedName>
    <definedName name="EXTRUDER">"$#REF!.$#REF!$#REF!"</definedName>
    <definedName name="EXTRUDER_49" localSheetId="1">#REF!</definedName>
    <definedName name="EXTRUDER_49">#REF!</definedName>
    <definedName name="EXTRUDER_65" localSheetId="1">#REF!</definedName>
    <definedName name="EXTRUDER_65">#REF!</definedName>
    <definedName name="EXTRUDER_72">"$#REF!.$#REF!$#REF!"</definedName>
    <definedName name="EY" localSheetId="1" hidden="1">{"'Feb 99'!$A$1:$G$30"}</definedName>
    <definedName name="EY" hidden="1">{"'Feb 99'!$A$1:$G$30"}</definedName>
    <definedName name="eyheyhe5">#REF!</definedName>
    <definedName name="f">"'file://Nil-yxra5hg0hp5/company/Assurance/Premium Tyre Retreading05/WeltaxcompPY.xls'#$AFA.$#REF!$#REF!"</definedName>
    <definedName name="F.BUILDING">"$#REF!.$O$105"</definedName>
    <definedName name="F.BUILDING_72">"$#REF!.$O$106"</definedName>
    <definedName name="F_12" localSheetId="1">'[13]F-1l2'!$A$1:$J$68</definedName>
    <definedName name="F_12">'[14]F-1l2'!$A$1:$J$68</definedName>
    <definedName name="F_12Top" localSheetId="1">#REF!</definedName>
    <definedName name="F_12Top">#REF!</definedName>
    <definedName name="F_21" localSheetId="1">'[13]F-21'!$A$1:$F$22</definedName>
    <definedName name="F_21">'[14]F-21'!$A$1:$F$22</definedName>
    <definedName name="F_21a" localSheetId="1">#REF!</definedName>
    <definedName name="F_21a">#REF!</definedName>
    <definedName name="F_3" localSheetId="1">#REF!</definedName>
    <definedName name="F_3">#REF!</definedName>
    <definedName name="F_3a" localSheetId="1">#REF!</definedName>
    <definedName name="F_3a">#REF!</definedName>
    <definedName name="F_45">#REF!</definedName>
    <definedName name="f_49" localSheetId="1">[266]AFA!#REF!</definedName>
    <definedName name="f_49">[267]AFA!#REF!</definedName>
    <definedName name="F_4a" localSheetId="1">'[13]F-4'!$B$1:$L$74</definedName>
    <definedName name="F_4a">'[14]F-4'!$B$1:$L$74</definedName>
    <definedName name="F_4New" localSheetId="1">#REF!</definedName>
    <definedName name="F_4New">#REF!</definedName>
    <definedName name="F_4sup" localSheetId="1">#REF!</definedName>
    <definedName name="F_4sup">#REF!</definedName>
    <definedName name="F_5new" localSheetId="1">#REF!</definedName>
    <definedName name="F_5new">#REF!</definedName>
    <definedName name="f_65" localSheetId="1">[266]AFA!#REF!</definedName>
    <definedName name="f_65">[267]AFA!#REF!</definedName>
    <definedName name="f_72">"'file://Nil-yxra5hg0hp5/company/Assurance/Premium Tyre Retreading05/WeltaxcompPY.xls'#$AFA.$#REF!$#REF!"</definedName>
    <definedName name="F_7a" localSheetId="1">#REF!</definedName>
    <definedName name="F_7a">#REF!</definedName>
    <definedName name="F_8A02" localSheetId="1">#REF!</definedName>
    <definedName name="F_8A02">#REF!</definedName>
    <definedName name="F_8B02a" localSheetId="1">[268]E!#REF!</definedName>
    <definedName name="F_8B02a">[269]E!#REF!</definedName>
    <definedName name="F_8B24" localSheetId="1">'[268]B- 1'!#REF!</definedName>
    <definedName name="F_8B24">'[269]B- 1'!#REF!</definedName>
    <definedName name="F_8BB21" localSheetId="1">'[270]M-2'!#REF!</definedName>
    <definedName name="F_8BB21">'[271]M-2'!#REF!</definedName>
    <definedName name="F_8BB22" localSheetId="1">'[270]M-2'!#REF!</definedName>
    <definedName name="F_8BB22">'[271]M-2'!#REF!</definedName>
    <definedName name="F_8C05" localSheetId="1">#REF!</definedName>
    <definedName name="F_8C05">#REF!</definedName>
    <definedName name="F_8FSA" localSheetId="1">#REF!</definedName>
    <definedName name="F_8FSA">#REF!</definedName>
    <definedName name="F_8L30" localSheetId="1">#REF!</definedName>
    <definedName name="F_8L30">#REF!</definedName>
    <definedName name="F_8U01">#REF!</definedName>
    <definedName name="F_8U01a">#REF!</definedName>
    <definedName name="F_8U03">#REF!</definedName>
    <definedName name="F_9">#REF!</definedName>
    <definedName name="F_9_Cflow">#REF!</definedName>
    <definedName name="F_9a">#REF!</definedName>
    <definedName name="F_9a1">#REF!</definedName>
    <definedName name="F_9b">#REF!</definedName>
    <definedName name="F_9c" localSheetId="1">'[13]F-9c'!$A$1:$J$52</definedName>
    <definedName name="F_9c">'[14]F-9c'!$A$1:$J$52</definedName>
    <definedName name="F_RPT" localSheetId="1">#REF!</definedName>
    <definedName name="F_RPT">#REF!</definedName>
    <definedName name="FA" localSheetId="1">[196]BPR!$F$11</definedName>
    <definedName name="FA">[197]BPR!$F$11</definedName>
    <definedName name="FA_10" localSheetId="1">[198]BPR!$F$11</definedName>
    <definedName name="FA_10">[199]BPR!$F$11</definedName>
    <definedName name="FA_11" localSheetId="1">[196]BPR!$F$11</definedName>
    <definedName name="FA_11">[197]BPR!$F$11</definedName>
    <definedName name="FA_12" localSheetId="1">[196]BPR!$F$11</definedName>
    <definedName name="FA_12">[197]BPR!$F$11</definedName>
    <definedName name="FA_13" localSheetId="1">[200]BPR!$F$11</definedName>
    <definedName name="FA_13">[201]BPR!$F$11</definedName>
    <definedName name="FA_14" localSheetId="1">[196]BPR!$F$11</definedName>
    <definedName name="FA_14">[197]BPR!$F$11</definedName>
    <definedName name="FA_15" localSheetId="1">[196]BPR!$F$11</definedName>
    <definedName name="FA_15">[197]BPR!$F$11</definedName>
    <definedName name="FA_19" localSheetId="1">[202]BPR!$F$11</definedName>
    <definedName name="FA_19">[203]BPR!$F$11</definedName>
    <definedName name="FA_20" localSheetId="1">[200]BPR!$F$11</definedName>
    <definedName name="FA_20">[201]BPR!$F$11</definedName>
    <definedName name="FA_21" localSheetId="1">[200]BPR!$F$11</definedName>
    <definedName name="FA_21">[201]BPR!$F$11</definedName>
    <definedName name="FA_22" localSheetId="1">[200]BPR!$F$11</definedName>
    <definedName name="FA_22">[201]BPR!$F$11</definedName>
    <definedName name="FA_23" localSheetId="1">[200]BPR!$F$11</definedName>
    <definedName name="FA_23">[201]BPR!$F$11</definedName>
    <definedName name="FA_23_1" localSheetId="1">[200]BPR!$F$11</definedName>
    <definedName name="FA_23_1">[201]BPR!$F$11</definedName>
    <definedName name="FA_25" localSheetId="1">[200]BPR!$F$11</definedName>
    <definedName name="FA_25">[201]BPR!$F$11</definedName>
    <definedName name="FA_29" localSheetId="1">[200]BPR!$F$11</definedName>
    <definedName name="FA_29">[201]BPR!$F$11</definedName>
    <definedName name="FA_43" localSheetId="1">[200]BPR!$F$11</definedName>
    <definedName name="FA_43">[201]BPR!$F$11</definedName>
    <definedName name="FA_47" localSheetId="1">[200]BPR!$F$11</definedName>
    <definedName name="FA_47">[201]BPR!$F$11</definedName>
    <definedName name="FA_66" localSheetId="1">[200]BPR!$F$11</definedName>
    <definedName name="FA_66">[201]BPR!$F$11</definedName>
    <definedName name="FA_72" localSheetId="1">[202]BPR!$F$11</definedName>
    <definedName name="FA_72">[203]BPR!$F$11</definedName>
    <definedName name="FA_8" localSheetId="1">[198]BPR!$F$11</definedName>
    <definedName name="FA_8">[199]BPR!$F$11</definedName>
    <definedName name="FA_9" localSheetId="1">[196]BPR!$F$11</definedName>
    <definedName name="FA_9">[197]BPR!$F$11</definedName>
    <definedName name="FA_COMP" localSheetId="1">#REF!</definedName>
    <definedName name="FA_COMP">#REF!</definedName>
    <definedName name="faa" localSheetId="1">'[95]0100'!$I$3:$I$3</definedName>
    <definedName name="faa">'[96]0100'!$I$3:$I$3</definedName>
    <definedName name="FACE" localSheetId="1">#REF!</definedName>
    <definedName name="FACE">#REF!</definedName>
    <definedName name="FACEQUIP" localSheetId="1">#REF!</definedName>
    <definedName name="FACEQUIP">#REF!</definedName>
    <definedName name="FACF_F" localSheetId="1">#REF!</definedName>
    <definedName name="FACF_F">#REF!</definedName>
    <definedName name="fact_mach_eqm">#REF!</definedName>
    <definedName name="FACTORY">"$#REF!.$H$100"</definedName>
    <definedName name="FACTORY.EQ10">"$#REF!.$#REF!$#REF!"</definedName>
    <definedName name="FACTORY.EQ10_49" localSheetId="1">#REF!</definedName>
    <definedName name="FACTORY.EQ10_49">#REF!</definedName>
    <definedName name="FACTORY.EQ10_65" localSheetId="1">#REF!</definedName>
    <definedName name="FACTORY.EQ10_65">#REF!</definedName>
    <definedName name="FACTORY.EQ10_72">"$#REF!.$#REF!$#REF!"</definedName>
    <definedName name="FACTORY_72">"$#REF!.$H$101"</definedName>
    <definedName name="Fagsas" localSheetId="1">[105]CA!$Q$112</definedName>
    <definedName name="Fagsas">[106]CA!$Q$112</definedName>
    <definedName name="fasrfew" localSheetId="1">#REF!</definedName>
    <definedName name="fasrfew">#REF!</definedName>
    <definedName name="FAsset" localSheetId="1">#REF!</definedName>
    <definedName name="FAsset">#REF!</definedName>
    <definedName name="faveawv" localSheetId="1">[17]!faveawv</definedName>
    <definedName name="faveawv">[18]!faveawv</definedName>
    <definedName name="FD" localSheetId="1">#REF!</definedName>
    <definedName name="FD">#REF!</definedName>
    <definedName name="fddf" localSheetId="1">#REF!</definedName>
    <definedName name="fddf">#REF!</definedName>
    <definedName name="fdf" localSheetId="1">#REF!</definedName>
    <definedName name="fdf">#REF!</definedName>
    <definedName name="fdfdf" localSheetId="1">'[101]CA Sheet'!$R$36</definedName>
    <definedName name="fdfdf">'[102]CA Sheet'!$R$36</definedName>
    <definedName name="fdfdz" localSheetId="1">#REF!</definedName>
    <definedName name="fdfdz">#REF!</definedName>
    <definedName name="fdg" localSheetId="1">#REF!</definedName>
    <definedName name="fdg">#REF!</definedName>
    <definedName name="fdgdrhtd" localSheetId="1">#REF!</definedName>
    <definedName name="fdgdrhtd">#REF!</definedName>
    <definedName name="fdgfd" localSheetId="1">'[121]CA Sheet'!$R$36</definedName>
    <definedName name="fdgfd">'[122]CA Sheet'!$R$36</definedName>
    <definedName name="fdgfds" localSheetId="1">'[101]CA Sheet'!$R$36</definedName>
    <definedName name="fdgfds">'[102]CA Sheet'!$R$36</definedName>
    <definedName name="fdgfdsgfds" localSheetId="1">'[97]CA Sheet'!$R$36</definedName>
    <definedName name="fdgfdsgfds">'[98]CA Sheet'!$R$36</definedName>
    <definedName name="fdggdsf" localSheetId="1">[272]CBO0497!$B$12:$R$178</definedName>
    <definedName name="fdggdsf">[273]CBO0497!$B$12:$R$178</definedName>
    <definedName name="fdgtefgrf" localSheetId="1">#REF!</definedName>
    <definedName name="fdgtefgrf">#REF!</definedName>
    <definedName name="fdhdfhdh" localSheetId="1">#REF!</definedName>
    <definedName name="fdhdfhdh">#REF!</definedName>
    <definedName name="fdhdhdfh" localSheetId="1">#REF!</definedName>
    <definedName name="fdhdhdfh">#REF!</definedName>
    <definedName name="fdhfdjdfj">#REF!</definedName>
    <definedName name="fdhndfhngj">#REF!</definedName>
    <definedName name="fdhrfthhre">#REF!</definedName>
    <definedName name="fdjdrthd">#REF!</definedName>
    <definedName name="fdsf" localSheetId="1">'[101]CA Sheet'!$R$36</definedName>
    <definedName name="fdsf">'[102]CA Sheet'!$R$36</definedName>
    <definedName name="fdsfd" localSheetId="1">#REF!</definedName>
    <definedName name="fdsfd">#REF!</definedName>
    <definedName name="fe" localSheetId="1">[274]FORMC94!$A$6:$M$38</definedName>
    <definedName name="fe">[275]FORMC94!$A$6:$M$38</definedName>
    <definedName name="feasf" localSheetId="1">#REF!</definedName>
    <definedName name="feasf">#REF!</definedName>
    <definedName name="Feb" localSheetId="1">#REF!</definedName>
    <definedName name="Feb">#REF!</definedName>
    <definedName name="fef" localSheetId="1">#REF!</definedName>
    <definedName name="fef">#REF!</definedName>
    <definedName name="fefefewf">#REF!</definedName>
    <definedName name="feffwfe">#REF!</definedName>
    <definedName name="fefwfe">#REF!</definedName>
    <definedName name="ferwgrg">#REF!</definedName>
    <definedName name="FF">#REF!</definedName>
    <definedName name="ff_1">#REF!</definedName>
    <definedName name="FF_1a" localSheetId="1">[13]FF!$A$1:$K$23</definedName>
    <definedName name="FF_1a">[14]FF!$A$1:$K$23</definedName>
    <definedName name="FF_2" localSheetId="1">#REF!</definedName>
    <definedName name="FF_2">#REF!</definedName>
    <definedName name="FF_2a" localSheetId="1">'[13]FF-2'!$A$1:$I$29</definedName>
    <definedName name="FF_2a">'[14]FF-2'!$A$1:$I$29</definedName>
    <definedName name="FF_3" localSheetId="1">#REF!</definedName>
    <definedName name="FF_3">#REF!</definedName>
    <definedName name="ff_4" localSheetId="1">#REF!</definedName>
    <definedName name="ff_4">#REF!</definedName>
    <definedName name="ffd" localSheetId="1">#REF!</definedName>
    <definedName name="ffd">#REF!</definedName>
    <definedName name="ffdd">#REF!</definedName>
    <definedName name="FFE">#REF!</definedName>
    <definedName name="ffeg">#REF!</definedName>
    <definedName name="fffds">#REF!</definedName>
    <definedName name="FFfs" localSheetId="1">[17]!FFfs</definedName>
    <definedName name="FFfs">[18]!FFfs</definedName>
    <definedName name="ffng" localSheetId="1">#REF!</definedName>
    <definedName name="ffng">#REF!</definedName>
    <definedName name="fgdfgdf" localSheetId="1">#REF!</definedName>
    <definedName name="fgdfgdf">#REF!</definedName>
    <definedName name="fgdgfdgfdgfd" localSheetId="1">#REF!</definedName>
    <definedName name="fgdgfdgfdgfd">#REF!</definedName>
    <definedName name="fgg">#REF!</definedName>
    <definedName name="fggg">#REF!</definedName>
    <definedName name="fghfghfg">#REF!</definedName>
    <definedName name="fghgfhgf">#REF!</definedName>
    <definedName name="fgklgykltyl">#REF!</definedName>
    <definedName name="fgnfgjnf">#REF!</definedName>
    <definedName name="fgregr">#REF!</definedName>
    <definedName name="fgrfgrg">#REF!</definedName>
    <definedName name="fgtrefre">#REF!</definedName>
    <definedName name="fhgfhjf">#REF!</definedName>
    <definedName name="fhmf">#REF!</definedName>
    <definedName name="fhsfga">#REF!</definedName>
    <definedName name="fi">#REF!</definedName>
    <definedName name="FileName">#REF!</definedName>
    <definedName name="FileName1">#REF!</definedName>
    <definedName name="FINACC">#REF!</definedName>
    <definedName name="FinePrint" localSheetId="1">[192]!FinePrint</definedName>
    <definedName name="FinePrint">[193]!FinePrint</definedName>
    <definedName name="First" localSheetId="1">#REF!</definedName>
    <definedName name="First">#REF!</definedName>
    <definedName name="fixasset" localSheetId="1">'[276]11922'!#REF!</definedName>
    <definedName name="fixasset">'[277]11922'!#REF!</definedName>
    <definedName name="fixedasset" localSheetId="1">#REF!</definedName>
    <definedName name="fixedasset">#REF!</definedName>
    <definedName name="fjfgjfgtj" localSheetId="1">#REF!</definedName>
    <definedName name="fjfgjfgtj">#REF!</definedName>
    <definedName name="fjfgtjtfj" localSheetId="1">#REF!</definedName>
    <definedName name="fjfgtjtfj">#REF!</definedName>
    <definedName name="fjfjfg">#REF!</definedName>
    <definedName name="fjgfjf">#REF!</definedName>
    <definedName name="fjgjrej">#REF!</definedName>
    <definedName name="fjmfgmfg">#REF!</definedName>
    <definedName name="fjmfgtjdtjd">#REF!</definedName>
    <definedName name="fjmjgfm">#REF!</definedName>
    <definedName name="fjnfgjnfg">#REF!</definedName>
    <definedName name="fkfyk">#REF!</definedName>
    <definedName name="fkfyky">#REF!</definedName>
    <definedName name="fkkgfykyu">#REF!</definedName>
    <definedName name="fkkku">#REF!</definedName>
    <definedName name="fkktyyk">#REF!</definedName>
    <definedName name="fkyfky">#REF!</definedName>
    <definedName name="fmhm">#REF!</definedName>
    <definedName name="FmlAA">#REF!</definedName>
    <definedName name="FmlAA1">#REF!</definedName>
    <definedName name="FmlBA">#REF!</definedName>
    <definedName name="FmlBA1">#REF!</definedName>
    <definedName name="FmlBC">#REF!</definedName>
    <definedName name="FmlBC1">#REF!</definedName>
    <definedName name="FmlIA">#REF!</definedName>
    <definedName name="FmlIA1">#REF!</definedName>
    <definedName name="FmlQECF">#REF!</definedName>
    <definedName name="FmlQECF1">#REF!</definedName>
    <definedName name="FmlREAddition">#REF!</definedName>
    <definedName name="FmlREAddition1">#REF!</definedName>
    <definedName name="FmlRECF">#REF!</definedName>
    <definedName name="FmlRECF1">#REF!</definedName>
    <definedName name="FmlREDisposal">#REF!</definedName>
    <definedName name="FmlREDisposal1">#REF!</definedName>
    <definedName name="FmlRETotal">#REF!</definedName>
    <definedName name="FmlRETotal1">#REF!</definedName>
    <definedName name="fnfg">#REF!</definedName>
    <definedName name="Foxboro" localSheetId="1">'[179]FF-1'!#REF!</definedName>
    <definedName name="Foxboro">'[180]FF-1'!#REF!</definedName>
    <definedName name="FPL" localSheetId="1">#REF!</definedName>
    <definedName name="FPL">#REF!</definedName>
    <definedName name="frewff" localSheetId="1">#REF!</definedName>
    <definedName name="frewff">#REF!</definedName>
    <definedName name="frewfregf" localSheetId="1">#REF!</definedName>
    <definedName name="frewfregf">#REF!</definedName>
    <definedName name="frfrerer">#REF!</definedName>
    <definedName name="frgfewq" localSheetId="1" hidden="1">{#N/A,#N/A,FALSE,"Sheet1"}</definedName>
    <definedName name="frgfewq" hidden="1">{#N/A,#N/A,FALSE,"Sheet1"}</definedName>
    <definedName name="fs" localSheetId="1">'[95]0100'!$I$9:$I$9</definedName>
    <definedName name="fs">'[96]0100'!$I$9:$I$9</definedName>
    <definedName name="FSA" localSheetId="1">#REF!</definedName>
    <definedName name="FSA">#REF!</definedName>
    <definedName name="fsavav" localSheetId="1">[17]!fsavav</definedName>
    <definedName name="fsavav">[18]!fsavav</definedName>
    <definedName name="fsfdgsdg" localSheetId="1">#REF!</definedName>
    <definedName name="fsfdgsdg">#REF!</definedName>
    <definedName name="fshhfhdg" localSheetId="1">#REF!</definedName>
    <definedName name="fshhfhdg">#REF!</definedName>
    <definedName name="ftggg" localSheetId="1">#REF!</definedName>
    <definedName name="ftggg">#REF!</definedName>
    <definedName name="ftjfgtjm">#REF!</definedName>
    <definedName name="ftkltyklyt">#REF!</definedName>
    <definedName name="fujtfrjtrfj">#REF!</definedName>
    <definedName name="FURNITURE10">"$#REF!.$Q$134"</definedName>
    <definedName name="FURNITURE10_72">"$#REF!.$Q$135"</definedName>
    <definedName name="FURNITURE12">"$#REF!.#REF!$#REF!"</definedName>
    <definedName name="FURNITURE12_16" localSheetId="1">#REF!</definedName>
    <definedName name="FURNITURE12_16">#REF!</definedName>
    <definedName name="FURNITURE12_20" localSheetId="1">#REF!</definedName>
    <definedName name="FURNITURE12_20">#REF!</definedName>
    <definedName name="FURNITURE12_24" localSheetId="1">#REF!</definedName>
    <definedName name="FURNITURE12_24">#REF!</definedName>
    <definedName name="FURNITURE12_25">#REF!</definedName>
    <definedName name="FURNITURE12_26">"$#REF!.$R$134"</definedName>
    <definedName name="FURNITURE12_26_72">"$#REF!.$R$135"</definedName>
    <definedName name="FURNITURE12_29" localSheetId="1">#REF!</definedName>
    <definedName name="FURNITURE12_29">#REF!</definedName>
    <definedName name="FURNITURE12_32" localSheetId="1">#REF!</definedName>
    <definedName name="FURNITURE12_32">#REF!</definedName>
    <definedName name="FURNITURE12_49" localSheetId="1">#REF!</definedName>
    <definedName name="FURNITURE12_49">#REF!</definedName>
    <definedName name="FURNITURE12_51">#REF!</definedName>
    <definedName name="FURNITURE12_65">#REF!</definedName>
    <definedName name="FURNITURE12_72">"$#REF!.#REF!$#REF!"</definedName>
    <definedName name="FURNITURE12_73" localSheetId="1">#REF!</definedName>
    <definedName name="FURNITURE12_73">#REF!</definedName>
    <definedName name="FURNITURE14">"$#REF!.$#REF!#REF!"</definedName>
    <definedName name="FURNITURE14_49" localSheetId="1">#REF!</definedName>
    <definedName name="FURNITURE14_49">#REF!</definedName>
    <definedName name="FURNITURE14_65" localSheetId="1">#REF!</definedName>
    <definedName name="FURNITURE14_65">#REF!</definedName>
    <definedName name="FURNITURE14_72">"$#REF!.$#REF!#REF!"</definedName>
    <definedName name="FURNITURE40">"$#REF!.$U$134"</definedName>
    <definedName name="FURNITURE40_72">"$#REF!.$U$135"</definedName>
    <definedName name="FURNITURE8">"$#REF!.$#REF!#REF!"</definedName>
    <definedName name="FURNITURE8_49" localSheetId="1">#REF!</definedName>
    <definedName name="FURNITURE8_49">#REF!</definedName>
    <definedName name="FURNITURE8_65" localSheetId="1">#REF!</definedName>
    <definedName name="FURNITURE8_65">#REF!</definedName>
    <definedName name="FURNITURE8_72">"$#REF!.$#REF!#REF!"</definedName>
    <definedName name="fvdsv" localSheetId="1">'[206]CA Sheet'!$R$36</definedName>
    <definedName name="fvdsv">'[207]CA Sheet'!$R$36</definedName>
    <definedName name="fvfdgdfvf">"TOA Paint (Malaysia) Sdn Bhd"</definedName>
    <definedName name="fvff" localSheetId="1">#REF!</definedName>
    <definedName name="fvff">#REF!</definedName>
    <definedName name="fwegew2" localSheetId="1" hidden="1">{#N/A,#N/A,FALSE,"Sheet1"}</definedName>
    <definedName name="fwegew2" hidden="1">{#N/A,#N/A,FALSE,"Sheet1"}</definedName>
    <definedName name="FWQFWQF" localSheetId="1">[17]!FWQFWQF</definedName>
    <definedName name="FWQFWQF">[18]!FWQFWQF</definedName>
    <definedName name="FY00cri">[189]Rates!$R$31</definedName>
    <definedName name="FY00exch">[189]Rates!$I$4</definedName>
    <definedName name="FY00findex">[189]Rates!$I$3</definedName>
    <definedName name="FY00usindex">[189]Rates!$C$12</definedName>
    <definedName name="FY01cri">[189]Rates!$R$51</definedName>
    <definedName name="FY01exch">[189]Rates!$J$4</definedName>
    <definedName name="FY01findex">[189]Rates!$J$3</definedName>
    <definedName name="FY01usindex">[189]Rates!$E$12</definedName>
    <definedName name="FYHJJHKLJ" localSheetId="1">#REF!</definedName>
    <definedName name="FYHJJHKLJ">#REF!</definedName>
    <definedName name="FYMonthNo" localSheetId="1">IF('Budget Plan'!FYMonthStart="JAN",1,IF('Budget Plan'!FYMonthStart="FEB",2,IF('Budget Plan'!FYMonthStart="MAR",3,IF('Budget Plan'!FYMonthStart="APR",4,IF('Budget Plan'!FYMonthStart="MAY",5,IF('Budget Plan'!FYMonthStart="JUN",6,IF('Budget Plan'!FYMonthStart="JUL",7,IF('Budget Plan'!FYMonthStart="AUG",8,IF('Budget Plan'!FYMonthStart="SEP",9,IF('Budget Plan'!FYMonthStart="OCT",10,IF('Budget Plan'!FYMonthStart="NOV",11,12)))))))))))</definedName>
    <definedName name="FYMonthNo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Start" localSheetId="1">#REF!</definedName>
    <definedName name="FYMonthStart">#REF!</definedName>
    <definedName name="FYStartYear" localSheetId="1">#REF!</definedName>
    <definedName name="FYStartYear">#REF!</definedName>
    <definedName name="g" localSheetId="1" hidden="1">#REF!</definedName>
    <definedName name="g" hidden="1">#REF!</definedName>
    <definedName name="GAIN">"$#REF!.$#REF!$#REF!"</definedName>
    <definedName name="GAIN_49" localSheetId="1">#REF!</definedName>
    <definedName name="GAIN_49">#REF!</definedName>
    <definedName name="GAIN_65" localSheetId="1">#REF!</definedName>
    <definedName name="GAIN_65">#REF!</definedName>
    <definedName name="GAIN_72">"$#REF!.$#REF!$#REF!"</definedName>
    <definedName name="Gain_loss_on_disposal" localSheetId="1">#REF!</definedName>
    <definedName name="Gain_loss_on_disposal">#REF!</definedName>
    <definedName name="gddsf" localSheetId="1">#REF!</definedName>
    <definedName name="gddsf">#REF!</definedName>
    <definedName name="gdffdfd" localSheetId="1">#REF!</definedName>
    <definedName name="gdffdfd">#REF!</definedName>
    <definedName name="gdhdgh">#REF!</definedName>
    <definedName name="gdsg" localSheetId="1">'[278]CA Sheet'!$R$36</definedName>
    <definedName name="gdsg">'[279]CA Sheet'!$R$36</definedName>
    <definedName name="gdvdsv" localSheetId="1">#REF!</definedName>
    <definedName name="gdvdsv">#REF!</definedName>
    <definedName name="gegew" localSheetId="1">#REF!</definedName>
    <definedName name="gegew">#REF!</definedName>
    <definedName name="gerherher" localSheetId="1">#REF!</definedName>
    <definedName name="gerherher">#REF!</definedName>
    <definedName name="gewgwe">#REF!</definedName>
    <definedName name="gf">#REF!</definedName>
    <definedName name="gfdfdf" localSheetId="1">'[97]CA Sheet'!$Q$36</definedName>
    <definedName name="gfdfdf">'[98]CA Sheet'!$Q$36</definedName>
    <definedName name="gff" localSheetId="1">#REF!</definedName>
    <definedName name="gff">#REF!</definedName>
    <definedName name="gffg" localSheetId="1">#REF!</definedName>
    <definedName name="gffg">#REF!</definedName>
    <definedName name="gfgrg" localSheetId="1">#REF!</definedName>
    <definedName name="gfgrg">#REF!</definedName>
    <definedName name="gfikygkyg">#REF!</definedName>
    <definedName name="gfnfgmngfnf">#REF!</definedName>
    <definedName name="gfngfgn">#REF!</definedName>
    <definedName name="gfqgeqg" localSheetId="1">[17]!gfqgeqg</definedName>
    <definedName name="gfqgeqg">[18]!gfqgeqg</definedName>
    <definedName name="gfrgregr" localSheetId="1">#REF!</definedName>
    <definedName name="gfrgregr">#REF!</definedName>
    <definedName name="GG" localSheetId="1">#REF!</definedName>
    <definedName name="GG">#REF!</definedName>
    <definedName name="ggds" localSheetId="1">'[206]CA Sheet'!$R$36</definedName>
    <definedName name="ggds">'[207]CA Sheet'!$R$36</definedName>
    <definedName name="ggdsg" localSheetId="1">#REF!</definedName>
    <definedName name="ggdsg">#REF!</definedName>
    <definedName name="ggg" localSheetId="1">#REF!</definedName>
    <definedName name="ggg">#REF!</definedName>
    <definedName name="ggggg" localSheetId="1">#REF!</definedName>
    <definedName name="ggggg">#REF!</definedName>
    <definedName name="gggt">#REF!</definedName>
    <definedName name="ggs">#REF!</definedName>
    <definedName name="gguu" localSheetId="1">[17]!gguu</definedName>
    <definedName name="gguu">[18]!gguu</definedName>
    <definedName name="gh" localSheetId="1">#REF!</definedName>
    <definedName name="gh">#REF!</definedName>
    <definedName name="ghngfngfnm" localSheetId="1">#REF!</definedName>
    <definedName name="ghngfngfnm">#REF!</definedName>
    <definedName name="GIG" localSheetId="1" hidden="1">{#N/A,#N/A,FALSE,"Sheet1"}</definedName>
    <definedName name="GIG" hidden="1">{#N/A,#N/A,FALSE,"Sheet1"}</definedName>
    <definedName name="gj" localSheetId="1">'[204]FF-3'!$A$9:$K$11</definedName>
    <definedName name="gj">'[205]FF-3'!$A$9:$K$11</definedName>
    <definedName name="gjntrjt" localSheetId="1">#REF!</definedName>
    <definedName name="gjntrjt">#REF!</definedName>
    <definedName name="gkgjklj" localSheetId="1">#REF!</definedName>
    <definedName name="gkgjklj">#REF!</definedName>
    <definedName name="gkgkgu" localSheetId="1">#REF!</definedName>
    <definedName name="gkgkgu">#REF!</definedName>
    <definedName name="gkgku">#REF!</definedName>
    <definedName name="gkk">#REF!</definedName>
    <definedName name="gklgkt">#REF!</definedName>
    <definedName name="gklgulu">#REF!</definedName>
    <definedName name="gklgylkgtkl">#REF!</definedName>
    <definedName name="gklgyuktkl">#REF!</definedName>
    <definedName name="gkllgu">#REF!</definedName>
    <definedName name="glgyukltylkt">#REF!</definedName>
    <definedName name="glkuluyl">#REF!</definedName>
    <definedName name="gllhlhjl">#REF!</definedName>
    <definedName name="GM">#REF!</definedName>
    <definedName name="GoAssetChart" localSheetId="1">[17]!GoAssetChart</definedName>
    <definedName name="GoAssetChart">[18]!GoAssetChart</definedName>
    <definedName name="GoBack" localSheetId="1">[17]!GoBack</definedName>
    <definedName name="GoBack">[18]!GoBack</definedName>
    <definedName name="GoBalanceSheet" localSheetId="1">[17]!GoBalanceSheet</definedName>
    <definedName name="GoBalanceSheet">[18]!GoBalanceSheet</definedName>
    <definedName name="GoCashFlow" localSheetId="1">[17]!GoCashFlow</definedName>
    <definedName name="GoCashFlow">[18]!GoCashFlow</definedName>
    <definedName name="GoData" localSheetId="1">[17]!GoData</definedName>
    <definedName name="GoData">[18]!GoData</definedName>
    <definedName name="GoIncomeChart" localSheetId="1">[17]!GoIncomeChart</definedName>
    <definedName name="GoIncomeChart">[18]!GoIncomeChart</definedName>
    <definedName name="GOP" localSheetId="1" hidden="1">{#N/A,#N/A,FALSE,"Sheet1"}</definedName>
    <definedName name="GOP" hidden="1">{#N/A,#N/A,FALSE,"Sheet1"}</definedName>
    <definedName name="GOT" localSheetId="1" hidden="1">{#N/A,#N/A,FALSE,"Sheet1"}</definedName>
    <definedName name="GOT" hidden="1">{#N/A,#N/A,FALSE,"Sheet1"}</definedName>
    <definedName name="gr" localSheetId="1">#REF!</definedName>
    <definedName name="gr">#REF!</definedName>
    <definedName name="Grade" localSheetId="1">#REF!</definedName>
    <definedName name="Grade">#REF!</definedName>
    <definedName name="gregregreg" localSheetId="1">#REF!</definedName>
    <definedName name="gregregreg">#REF!</definedName>
    <definedName name="grewghrwh" localSheetId="1">[17]!grewghrwh</definedName>
    <definedName name="grewghrwh">[18]!grewghrwh</definedName>
    <definedName name="grgregfre" localSheetId="1">#REF!</definedName>
    <definedName name="grgregfre">#REF!</definedName>
    <definedName name="grgrger" localSheetId="1">#REF!</definedName>
    <definedName name="grgrger">#REF!</definedName>
    <definedName name="GROOM" localSheetId="1">#REF!</definedName>
    <definedName name="GROOM">#REF!</definedName>
    <definedName name="GRP">#REF!</definedName>
    <definedName name="Gsc" localSheetId="1">'[38]CA Sheet'!$R$36</definedName>
    <definedName name="Gsc">'[39]CA Sheet'!$R$36</definedName>
    <definedName name="gsgsg" localSheetId="1">#REF!</definedName>
    <definedName name="gsgsg">#REF!</definedName>
    <definedName name="gtfhtfhfth" localSheetId="1">#REF!</definedName>
    <definedName name="gtfhtfhfth">#REF!</definedName>
    <definedName name="gtgt" localSheetId="1">#REF!</definedName>
    <definedName name="gtgt">#REF!</definedName>
    <definedName name="gtlgulkgtul">#REF!</definedName>
    <definedName name="gtrfr">#REF!</definedName>
    <definedName name="gtshdfjg">#REF!</definedName>
    <definedName name="gtwrrw" localSheetId="1">[17]!gtwrrw</definedName>
    <definedName name="gtwrrw">[18]!gtwrrw</definedName>
    <definedName name="gukguk" localSheetId="1">#REF!</definedName>
    <definedName name="gukguk">#REF!</definedName>
    <definedName name="gwegwege" localSheetId="1">[125]CA!$Q$112</definedName>
    <definedName name="gwegwege">[126]CA!$Q$112</definedName>
    <definedName name="gwrgwrg" localSheetId="1">#REF!</definedName>
    <definedName name="gwrgwrg">#REF!</definedName>
    <definedName name="gz" localSheetId="1">'[95]0100'!$O$85:$P$102</definedName>
    <definedName name="gz">'[96]0100'!$O$85:$P$102</definedName>
    <definedName name="h">"'file://Mindy//Jhb2_gen_mal_3/AabsData/DATA/CLIENT/Tan358/Ye01/31.12.01/09-AWPs/Tan358-awp.xls'#$'61 HR'.$#REF!$#REF!"</definedName>
    <definedName name="h_49" localSheetId="1">'[280]61 HR'!#REF!</definedName>
    <definedName name="h_49">'[281]61 HR'!#REF!</definedName>
    <definedName name="h_65" localSheetId="1">'[280]61 HR'!#REF!</definedName>
    <definedName name="h_65">'[281]61 HR'!#REF!</definedName>
    <definedName name="h_72">"'file://Mindy//Jhb2_gen_mal_3/AabsData/DATA/CLIENT/Tan358/Ye01/31.12.01/09-AWPs/Tan358-awp.xls'#$'61 HR'.$#REF!$#REF!"</definedName>
    <definedName name="haksh" localSheetId="1">#REF!</definedName>
    <definedName name="haksh">#REF!</definedName>
    <definedName name="hanixn81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nixn81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nxin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nxin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nxin1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nxin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rdware">'[49]MS Box'!#REF!</definedName>
    <definedName name="Hardware1">'[40]MS Box'!#REF!</definedName>
    <definedName name="hd" localSheetId="1">#REF!</definedName>
    <definedName name="hd">#REF!</definedName>
    <definedName name="HDB">#REF!</definedName>
    <definedName name="hdfhh" localSheetId="1">#REF!</definedName>
    <definedName name="hdfhh">#REF!</definedName>
    <definedName name="hdrtuyduj" localSheetId="1">#REF!</definedName>
    <definedName name="hdrtuyduj">#REF!</definedName>
    <definedName name="Head_Amount" localSheetId="1">'[91]0100'!$I$9:$I$9</definedName>
    <definedName name="Head_Amount">'[92]0100'!$I$9:$I$9</definedName>
    <definedName name="Head_Company" localSheetId="1">'[91]0100'!$A$3:$A$3</definedName>
    <definedName name="Head_Company">'[92]0100'!$A$3:$A$3</definedName>
    <definedName name="Head_Country" localSheetId="1">'[91]0100'!$A$2:$A$2</definedName>
    <definedName name="Head_Country">'[92]0100'!$A$2:$A$2</definedName>
    <definedName name="Head_Period" localSheetId="1">'[91]0100'!$A$8:$A$8</definedName>
    <definedName name="Head_Period">'[92]0100'!$A$8:$A$8</definedName>
    <definedName name="Head_Schedule_No" localSheetId="1">'[91]0100'!$I$2:$I$2</definedName>
    <definedName name="Head_Schedule_No">'[92]0100'!$I$2:$I$2</definedName>
    <definedName name="Head_Title" localSheetId="1">'[91]0100'!$A$5:$A$5</definedName>
    <definedName name="Head_Title">'[92]0100'!$A$5:$A$5</definedName>
    <definedName name="Head_Valid" localSheetId="1">'[91]0100'!$A$9:$A$9</definedName>
    <definedName name="Head_Valid">'[92]0100'!$A$9:$A$9</definedName>
    <definedName name="Head_Version" localSheetId="1">'[91]0100'!$I$3:$I$3</definedName>
    <definedName name="Head_Version">'[92]0100'!$I$3:$I$3</definedName>
    <definedName name="heading" localSheetId="1">#REF!</definedName>
    <definedName name="heading">#REF!</definedName>
    <definedName name="HERHF" localSheetId="1">#REF!</definedName>
    <definedName name="HERHF">#REF!</definedName>
    <definedName name="hfthdh" localSheetId="1">#REF!</definedName>
    <definedName name="hfthdh">#REF!</definedName>
    <definedName name="hgdjdhu">#REF!</definedName>
    <definedName name="hgfhfhgf">#REF!</definedName>
    <definedName name="hgfhfs">#REF!</definedName>
    <definedName name="hgregref">#REF!</definedName>
    <definedName name="HH">#REF!</definedName>
    <definedName name="hhdfh">#REF!</definedName>
    <definedName name="hhfhdhd">#REF!</definedName>
    <definedName name="hhh">#REF!</definedName>
    <definedName name="hhhh">#REF!</definedName>
    <definedName name="hhjjjj">#REF!</definedName>
    <definedName name="hhkljhkhjghgf">#REF!</definedName>
    <definedName name="hhth">#REF!</definedName>
    <definedName name="hhy">#REF!</definedName>
    <definedName name="hhyyh">#REF!</definedName>
    <definedName name="high" localSheetId="1">[282]SAME!#REF!</definedName>
    <definedName name="high">[283]SAME!#REF!</definedName>
    <definedName name="HighTech">[129]details!$C$173</definedName>
    <definedName name="HIP" localSheetId="1" hidden="1">{#N/A,#N/A,FALSE,"Sheet1"}</definedName>
    <definedName name="HIP" hidden="1">{#N/A,#N/A,FALSE,"Sheet1"}</definedName>
    <definedName name="hjhjhj" localSheetId="1">#REF!</definedName>
    <definedName name="hjhjhj">#REF!</definedName>
    <definedName name="hjjd" localSheetId="1">'[85]tax-ss'!$T$7:$T$37</definedName>
    <definedName name="hjjd">'[86]tax-ss'!$T$7:$T$37</definedName>
    <definedName name="HK" localSheetId="1">#REF!</definedName>
    <definedName name="HK">#REF!</definedName>
    <definedName name="hkghkghk" localSheetId="1">#REF!</definedName>
    <definedName name="hkghkghk">#REF!</definedName>
    <definedName name="hlhlhlu" localSheetId="1">#REF!</definedName>
    <definedName name="hlhlhlu">#REF!</definedName>
    <definedName name="hlhujlhlu">#REF!</definedName>
    <definedName name="HOP" localSheetId="1" hidden="1">{#N/A,#N/A,FALSE,"Sheet1"}</definedName>
    <definedName name="HOP" hidden="1">{#N/A,#N/A,FALSE,"Sheet1"}</definedName>
    <definedName name="HP" localSheetId="1">#REF!</definedName>
    <definedName name="HP">#REF!</definedName>
    <definedName name="hp11_1" localSheetId="1">[284]AFA!#REF!</definedName>
    <definedName name="hp11_1">[285]AFA!#REF!</definedName>
    <definedName name="hp11_10" localSheetId="1">[286]AFA!#REF!</definedName>
    <definedName name="hp11_10">[287]AFA!#REF!</definedName>
    <definedName name="hp11_25">"'file://LIEH/JobOnHand/IndexFurniture 06/WeltaxcompPY.xls'#$AFA.$#REF!$#REF!"</definedName>
    <definedName name="hp11_5" localSheetId="1">[286]AFA!#REF!</definedName>
    <definedName name="hp11_5">[287]AFA!#REF!</definedName>
    <definedName name="hp11_72">"'file://MINDY/JobOnHand/IndexFurniture 06/WeltaxcompPY.xls'#$AFA.$#REF!$#REF!"</definedName>
    <definedName name="hp11_8" localSheetId="1">[284]AFA!#REF!</definedName>
    <definedName name="hp11_8">[285]AFA!#REF!</definedName>
    <definedName name="hp2_1">"'file://Jb003/assurance/MY Orchids_01/WeltaxcompPY.xls'#$AFA.$#REF!$#REF!"</definedName>
    <definedName name="hp2_1_1">"'file://Jb003/assurance/MY Orchids_01/WeltaxcompPY.xls'#$AFA.$#REF!$#REF!"</definedName>
    <definedName name="hp2_10">"'file://NIL-YXRA5HG0HP5/Company/Assurance/AAA/YEAR 2004/Sengair 04/WeltaxcompPY.xls'#$AFA.$#REF!$#REF!"</definedName>
    <definedName name="hp2_10_1">"'file://NIL-YXRA5HG0HP5/Company/Assurance/AAA/YEAR 2004/Sengair 04/WeltaxcompPY.xls'#$AFA.$#REF!$#REF!"</definedName>
    <definedName name="hp2_10_72">"'file:///A:/WeltaxcompPY.xls'#$AFA.$#REF!$#REF!"</definedName>
    <definedName name="hp2_11">"'file:///A:/WeltaxcompPY.xls'#$AFA.$#REF!$#REF!"</definedName>
    <definedName name="hp2_12" localSheetId="1">[288]AFA!#REF!</definedName>
    <definedName name="hp2_12">[289]AFA!#REF!</definedName>
    <definedName name="hp2_12_1" localSheetId="1">[288]AFA!#REF!</definedName>
    <definedName name="hp2_12_1">[289]AFA!#REF!</definedName>
    <definedName name="hp2_13">"'file:///A:/WeltaxcompPY.xls'#$AFA.$#REF!$#REF!"</definedName>
    <definedName name="hp2_13_1">"'file:///A:/WeltaxcompPY.xls'#$AFA.$#REF!$#REF!"</definedName>
    <definedName name="hp2_13_72">"'file://JB2/Company/Assurance/QuanCheng_05/WeltaxcompPY.xls'#$AFA.$#REF!$#REF!"</definedName>
    <definedName name="hp2_14" localSheetId="1">[290]AFA!#REF!</definedName>
    <definedName name="hp2_14">[291]AFA!#REF!</definedName>
    <definedName name="hp2_14_1" localSheetId="1">[64]AFA!#REF!</definedName>
    <definedName name="hp2_14_1">[65]AFA!#REF!</definedName>
    <definedName name="hp2_15">"'file://JB2/Company/Assurance/QuanCheng_05/WeltaxcompPY.xls'#$AFA.$#REF!$#REF!"</definedName>
    <definedName name="hp2_15_1">"'file://JB2/Company/Assurance/QuanCheng_05/WeltaxcompPY.xls'#$AFA.$#REF!$#REF!"</definedName>
    <definedName name="hp2_16">"'file:///A:/WeltaxcompPY.xls'#$AFA.$#REF!$#REF!"</definedName>
    <definedName name="hp2_16_1">"'file:///A:/WeltaxcompPY.xls'#$AFA.$#REF!$#REF!"</definedName>
    <definedName name="hp2_16_72">"'file://JULIE/Assurance/Company/Assurance/LifetimeDiscovery\'05/WeltaxcompPY.xls'#$AFA.$#REF!$#REF!"</definedName>
    <definedName name="hp2_17">"'file:///A:/WeltaxcompPY.xls'#$AFA.$#REF!$#REF!"</definedName>
    <definedName name="hp2_17_1">"'file:///A:/WeltaxcompPY.xls'#$AFA.$#REF!$#REF!"</definedName>
    <definedName name="hp2_18">"'file:///A:/WeltaxcompPY.xls'#$AFA.$#REF!$#REF!"</definedName>
    <definedName name="hp2_18_1">"'file:///A:/WeltaxcompPY.xls'#$AFA.$#REF!$#REF!"</definedName>
    <definedName name="hp2_19">"'file:///A:/WeltaxcompPY.xls'#$AFA.$#REF!$#REF!"</definedName>
    <definedName name="hp2_19_72">"'file://JULIE/Assurance/Company/Assurance/LifetimeDiscovery\'05/WeltaxcompPY.xls'#$AFA.$#REF!$#REF!"</definedName>
    <definedName name="hp2_2" localSheetId="1">[64]AFA!#REF!</definedName>
    <definedName name="hp2_2">[65]AFA!#REF!</definedName>
    <definedName name="hp2_20">"'file:///A:/WeltaxcompPY.xls'#$AFA.$#REF!$#REF!"</definedName>
    <definedName name="hp2_20_1">"'file:///A:/WeltaxcompPY.xls'#$AFA.$#REF!$#REF!"</definedName>
    <definedName name="hp2_21">"'file:///A:/WeltaxcompPY.xls'#$AFA.$#REF!$#REF!"</definedName>
    <definedName name="hp2_22">"'file:///A:/WeltaxcompPY.xls'#$AFA.$#REF!$#REF!"</definedName>
    <definedName name="hp2_22_72">"'file://Pentiumiii550/workstation/Documents and Settings/User/Desktop/Sengair_06/WeltaxcompPY.xls'#$AFA.$#REF!$#REF!"</definedName>
    <definedName name="hp2_23" localSheetId="1">[288]AFA!#REF!</definedName>
    <definedName name="hp2_23">[289]AFA!#REF!</definedName>
    <definedName name="hp2_24" localSheetId="1">[288]AFA!#REF!</definedName>
    <definedName name="hp2_24">[289]AFA!#REF!</definedName>
    <definedName name="hp2_25">"'file:///A:/WeltaxcompPY.xls'#$AFA.$#REF!$#REF!"</definedName>
    <definedName name="hp2_25_1">"'file:///A:/WeltaxcompPY.xls'#$AFA.$#REF!$#REF!"</definedName>
    <definedName name="hp2_25_72">"'file://NIL-YXRA5HG0HP5/Company/Assurance/SinoMalay 04/WeltaxcompPY.xls'#$AFA.$#REF!$#REF!"</definedName>
    <definedName name="hp2_26" localSheetId="1">[288]AFA!#REF!</definedName>
    <definedName name="hp2_26">[289]AFA!#REF!</definedName>
    <definedName name="hp2_26_1">"'file://Mindy/workstation/Assurance/YEAR 2006/Sengair_06/WeltaxcompPY.xls'#$AFA.$#REF!$#REF!"</definedName>
    <definedName name="hp2_27">"'file:///A:/WeltaxcompPY.xls'#$AFA.$#REF!$#REF!"</definedName>
    <definedName name="hp2_28">"'file:///A:/WeltaxcompPY.xls'#$AFA.$#REF!$#REF!"</definedName>
    <definedName name="hp2_28_72">"'file://MINDY/JobOnHand/Assurance/RedFox_06/WeltaxcompPY.xls'#$AFA.$#REF!$#REF!"</definedName>
    <definedName name="hp2_29">"'file:///A:/WeltaxcompPY.xls'#$AFA.$#REF!$#REF!"</definedName>
    <definedName name="hp2_29_1">"'file:///A:/WeltaxcompPY.xls'#$AFA.$#REF!$#REF!"</definedName>
    <definedName name="hp2_3">"'file://Jb003/assurance/MY Orchids_01/WeltaxcompPY.xls'#$AFA.$#REF!$#REF!"</definedName>
    <definedName name="hp2_3_1">"'file://Jb003/assurance/MY Orchids_01/WeltaxcompPY.xls'#$AFA.$#REF!$#REF!"</definedName>
    <definedName name="hp2_30" localSheetId="1">[292]AFA!#REF!</definedName>
    <definedName name="hp2_30">[293]AFA!#REF!</definedName>
    <definedName name="hp2_30_1">"'file:///A:/WeltaxcompPY.xls'#$AFA.$#REF!$#REF!"</definedName>
    <definedName name="hp2_31">"'file://Lieh/jobonhand/My Jobs/Royaparcel_06/WeltaxcompPY.xls'#$AFA.$#REF!$#REF!"</definedName>
    <definedName name="hp2_31_1">"'file://Lieh/jobonhand/My Jobs/Royaparcel_06/WeltaxcompPY.xls'#$AFA.$#REF!$#REF!"</definedName>
    <definedName name="hp2_32" localSheetId="1">[288]AFA!#REF!</definedName>
    <definedName name="hp2_32">[289]AFA!#REF!</definedName>
    <definedName name="hp2_33" localSheetId="1">[288]AFA!#REF!</definedName>
    <definedName name="hp2_33">[289]AFA!#REF!</definedName>
    <definedName name="hp2_33_1">"'file://MINDY/JobOnHand/Assurance/RedFox_06/WeltaxcompPY.xls'#$AFA.$#REF!$#REF!"</definedName>
    <definedName name="hp2_34" localSheetId="1">[288]AFA!#REF!</definedName>
    <definedName name="hp2_34">[289]AFA!#REF!</definedName>
    <definedName name="hp2_34_1">"'file:///A:/WeltaxcompPY.xls'#$AFA.$#REF!$#REF!"</definedName>
    <definedName name="hp2_35" localSheetId="1">[294]AFA!#REF!</definedName>
    <definedName name="hp2_35">[295]AFA!#REF!</definedName>
    <definedName name="hp2_35_1">"'file://NIL-YXRA5HG0HP5/Company/Company/Assurance/Dosca_04/WeltaxcompPY.xls'#$AFA.$#REF!$#REF!"</definedName>
    <definedName name="hp2_36" localSheetId="1">[288]AFA!#REF!</definedName>
    <definedName name="hp2_36">[289]AFA!#REF!</definedName>
    <definedName name="hp2_37" localSheetId="1">[292]AFA!#REF!</definedName>
    <definedName name="hp2_37">[293]AFA!#REF!</definedName>
    <definedName name="hp2_37_1">"'file://Lieh/jobonhand/My Jobs/Royaparcel_06/WeltaxcompPY.xls'#$AFA.$#REF!$#REF!"</definedName>
    <definedName name="hp2_38" localSheetId="1">[294]AFA!#REF!</definedName>
    <definedName name="hp2_38">[295]AFA!#REF!</definedName>
    <definedName name="hp2_39" localSheetId="1">[296]AFA!#REF!</definedName>
    <definedName name="hp2_39">[297]AFA!#REF!</definedName>
    <definedName name="hp2_4" localSheetId="1">[298]AFA!#REF!</definedName>
    <definedName name="hp2_4">[299]AFA!#REF!</definedName>
    <definedName name="hp2_40" localSheetId="1">[288]AFA!#REF!</definedName>
    <definedName name="hp2_40">[289]AFA!#REF!</definedName>
    <definedName name="hp2_41" localSheetId="1">[300]AFA!#REF!</definedName>
    <definedName name="hp2_41">[301]AFA!#REF!</definedName>
    <definedName name="hp2_42" localSheetId="1">[288]AFA!#REF!</definedName>
    <definedName name="hp2_42">[289]AFA!#REF!</definedName>
    <definedName name="hp2_43" localSheetId="1">[300]AFA!#REF!</definedName>
    <definedName name="hp2_43">[301]AFA!#REF!</definedName>
    <definedName name="hp2_44" localSheetId="1">[300]AFA!#REF!</definedName>
    <definedName name="hp2_44">[301]AFA!#REF!</definedName>
    <definedName name="hp2_45" localSheetId="1">[288]AFA!#REF!</definedName>
    <definedName name="hp2_45">[289]AFA!#REF!</definedName>
    <definedName name="hp2_46" localSheetId="1">[300]AFA!#REF!</definedName>
    <definedName name="hp2_46">[301]AFA!#REF!</definedName>
    <definedName name="hp2_47" localSheetId="1">[302]AFA!#REF!</definedName>
    <definedName name="hp2_47">[303]AFA!#REF!</definedName>
    <definedName name="hp2_49" localSheetId="1">[304]AFA!#REF!</definedName>
    <definedName name="hp2_49">[305]AFA!#REF!</definedName>
    <definedName name="hp2_5" localSheetId="1">[64]AFA!#REF!</definedName>
    <definedName name="hp2_5">[65]AFA!#REF!</definedName>
    <definedName name="hp2_50" localSheetId="1">[304]AFA!#REF!</definedName>
    <definedName name="hp2_50">[305]AFA!#REF!</definedName>
    <definedName name="hp2_52" localSheetId="1">[288]AFA!#REF!</definedName>
    <definedName name="hp2_52">[289]AFA!#REF!</definedName>
    <definedName name="hp2_53" localSheetId="1">[288]AFA!#REF!</definedName>
    <definedName name="hp2_53">[289]AFA!#REF!</definedName>
    <definedName name="hp2_54" localSheetId="1">[294]AFA!#REF!</definedName>
    <definedName name="hp2_54">[295]AFA!#REF!</definedName>
    <definedName name="hp2_56" localSheetId="1">[294]AFA!#REF!</definedName>
    <definedName name="hp2_56">[295]AFA!#REF!</definedName>
    <definedName name="hp2_6" localSheetId="1">[64]AFA!#REF!</definedName>
    <definedName name="hp2_6">[65]AFA!#REF!</definedName>
    <definedName name="hp2_6_1" localSheetId="1">[64]AFA!#REF!</definedName>
    <definedName name="hp2_6_1">[65]AFA!#REF!</definedName>
    <definedName name="hp2_60" localSheetId="1">[288]AFA!#REF!</definedName>
    <definedName name="hp2_60">[289]AFA!#REF!</definedName>
    <definedName name="hp2_61" localSheetId="1">[288]AFA!#REF!</definedName>
    <definedName name="hp2_61">[289]AFA!#REF!</definedName>
    <definedName name="hp2_65" localSheetId="1">[306]AFA!#REF!</definedName>
    <definedName name="hp2_65">[307]AFA!#REF!</definedName>
    <definedName name="hp2_67" localSheetId="1">[288]AFA!#REF!</definedName>
    <definedName name="hp2_67">[289]AFA!#REF!</definedName>
    <definedName name="hp2_68" localSheetId="1">[288]AFA!#REF!</definedName>
    <definedName name="hp2_68">[289]AFA!#REF!</definedName>
    <definedName name="hp2_7" localSheetId="1">[308]AFA!#REF!</definedName>
    <definedName name="hp2_7">[309]AFA!#REF!</definedName>
    <definedName name="hp2_70" localSheetId="1">[288]AFA!#REF!</definedName>
    <definedName name="hp2_70">[289]AFA!#REF!</definedName>
    <definedName name="hp2_71" localSheetId="1">[288]AFA!#REF!</definedName>
    <definedName name="hp2_71">[289]AFA!#REF!</definedName>
    <definedName name="hp2_72">"'file://JB2/Company/Assurance/QuanCheng_05/WeltaxcompPY.xls'#$AFA.$#REF!$#REF!"</definedName>
    <definedName name="hp2_79" localSheetId="1">[310]AFA!#REF!</definedName>
    <definedName name="hp2_79">[311]AFA!#REF!</definedName>
    <definedName name="hp2_8">"'file:///A:/WeltaxcompPY.xls'#$AFA.$#REF!$#REF!"</definedName>
    <definedName name="hp2_8_1">"'file:///A:/WeltaxcompPY.xls'#$AFA.$#REF!$#REF!"</definedName>
    <definedName name="hp2_9">"'file://NIL-YXRA5HG0HP5/Company/Assurance/LeepHong_04/WeltaxcompPY.xls'#$AFA.$#REF!$#REF!"</definedName>
    <definedName name="hp2_9_1">"'file://NIL-YXRA5HG0HP5/Company/Assurance/LeepHong_04/WeltaxcompPY.xls'#$AFA.$#REF!$#REF!"</definedName>
    <definedName name="hp2_9_72">"'file:///A:/WeltaxcompPY.xls'#$AFA.$#REF!$#REF!"</definedName>
    <definedName name="HPD_Software">'[49]MS Box'!#REF!</definedName>
    <definedName name="hpp" localSheetId="1">[312]AFA!#REF!</definedName>
    <definedName name="hpp">[313]AFA!#REF!</definedName>
    <definedName name="hpp_72">"'file://JB003/Assurance/SoonYeMarketing\'05/WeltaxcompPY.xls'#$AFA.$#REF!$#REF!"</definedName>
    <definedName name="hr" localSheetId="1">'[95]0100'!$T$24:$U$26</definedName>
    <definedName name="hr">'[96]0100'!$T$24:$U$26</definedName>
    <definedName name="hsgsg" localSheetId="1">#REF!</definedName>
    <definedName name="hsgsg">#REF!</definedName>
    <definedName name="htht" localSheetId="1">#REF!</definedName>
    <definedName name="htht">#REF!</definedName>
    <definedName name="HTML_CodePage" hidden="1">1252</definedName>
    <definedName name="HTML_Control" localSheetId="1" hidden="1">{"'Feb 99'!$A$1:$G$30"}</definedName>
    <definedName name="HTML_Control" hidden="1">{"'Feb 99'!$A$1:$G$30"}</definedName>
    <definedName name="HTML_Description" hidden="1">""</definedName>
    <definedName name="HTML_Email" hidden="1">""</definedName>
    <definedName name="HTML_Header" hidden="1">"Feb 99"</definedName>
    <definedName name="HTML_LastUpdate" hidden="1">"06/Apr/99"</definedName>
    <definedName name="HTML_LineAfter" hidden="1">FALSE</definedName>
    <definedName name="HTML_LineBefore" hidden="1">FALSE</definedName>
    <definedName name="HTML_Name" hidden="1">"DBMI"</definedName>
    <definedName name="HTML_OBDlg2" hidden="1">TRUE</definedName>
    <definedName name="HTML_OBDlg4" hidden="1">TRUE</definedName>
    <definedName name="HTML_OS" hidden="1">0</definedName>
    <definedName name="HTML_PathFile" hidden="1">"C:\Ali\Excel\BAAN\STOCK\MyHTML.htm"</definedName>
    <definedName name="HTML_Title" hidden="1">"4PAST_P"</definedName>
    <definedName name="HTRHRT" localSheetId="1">#REF!</definedName>
    <definedName name="HTRHRT">#REF!</definedName>
    <definedName name="htrrewqhr" localSheetId="1">#REF!</definedName>
    <definedName name="htrrewqhr">#REF!</definedName>
    <definedName name="HupLeeHing">[129]details!$C$165</definedName>
    <definedName name="huu" localSheetId="1">#REF!</definedName>
    <definedName name="huu">#REF!</definedName>
    <definedName name="hvhvh" localSheetId="1">#REF!</definedName>
    <definedName name="hvhvh">#REF!</definedName>
    <definedName name="hvlpp" localSheetId="1" hidden="1">#REF!</definedName>
    <definedName name="hvlpp" hidden="1">#REF!</definedName>
    <definedName name="i">#REF!</definedName>
    <definedName name="i_49" localSheetId="1">'[280]65 FINANCE'!#REF!</definedName>
    <definedName name="i_49">'[281]65 FINANCE'!#REF!</definedName>
    <definedName name="i_65" localSheetId="1">'[280]65 FINANCE'!#REF!</definedName>
    <definedName name="i_65">'[281]65 FINANCE'!#REF!</definedName>
    <definedName name="i_72">"'file://Mindy//Jhb2_gen_mal_3/AabsData/DATA/CLIENT/Tan358/Ye01/31.12.01/09-AWPs/Tan358-awp.xls'#$'65 FINANCE'.$#REF!$#REF!"</definedName>
    <definedName name="IA" localSheetId="1">#REF!</definedName>
    <definedName name="IA">#REF!</definedName>
    <definedName name="IAClaim" localSheetId="1">#REF!</definedName>
    <definedName name="IAClaim">#REF!</definedName>
    <definedName name="IAClaim1" localSheetId="1">#REF!</definedName>
    <definedName name="IAClaim1">#REF!</definedName>
    <definedName name="II">#REF!</definedName>
    <definedName name="Income_statement">#REF!</definedName>
    <definedName name="index">[189]Rates!$E$12</definedName>
    <definedName name="indYavg" localSheetId="1">#REF!</definedName>
    <definedName name="indYavg">#REF!</definedName>
    <definedName name="Infrastructure_Server">'[49]MS Box'!#REF!</definedName>
    <definedName name="initial_dep" localSheetId="1">#REF!</definedName>
    <definedName name="initial_dep">#REF!</definedName>
    <definedName name="input" localSheetId="1">#REF!</definedName>
    <definedName name="input">#REF!</definedName>
    <definedName name="INPUTGRID">#REF!</definedName>
    <definedName name="ins">#REF!</definedName>
    <definedName name="InsertCASum">#REF!</definedName>
    <definedName name="InService" localSheetId="1">'[314]U4-Recruitment'!#REF!</definedName>
    <definedName name="InService">'[315]U4-Recruitment'!#REF!</definedName>
    <definedName name="INT" localSheetId="1">#REF!</definedName>
    <definedName name="INT">#REF!</definedName>
    <definedName name="Intellectronics">[129]details!$C$117</definedName>
    <definedName name="INTER_CO">#N/A</definedName>
    <definedName name="INTEREST">"$#REF!.#REF!$#REF!"</definedName>
    <definedName name="INTEREST_49" localSheetId="1">#REF!</definedName>
    <definedName name="INTEREST_49">#REF!</definedName>
    <definedName name="INTEREST_65" localSheetId="1">#REF!</definedName>
    <definedName name="INTEREST_65">#REF!</definedName>
    <definedName name="INTEREST_72">"$#REF!.#REF!$#REF!"</definedName>
    <definedName name="ipodsf" localSheetId="1">#REF!</definedName>
    <definedName name="ipodsf">#REF!</definedName>
    <definedName name="ISA_SVR_NL_L">'[49]MOLP C'!#REF!</definedName>
    <definedName name="ITEM" localSheetId="1">#REF!,#REF!,#REF!,#REF!,#REF!,#REF!,#REF!,#REF!,#REF!</definedName>
    <definedName name="ITEM">#REF!,#REF!,#REF!,#REF!,#REF!,#REF!,#REF!,#REF!,#REF!</definedName>
    <definedName name="ITS" localSheetId="1">#REF!</definedName>
    <definedName name="ITS">#REF!</definedName>
    <definedName name="j" localSheetId="1">#REF!</definedName>
    <definedName name="j">#REF!</definedName>
    <definedName name="J_102" localSheetId="1">#REF!</definedName>
    <definedName name="J_102">#REF!</definedName>
    <definedName name="J_2000">#REF!</definedName>
    <definedName name="J_2001">#REF!</definedName>
    <definedName name="J_2002">#REF!</definedName>
    <definedName name="J_2003">#REF!</definedName>
    <definedName name="JAK8116_49">#REF!</definedName>
    <definedName name="JAK8116_65">#REF!</definedName>
    <definedName name="JAK8116_72">"$#REF!.$#REF!$#REF!"</definedName>
    <definedName name="JAKAR">'[162]Cum.91-93'!$AG$460:$AG$673</definedName>
    <definedName name="JAKAR95">'[162]Cum.91-93'!$AG$238:$AG$432</definedName>
    <definedName name="jakcnl" localSheetId="1">'[316]tax-ss'!$P$7:$P$37</definedName>
    <definedName name="jakcnl">'[317]tax-ss'!$P$7:$P$37</definedName>
    <definedName name="Jan" localSheetId="1">#REF!</definedName>
    <definedName name="Jan">#REF!</definedName>
    <definedName name="Jas" localSheetId="1" hidden="1">{"'Feb 99'!$A$1:$G$30"}</definedName>
    <definedName name="Jas" hidden="1">{"'Feb 99'!$A$1:$G$30"}</definedName>
    <definedName name="jb" localSheetId="1">'[85]tax-ss'!$P$7:$P$37</definedName>
    <definedName name="jb">'[86]tax-ss'!$P$7:$P$37</definedName>
    <definedName name="JBFA98" localSheetId="1">#REF!</definedName>
    <definedName name="JBFA98">#REF!</definedName>
    <definedName name="JCC2934_49" localSheetId="1">#REF!</definedName>
    <definedName name="JCC2934_49">#REF!</definedName>
    <definedName name="JCC2934_65" localSheetId="1">#REF!</definedName>
    <definedName name="JCC2934_65">#REF!</definedName>
    <definedName name="JCC2934_72">"$#REF!.$#REF!$#REF!"</definedName>
    <definedName name="JCD7460_49" localSheetId="1">#REF!</definedName>
    <definedName name="JCD7460_49">#REF!</definedName>
    <definedName name="JCD7460_65" localSheetId="1">#REF!</definedName>
    <definedName name="JCD7460_65">#REF!</definedName>
    <definedName name="JCD7460_72">"$#REF!.$#REF!$#REF!"</definedName>
    <definedName name="JCE5834_49" localSheetId="1">#REF!</definedName>
    <definedName name="JCE5834_49">#REF!</definedName>
    <definedName name="JCE5834_65" localSheetId="1">#REF!</definedName>
    <definedName name="JCE5834_65">#REF!</definedName>
    <definedName name="JCE5834_72">"$#REF!.#REF!$#REF!"</definedName>
    <definedName name="JCK4712_49" localSheetId="1">#REF!</definedName>
    <definedName name="JCK4712_49">#REF!</definedName>
    <definedName name="JCK4712_65" localSheetId="1">#REF!</definedName>
    <definedName name="JCK4712_65">#REF!</definedName>
    <definedName name="JCK4712_72">"$#REF!.$#REF!$#REF!"</definedName>
    <definedName name="JCW6924_72">"$#REF!.$C$43"</definedName>
    <definedName name="jcz" localSheetId="1">#REF!</definedName>
    <definedName name="jcz">#REF!</definedName>
    <definedName name="JDC3818_49" localSheetId="1">#REF!</definedName>
    <definedName name="JDC3818_49">#REF!</definedName>
    <definedName name="JDC3818_65" localSheetId="1">#REF!</definedName>
    <definedName name="JDC3818_65">#REF!</definedName>
    <definedName name="JDC3818_72">"$#REF!.$#REF!$#REF!"</definedName>
    <definedName name="JDF3422_49" localSheetId="1">#REF!</definedName>
    <definedName name="JDF3422_49">#REF!</definedName>
    <definedName name="JDF3422_65" localSheetId="1">#REF!</definedName>
    <definedName name="JDF3422_65">#REF!</definedName>
    <definedName name="JDF3422_72">"$#REF!.$#REF!$#REF!"</definedName>
    <definedName name="JDF4294_49" localSheetId="1">#REF!</definedName>
    <definedName name="JDF4294_49">#REF!</definedName>
    <definedName name="JDF4294_65" localSheetId="1">#REF!</definedName>
    <definedName name="JDF4294_65">#REF!</definedName>
    <definedName name="JDF4294_72">"$#REF!.$#REF!$#REF!"</definedName>
    <definedName name="JDP2875_49" localSheetId="1">#REF!</definedName>
    <definedName name="JDP2875_49">#REF!</definedName>
    <definedName name="JDP2875_65" localSheetId="1">#REF!</definedName>
    <definedName name="JDP2875_65">#REF!</definedName>
    <definedName name="JDP2875_72">"$#REF!.$#REF!$#REF!"</definedName>
    <definedName name="JDR9740_49" localSheetId="1">#REF!</definedName>
    <definedName name="JDR9740_49">#REF!</definedName>
    <definedName name="JDR9740_65" localSheetId="1">#REF!</definedName>
    <definedName name="JDR9740_65">#REF!</definedName>
    <definedName name="JDR9740_72">"$#REF!.$#REF!$#REF!"</definedName>
    <definedName name="JDS601_49" localSheetId="1">#REF!</definedName>
    <definedName name="JDS601_49">#REF!</definedName>
    <definedName name="JDS601_65" localSheetId="1">#REF!</definedName>
    <definedName name="JDS601_65">#REF!</definedName>
    <definedName name="JDS601_72">"$#REF!.$#REF!$#REF!"</definedName>
    <definedName name="JDV3439_49" localSheetId="1">#REF!</definedName>
    <definedName name="JDV3439_49">#REF!</definedName>
    <definedName name="JDV3439_65" localSheetId="1">#REF!</definedName>
    <definedName name="JDV3439_65">#REF!</definedName>
    <definedName name="JDV3439_72">"$#REF!.$#REF!$#REF!"</definedName>
    <definedName name="Jebsen.Jessen">[129]details!$C$157</definedName>
    <definedName name="jfjfjyfj" localSheetId="1">#REF!</definedName>
    <definedName name="jfjfjyfj">#REF!</definedName>
    <definedName name="jftjfj" localSheetId="1">#REF!</definedName>
    <definedName name="jftjfj">#REF!</definedName>
    <definedName name="jg" localSheetId="1">'[204]FF-3'!$A$1:$IV$8</definedName>
    <definedName name="jg">'[205]FF-3'!$A$1:$IV$8</definedName>
    <definedName name="jgj" localSheetId="1">'[75]FF-2 (1)'!$A$1:$IV$9</definedName>
    <definedName name="jgj">'[76]FF-2 (1)'!$A$1:$IV$9</definedName>
    <definedName name="jh" localSheetId="1">'[85]tax-ss'!$O$7:$O$37</definedName>
    <definedName name="jh">'[86]tax-ss'!$O$7:$O$37</definedName>
    <definedName name="jhbjjln" localSheetId="1">'[318]tax-ss'!$Q$7:$Q$37</definedName>
    <definedName name="jhbjjln">'[319]tax-ss'!$Q$7:$Q$37</definedName>
    <definedName name="jik" localSheetId="1">'[85]tax-ss'!$B$51</definedName>
    <definedName name="jik">'[86]tax-ss'!$B$51</definedName>
    <definedName name="JJ" localSheetId="1">#REF!</definedName>
    <definedName name="JJ">#REF!</definedName>
    <definedName name="JJJ" localSheetId="1">#REF!</definedName>
    <definedName name="JJJ">#REF!</definedName>
    <definedName name="jjjjj" localSheetId="1">#REF!</definedName>
    <definedName name="jjjjj">#REF!</definedName>
    <definedName name="jjkj">#REF!</definedName>
    <definedName name="jk">#REF!</definedName>
    <definedName name="jkcvls">#REF!</definedName>
    <definedName name="jkkjkj">#REF!</definedName>
    <definedName name="jrrjrtj">#REF!</definedName>
    <definedName name="jrtjqer">#REF!</definedName>
    <definedName name="jryjryj">#REF!</definedName>
    <definedName name="JSDK" localSheetId="1">'[192]IBA &lt;O3&gt;'!$S$31</definedName>
    <definedName name="JSDK">'[193]IBA &lt;O3&gt;'!$S$31</definedName>
    <definedName name="jtehwr" localSheetId="1">#REF!</definedName>
    <definedName name="jtehwr">#REF!</definedName>
    <definedName name="jtjryjytj" localSheetId="1">#REF!</definedName>
    <definedName name="jtjryjytj">#REF!</definedName>
    <definedName name="jtrjtjrjrj" localSheetId="1">#REF!</definedName>
    <definedName name="jtrjtjrjrj">#REF!</definedName>
    <definedName name="jttrjrtj">#REF!</definedName>
    <definedName name="Jul">#REF!</definedName>
    <definedName name="Julun">#REF!</definedName>
    <definedName name="july">#REF!</definedName>
    <definedName name="Jun">#REF!</definedName>
    <definedName name="JUNE">#REF!</definedName>
    <definedName name="Junun">#REF!</definedName>
    <definedName name="JV06_01">#REF!</definedName>
    <definedName name="jvsk">#REF!</definedName>
    <definedName name="jx" localSheetId="1">'[85]tax-ss'!$H$7:$H$37</definedName>
    <definedName name="jx">'[86]tax-ss'!$H$7:$H$37</definedName>
    <definedName name="jyjet" localSheetId="1">#REF!</definedName>
    <definedName name="jyjet">#REF!</definedName>
    <definedName name="jyjj" localSheetId="1">#REF!</definedName>
    <definedName name="jyjj">#REF!</definedName>
    <definedName name="jyjk7" localSheetId="1">#REF!</definedName>
    <definedName name="jyjk7">#REF!</definedName>
    <definedName name="jyjyjyj">#REF!</definedName>
    <definedName name="K" localSheetId="1">{#N/A,#N/A,FALSE,"Sheet1"}</definedName>
    <definedName name="K">{#N/A,#N/A,FALSE,"Sheet1"}</definedName>
    <definedName name="K.D.Howa">[129]details!$C$125</definedName>
    <definedName name="k2.2">"'file:///A:/WeltaxcompPY.xls'#$AFA.$#REF!$#REF!"</definedName>
    <definedName name="k2.2_49" localSheetId="1">[288]AFA!#REF!</definedName>
    <definedName name="k2.2_49">[289]AFA!#REF!</definedName>
    <definedName name="k2.2_65" localSheetId="1">[288]AFA!#REF!</definedName>
    <definedName name="k2.2_65">[289]AFA!#REF!</definedName>
    <definedName name="k2.2_72">"'file:///A:/WeltaxcompPY.xls'#$AFA.$#REF!$#REF!"</definedName>
    <definedName name="K2a" localSheetId="1" hidden="1">{#N/A,#N/A,FALSE,"Sheet1"}</definedName>
    <definedName name="K2a" hidden="1">{#N/A,#N/A,FALSE,"Sheet1"}</definedName>
    <definedName name="KAA" localSheetId="1" hidden="1">{#N/A,#N/A,FALSE,"Sheet1"}</definedName>
    <definedName name="KAA" hidden="1">{#N/A,#N/A,FALSE,"Sheet1"}</definedName>
    <definedName name="Karen" localSheetId="1">#REF!</definedName>
    <definedName name="Karen">#REF!</definedName>
    <definedName name="KB" localSheetId="1" hidden="1">{#N/A,#N/A,FALSE,"Sheet1"}</definedName>
    <definedName name="KB" hidden="1">{#N/A,#N/A,FALSE,"Sheet1"}</definedName>
    <definedName name="KC" localSheetId="1">#REF!</definedName>
    <definedName name="KC">#REF!</definedName>
    <definedName name="KCC" localSheetId="1">#REF!</definedName>
    <definedName name="KCC">#REF!</definedName>
    <definedName name="KEIKAKU">[320]計画値!$C$3:$S$48</definedName>
    <definedName name="KESB95">'[162]Cum.91-93'!$AH$238:$AH$432</definedName>
    <definedName name="KESBAN">'[162]Cum.91-93'!$AH$460:$AH$673</definedName>
    <definedName name="kfgykgy" localSheetId="1">#REF!</definedName>
    <definedName name="kfgykgy">#REF!</definedName>
    <definedName name="KG" localSheetId="1">#REF!</definedName>
    <definedName name="KG">#REF!</definedName>
    <definedName name="kgfffkf" localSheetId="1">#REF!</definedName>
    <definedName name="kgfffkf">#REF!</definedName>
    <definedName name="kgtukguk">#REF!</definedName>
    <definedName name="kgukhulku">#REF!</definedName>
    <definedName name="KICK" localSheetId="1" hidden="1">{#N/A,#N/A,FALSE,"Sheet1"}</definedName>
    <definedName name="KICK" hidden="1">{#N/A,#N/A,FALSE,"Sheet1"}</definedName>
    <definedName name="kiyklyillyur" localSheetId="1">#REF!</definedName>
    <definedName name="kiyklyillyur">#REF!</definedName>
    <definedName name="kjkj" localSheetId="1">#REF!</definedName>
    <definedName name="kjkj">#REF!</definedName>
    <definedName name="kk" localSheetId="1">[288]AFA!#REF!</definedName>
    <definedName name="kk">[289]AFA!#REF!</definedName>
    <definedName name="kkk" localSheetId="1">'[321]FF-21(a)'!#REF!</definedName>
    <definedName name="kkk">'[322]FF-21(a)'!#REF!</definedName>
    <definedName name="kkkk" localSheetId="1">#REF!</definedName>
    <definedName name="kkkk">#REF!</definedName>
    <definedName name="kkzc" localSheetId="1" hidden="1">{#N/A,#N/A,FALSE,"Sheet1"}</definedName>
    <definedName name="kkzc" hidden="1">{#N/A,#N/A,FALSE,"Sheet1"}</definedName>
    <definedName name="KLP" localSheetId="1" hidden="1">{#N/A,#N/A,FALSE,"Sheet1"}</definedName>
    <definedName name="KLP" hidden="1">{#N/A,#N/A,FALSE,"Sheet1"}</definedName>
    <definedName name="kmghkfjd" localSheetId="1">#REF!</definedName>
    <definedName name="kmghkfjd">#REF!</definedName>
    <definedName name="KOS_PENGILANGAN" localSheetId="1">'[323]3 P&amp;L '!#REF!</definedName>
    <definedName name="KOS_PENGILANGAN">'[324]3 P&amp;L '!#REF!</definedName>
    <definedName name="ktkrywyw" localSheetId="1">#REF!</definedName>
    <definedName name="ktkrywyw">#REF!</definedName>
    <definedName name="ktukmtukm" localSheetId="1">#REF!</definedName>
    <definedName name="ktukmtukm">#REF!</definedName>
    <definedName name="kutktuk" localSheetId="1">#REF!</definedName>
    <definedName name="kutktuk">#REF!</definedName>
    <definedName name="l" localSheetId="1">[17]!l</definedName>
    <definedName name="l">[18]!l</definedName>
    <definedName name="L_1a" localSheetId="1">[13]L!$B$1:$J$24</definedName>
    <definedName name="L_1a">[14]L!$B$1:$J$24</definedName>
    <definedName name="LA" localSheetId="1">'[325]FF-4'!#REF!</definedName>
    <definedName name="LA">'[326]FF-4'!#REF!</definedName>
    <definedName name="LABUAN">'[162]Cum.91-93'!$AE$460:$AE$673</definedName>
    <definedName name="LABUAN95">'[162]Cum.91-93'!$AE$238:$AE$432</definedName>
    <definedName name="Lain" localSheetId="1">#REF!</definedName>
    <definedName name="Lain">#REF!</definedName>
    <definedName name="LAIN_LAIN_PENDAPATAN" localSheetId="1">'[323]3 P&amp;L '!#REF!</definedName>
    <definedName name="LAIN_LAIN_PENDAPATAN">'[324]3 P&amp;L '!#REF!</definedName>
    <definedName name="last" localSheetId="1">#REF!</definedName>
    <definedName name="last">#REF!</definedName>
    <definedName name="LASTCOLUMNCELL" localSheetId="1">#REF!</definedName>
    <definedName name="LASTCOLUMNCELL">#REF!</definedName>
    <definedName name="LB" localSheetId="1">#REF!</definedName>
    <definedName name="LB">#REF!</definedName>
    <definedName name="LeaseAsset">[168]Details!$D$2:$D$12</definedName>
    <definedName name="LEGAL">"$#REF!.$#REF!$#REF!"</definedName>
    <definedName name="LEGAL_49" localSheetId="1">#REF!</definedName>
    <definedName name="LEGAL_49">#REF!</definedName>
    <definedName name="LEGAL_65" localSheetId="1">#REF!</definedName>
    <definedName name="LEGAL_65">#REF!</definedName>
    <definedName name="LEGAL_72">"$#REF!.$#REF!$#REF!"</definedName>
    <definedName name="lf" localSheetId="1">#REF!</definedName>
    <definedName name="lf">#REF!</definedName>
    <definedName name="lhulhlulu" localSheetId="1">#REF!</definedName>
    <definedName name="lhulhlulu">#REF!</definedName>
    <definedName name="LIEW" localSheetId="1">#REF!</definedName>
    <definedName name="LIEW">#REF!</definedName>
    <definedName name="LIK" localSheetId="1" hidden="1">{#N/A,#N/A,FALSE,"Sheet1"}</definedName>
    <definedName name="LIK" hidden="1">{#N/A,#N/A,FALSE,"Sheet1"}</definedName>
    <definedName name="Liklyhood" localSheetId="1">#REF!</definedName>
    <definedName name="Liklyhood">#REF!</definedName>
    <definedName name="LINKAGE_FN">'[327]Linkage Quote'!$B$1</definedName>
    <definedName name="ListPrice범위">#REF!</definedName>
    <definedName name="liyen" localSheetId="1">#REF!</definedName>
    <definedName name="liyen">#REF!</definedName>
    <definedName name="LL" localSheetId="1">#REF!</definedName>
    <definedName name="LL">#REF!</definedName>
    <definedName name="ll_72">"$#REF!.$A$1:$M$74"</definedName>
    <definedName name="lll" localSheetId="1">'[85]tax-ss'!$B$50</definedName>
    <definedName name="lll">'[86]tax-ss'!$B$50</definedName>
    <definedName name="llllllllll" localSheetId="1">#REF!</definedName>
    <definedName name="llllllllll">#REF!</definedName>
    <definedName name="LM" localSheetId="1">#REF!</definedName>
    <definedName name="LM">#REF!</definedName>
    <definedName name="loc" localSheetId="1">#REF!</definedName>
    <definedName name="loc">#REF!</definedName>
    <definedName name="loc_cur">[189]Rates!$B$5</definedName>
    <definedName name="Log_No">#REF!</definedName>
    <definedName name="logf" localSheetId="1">#REF!</definedName>
    <definedName name="logf">#REF!</definedName>
    <definedName name="lok" localSheetId="1" hidden="1">{#N/A,#N/A,TRUE,"M [OS-05]-00(1)"}</definedName>
    <definedName name="lok" hidden="1">{#N/A,#N/A,TRUE,"M [OS-05]-00(1)"}</definedName>
    <definedName name="LOP" localSheetId="1" hidden="1">{#N/A,#N/A,FALSE,"Sheet1"}</definedName>
    <definedName name="LOP" hidden="1">{#N/A,#N/A,FALSE,"Sheet1"}</definedName>
    <definedName name="ltultuklt" localSheetId="1">#REF!</definedName>
    <definedName name="ltultuklt">#REF!</definedName>
    <definedName name="LUCK" localSheetId="1" hidden="1">{#N/A,#N/A,FALSE,"Sheet1"}</definedName>
    <definedName name="LUCK" hidden="1">{#N/A,#N/A,FALSE,"Sheet1"}</definedName>
    <definedName name="luglkguu" localSheetId="1">#REF!</definedName>
    <definedName name="luglkguu">#REF!</definedName>
    <definedName name="LVO_NAME">#REF!</definedName>
    <definedName name="L서버">#REF!</definedName>
    <definedName name="L서버내용">#REF!</definedName>
    <definedName name="L서버번호">#REF!</definedName>
    <definedName name="m" localSheetId="1">#REF!</definedName>
    <definedName name="m">#REF!</definedName>
    <definedName name="M_2" localSheetId="1">#REF!</definedName>
    <definedName name="M_2">#REF!</definedName>
    <definedName name="MACHINEBURNER10">"$#REF!.$#REF!$#REF!"</definedName>
    <definedName name="MACHINEBURNER10_49" localSheetId="1">#REF!</definedName>
    <definedName name="MACHINEBURNER10_49">#REF!</definedName>
    <definedName name="MACHINEBURNER10_65" localSheetId="1">#REF!</definedName>
    <definedName name="MACHINEBURNER10_65">#REF!</definedName>
    <definedName name="MACHINEBURNER10_72">"$#REF!.$#REF!$#REF!"</definedName>
    <definedName name="MACRO" localSheetId="1">[218]B!$A$1</definedName>
    <definedName name="MACRO">[219]B!$A$1</definedName>
    <definedName name="MACROS">[328]C!$A$1:$G$53</definedName>
    <definedName name="mai" localSheetId="1">#REF!</definedName>
    <definedName name="mai">#REF!</definedName>
    <definedName name="Man" localSheetId="1">#REF!</definedName>
    <definedName name="Man">#REF!</definedName>
    <definedName name="Manager_Initials" localSheetId="1">#REF!</definedName>
    <definedName name="Manager_Initials">#REF!</definedName>
    <definedName name="MANG_">#REF!</definedName>
    <definedName name="maple">#REF!</definedName>
    <definedName name="Mar">#REF!</definedName>
    <definedName name="Margin">#REF!</definedName>
    <definedName name="Mark_Up">#REF!</definedName>
    <definedName name="markup">#REF!</definedName>
    <definedName name="May">#REF!</definedName>
    <definedName name="mc">#REF!</definedName>
    <definedName name="mctrend">#REF!</definedName>
    <definedName name="MDL">'[329]3월가격'!$A$1:$A$65536</definedName>
    <definedName name="mdsmf" localSheetId="1">[330]cashflowcomp!$C$1:$J$67</definedName>
    <definedName name="mdsmf">[331]cashflowcomp!$C$1:$J$67</definedName>
    <definedName name="Mduration" localSheetId="1">#REF!</definedName>
    <definedName name="Mduration">#REF!</definedName>
    <definedName name="memo1" localSheetId="1">#REF!</definedName>
    <definedName name="memo1">#REF!</definedName>
    <definedName name="memo2" localSheetId="1">#REF!</definedName>
    <definedName name="memo2">#REF!</definedName>
    <definedName name="meng" localSheetId="1">[332]FSA!$A$1</definedName>
    <definedName name="meng">[333]FSA!$A$1</definedName>
    <definedName name="meng_72" localSheetId="1">[334]FSA!$A$1</definedName>
    <definedName name="meng_72">[335]FSA!$A$1</definedName>
    <definedName name="mg" localSheetId="1">#REF!</definedName>
    <definedName name="mg">#REF!</definedName>
    <definedName name="min" localSheetId="1" hidden="1">{"'Feb 99'!$A$1:$G$30"}</definedName>
    <definedName name="min" hidden="1">{"'Feb 99'!$A$1:$G$30"}</definedName>
    <definedName name="mjmjm">#REF!</definedName>
    <definedName name="ML">#REF!</definedName>
    <definedName name="mm" localSheetId="1">[75]FSA!$A$2</definedName>
    <definedName name="mm">[76]FSA!$A$2</definedName>
    <definedName name="MM_02" localSheetId="1">#REF!</definedName>
    <definedName name="MM_02">#REF!</definedName>
    <definedName name="MM_1a" localSheetId="1">'[13]M MM'!$A$1:$K$35</definedName>
    <definedName name="MM_1a">'[14]M MM'!$A$1:$K$35</definedName>
    <definedName name="mnfmfgm" localSheetId="1">#REF!</definedName>
    <definedName name="mnfmfgm">#REF!</definedName>
    <definedName name="monthcode" localSheetId="1">[336]U!#REF!</definedName>
    <definedName name="monthcode">[337]U!#REF!</definedName>
    <definedName name="MOTOR">"$#REF!.$H$120"</definedName>
    <definedName name="MOTOR_72">"$#REF!.$H$121"</definedName>
    <definedName name="MOTOR20">"$#REF!.$T$219"</definedName>
    <definedName name="MOTOR20_72">"$#REF!.$T$220"</definedName>
    <definedName name="msj" localSheetId="1">'[338]CA Sheet'!$B$44</definedName>
    <definedName name="msj">'[339]CA Sheet'!$B$44</definedName>
    <definedName name="mtymrftgjm" localSheetId="1">#REF!</definedName>
    <definedName name="mtymrftgjm">#REF!</definedName>
    <definedName name="mun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mun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n" localSheetId="1">#REF!</definedName>
    <definedName name="n">#REF!</definedName>
    <definedName name="n3a" localSheetId="1">#REF!</definedName>
    <definedName name="n3a">#REF!</definedName>
    <definedName name="Nada" localSheetId="1">[192]!Nada</definedName>
    <definedName name="Nada">[193]!Nada</definedName>
    <definedName name="NalcoBPR" localSheetId="1">#REF!</definedName>
    <definedName name="NalcoBPR">#REF!</definedName>
    <definedName name="Name" localSheetId="1">[332]FSA!$A$1</definedName>
    <definedName name="Name">[333]FSA!$A$1</definedName>
    <definedName name="Name_10" localSheetId="1">[340]FSA!$A$1</definedName>
    <definedName name="Name_10">[341]FSA!$A$1</definedName>
    <definedName name="Name_11" localSheetId="1">[332]FSA!$A$1</definedName>
    <definedName name="Name_11">[333]FSA!$A$1</definedName>
    <definedName name="Name_12" localSheetId="1">[332]FSA!$A$1</definedName>
    <definedName name="Name_12">[333]FSA!$A$1</definedName>
    <definedName name="Name_13" localSheetId="1">[342]FSA!$A$1</definedName>
    <definedName name="Name_13">[343]FSA!$A$1</definedName>
    <definedName name="Name_14" localSheetId="1">[332]FSA!$A$1</definedName>
    <definedName name="Name_14">[333]FSA!$A$1</definedName>
    <definedName name="Name_15" localSheetId="1">[332]FSA!$A$1</definedName>
    <definedName name="Name_15">[333]FSA!$A$1</definedName>
    <definedName name="Name_19" localSheetId="1">[334]FSA!$A$1</definedName>
    <definedName name="Name_19">[335]FSA!$A$1</definedName>
    <definedName name="Name_20" localSheetId="1">[342]FSA!$A$1</definedName>
    <definedName name="Name_20">[343]FSA!$A$1</definedName>
    <definedName name="Name_21" localSheetId="1">[342]FSA!$A$1</definedName>
    <definedName name="Name_21">[343]FSA!$A$1</definedName>
    <definedName name="Name_22" localSheetId="1">[342]FSA!$A$1</definedName>
    <definedName name="Name_22">[343]FSA!$A$1</definedName>
    <definedName name="Name_23" localSheetId="1">[342]FSA!$A$1</definedName>
    <definedName name="Name_23">[343]FSA!$A$1</definedName>
    <definedName name="Name_23_1" localSheetId="1">[342]FSA!$A$1</definedName>
    <definedName name="Name_23_1">[343]FSA!$A$1</definedName>
    <definedName name="Name_25" localSheetId="1">[342]FSA!$A$1</definedName>
    <definedName name="Name_25">[343]FSA!$A$1</definedName>
    <definedName name="Name_29" localSheetId="1">[342]FSA!$A$1</definedName>
    <definedName name="Name_29">[343]FSA!$A$1</definedName>
    <definedName name="Name_43" localSheetId="1">[342]FSA!$A$1</definedName>
    <definedName name="Name_43">[343]FSA!$A$1</definedName>
    <definedName name="Name_47" localSheetId="1">[342]FSA!$A$1</definedName>
    <definedName name="Name_47">[343]FSA!$A$1</definedName>
    <definedName name="Name_66" localSheetId="1">[342]FSA!$A$1</definedName>
    <definedName name="Name_66">[343]FSA!$A$1</definedName>
    <definedName name="Name_72" localSheetId="1">[334]FSA!$A$1</definedName>
    <definedName name="Name_72">[335]FSA!$A$1</definedName>
    <definedName name="Name_8" localSheetId="1">[340]FSA!$A$1</definedName>
    <definedName name="Name_8">[341]FSA!$A$1</definedName>
    <definedName name="Name_9" localSheetId="1">[332]FSA!$A$1</definedName>
    <definedName name="Name_9">[333]FSA!$A$1</definedName>
    <definedName name="NameRef" localSheetId="1">#REF!</definedName>
    <definedName name="NameRef">#REF!</definedName>
    <definedName name="NameRef1" localSheetId="1">#REF!</definedName>
    <definedName name="NameRef1">#REF!</definedName>
    <definedName name="NBV" localSheetId="1">#REF!</definedName>
    <definedName name="NBV">#REF!</definedName>
    <definedName name="NCode" localSheetId="1">[342]!NCode</definedName>
    <definedName name="NCode">[343]!NCode</definedName>
    <definedName name="NCVR" localSheetId="1">#REF!</definedName>
    <definedName name="NCVR">#REF!</definedName>
    <definedName name="NCVR1" localSheetId="1">[344]O3!$I$172</definedName>
    <definedName name="NCVR1">[345]O3!$I$172</definedName>
    <definedName name="NCVR2" localSheetId="1">[344]O4!$I$31</definedName>
    <definedName name="NCVR2">[345]O4!$I$31</definedName>
    <definedName name="nesadj" localSheetId="1">'[95]0100'!$A$14:$A$106</definedName>
    <definedName name="nesadj">'[96]0100'!$A$14:$A$106</definedName>
    <definedName name="NESMAL\FUNDS" localSheetId="1">[346]B!$B$3</definedName>
    <definedName name="NESMAL\FUNDS">[347]B!$B$3</definedName>
    <definedName name="Net_book_value" localSheetId="1">#REF!</definedName>
    <definedName name="Net_book_value">#REF!</definedName>
    <definedName name="new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new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next" localSheetId="1">'[348]Entity Data'!$H$8</definedName>
    <definedName name="next">'[349]Entity Data'!$H$8</definedName>
    <definedName name="Nexustel">[129]details!$C$197</definedName>
    <definedName name="nfgf" localSheetId="1">#REF!</definedName>
    <definedName name="nfgf">#REF!</definedName>
    <definedName name="ngjgj" localSheetId="1">#REF!</definedName>
    <definedName name="ngjgj">#REF!</definedName>
    <definedName name="NN" localSheetId="1">'[192]IBA &lt;O3&gt;'!$Q$7:$Q$10</definedName>
    <definedName name="NN">'[193]IBA &lt;O3&gt;'!$Q$7:$Q$10</definedName>
    <definedName name="No.">#REF!</definedName>
    <definedName name="NOMO" localSheetId="1">#REF!</definedName>
    <definedName name="NOMO">#REF!</definedName>
    <definedName name="note" localSheetId="1">#REF!</definedName>
    <definedName name="note">#REF!</definedName>
    <definedName name="NOTE2" localSheetId="1">#REF!</definedName>
    <definedName name="NOTE2">#REF!</definedName>
    <definedName name="noteAUDITED" localSheetId="1">'[119]ABR P&amp;L'!$A$1:$R$53</definedName>
    <definedName name="noteAUDITED">'[120]ABR P&amp;L'!$A$1:$R$53</definedName>
    <definedName name="Notes" localSheetId="1">#REF!</definedName>
    <definedName name="Notes">#REF!</definedName>
    <definedName name="Notes_BanksOD" localSheetId="1">[160]Notes!$W$263</definedName>
    <definedName name="Notes_BanksOD">[161]Notes!$W$263</definedName>
    <definedName name="Notes_Debtors" localSheetId="1">[160]Notes!#REF!</definedName>
    <definedName name="Notes_Debtors">[161]Notes!#REF!</definedName>
    <definedName name="Notes_exp" localSheetId="1">[160]Notes!#REF!</definedName>
    <definedName name="Notes_exp">[161]Notes!#REF!</definedName>
    <definedName name="Notes_Profit_and_loss" localSheetId="1">[160]Notes!#REF!</definedName>
    <definedName name="Notes_Profit_and_loss">[161]Notes!#REF!</definedName>
    <definedName name="notes2To4" localSheetId="1">#REF!</definedName>
    <definedName name="notes2To4">#REF!</definedName>
    <definedName name="Nov" localSheetId="1">#REF!</definedName>
    <definedName name="Nov">#REF!</definedName>
    <definedName name="NS" localSheetId="1">#REF!</definedName>
    <definedName name="NS">#REF!</definedName>
    <definedName name="num">#REF!</definedName>
    <definedName name="NUM_DOCS">#REF!</definedName>
    <definedName name="Number">#REF!</definedName>
    <definedName name="Number1">#REF!</definedName>
    <definedName name="NUMCHECK" localSheetId="1">AND(ISNUMBER(#REF!),ISNUMBER(#REF!),ISNUMBER(#REF!),ISNUMBER(#REF!))</definedName>
    <definedName name="NUMCHECK">AND(ISNUMBER(#REF!),ISNUMBER(#REF!),ISNUMBER(#REF!),ISNUMBER(#REF!))</definedName>
    <definedName name="NUMENTRIES" localSheetId="1">'[192]Loan Amortization Table'!#REF!</definedName>
    <definedName name="NUMENTRIES">'[193]Loan Amortization Table'!#REF!</definedName>
    <definedName name="OA" localSheetId="1">'[192]IBA &lt;O3&gt;'!$Q$31</definedName>
    <definedName name="OA">'[193]IBA &lt;O3&gt;'!$Q$31</definedName>
    <definedName name="Oct" localSheetId="1">#REF!</definedName>
    <definedName name="Oct">#REF!</definedName>
    <definedName name="OCT_10" localSheetId="1">[1]FF_3!$A$9:$K$11</definedName>
    <definedName name="OCT_10">[2]FF_3!$A$9:$K$11</definedName>
    <definedName name="OCT_11" localSheetId="1">[47]FF_3!$A$9:$K$11</definedName>
    <definedName name="OCT_11">[48]FF_3!$A$9:$K$11</definedName>
    <definedName name="OCT_12" localSheetId="1">[47]FF_3!$A$9:$K$11</definedName>
    <definedName name="OCT_12">[48]FF_3!$A$9:$K$11</definedName>
    <definedName name="OCT_13" localSheetId="1">[30]FF_3!$A$9:$K$11</definedName>
    <definedName name="OCT_13">[31]FF_3!$A$9:$K$11</definedName>
    <definedName name="OCT_14" localSheetId="1">[47]FF_3!$A$9:$K$11</definedName>
    <definedName name="OCT_14">[48]FF_3!$A$9:$K$11</definedName>
    <definedName name="OCT_15" localSheetId="1">[47]FF_3!$A$9:$K$11</definedName>
    <definedName name="OCT_15">[48]FF_3!$A$9:$K$11</definedName>
    <definedName name="OCT_19" localSheetId="1">[66]FF_3!$A$9:$K$11</definedName>
    <definedName name="OCT_19">[67]FF_3!$A$9:$K$11</definedName>
    <definedName name="OCT_20" localSheetId="1">[30]FF_3!$A$9:$K$11</definedName>
    <definedName name="OCT_20">[31]FF_3!$A$9:$K$11</definedName>
    <definedName name="OCT_21" localSheetId="1">[30]FF_3!$A$9:$K$11</definedName>
    <definedName name="OCT_21">[31]FF_3!$A$9:$K$11</definedName>
    <definedName name="OCT_22" localSheetId="1">[30]FF_3!$A$9:$K$11</definedName>
    <definedName name="OCT_22">[31]FF_3!$A$9:$K$11</definedName>
    <definedName name="OCT_23" localSheetId="1">[30]FF_3!$A$9:$K$11</definedName>
    <definedName name="OCT_23">[31]FF_3!$A$9:$K$11</definedName>
    <definedName name="OCT_23_1" localSheetId="1">[30]FF_3!$A$9:$K$11</definedName>
    <definedName name="OCT_23_1">[31]FF_3!$A$9:$K$11</definedName>
    <definedName name="OCT_25" localSheetId="1">[30]FF_3!$A$9:$K$11</definedName>
    <definedName name="OCT_25">[31]FF_3!$A$9:$K$11</definedName>
    <definedName name="OCT_29" localSheetId="1">[30]FF_3!$A$9:$K$11</definedName>
    <definedName name="OCT_29">[31]FF_3!$A$9:$K$11</definedName>
    <definedName name="OCT_43" localSheetId="1">[30]FF_3!$A$9:$K$11</definedName>
    <definedName name="OCT_43">[31]FF_3!$A$9:$K$11</definedName>
    <definedName name="OCT_47" localSheetId="1">[30]FF_3!$A$9:$K$11</definedName>
    <definedName name="OCT_47">[31]FF_3!$A$9:$K$11</definedName>
    <definedName name="OCT_66" localSheetId="1">[30]FF_3!$A$9:$K$11</definedName>
    <definedName name="OCT_66">[31]FF_3!$A$9:$K$11</definedName>
    <definedName name="OCT_72" localSheetId="1">[66]FF_3!$A$9:$K$11</definedName>
    <definedName name="OCT_72">[67]FF_3!$A$9:$K$11</definedName>
    <definedName name="OCT_8" localSheetId="1">[1]FF_3!$A$9:$K$11</definedName>
    <definedName name="OCT_8">[2]FF_3!$A$9:$K$11</definedName>
    <definedName name="OCT_9" localSheetId="1">[47]FF_3!$A$9:$K$11</definedName>
    <definedName name="OCT_9">[48]FF_3!$A$9:$K$11</definedName>
    <definedName name="OCT334_10" localSheetId="1">[1]FF_3!$A$1:$IV$8</definedName>
    <definedName name="OCT334_10">[2]FF_3!$A$1:$IV$8</definedName>
    <definedName name="OCT334_11" localSheetId="1">[47]FF_3!$A$1:$IV$8</definedName>
    <definedName name="OCT334_11">[48]FF_3!$A$1:$IV$8</definedName>
    <definedName name="OCT334_12" localSheetId="1">[47]FF_3!$A$1:$IV$8</definedName>
    <definedName name="OCT334_12">[48]FF_3!$A$1:$IV$8</definedName>
    <definedName name="OCT334_13" localSheetId="1">[30]FF_3!$A$1:$IV$8</definedName>
    <definedName name="OCT334_13">[31]FF_3!$A$1:$IV$8</definedName>
    <definedName name="OCT334_14" localSheetId="1">[47]FF_3!$A$1:$IV$8</definedName>
    <definedName name="OCT334_14">[48]FF_3!$A$1:$IV$8</definedName>
    <definedName name="OCT334_15" localSheetId="1">[47]FF_3!$A$1:$IV$8</definedName>
    <definedName name="OCT334_15">[48]FF_3!$A$1:$IV$8</definedName>
    <definedName name="OCT334_19" localSheetId="1">[66]FF_3!$A$1:$IV$8</definedName>
    <definedName name="OCT334_19">[67]FF_3!$A$1:$IV$8</definedName>
    <definedName name="OCT334_20" localSheetId="1">[30]FF_3!$A$1:$IV$8</definedName>
    <definedName name="OCT334_20">[31]FF_3!$A$1:$IV$8</definedName>
    <definedName name="OCT334_21" localSheetId="1">[30]FF_3!$A$1:$IV$8</definedName>
    <definedName name="OCT334_21">[31]FF_3!$A$1:$IV$8</definedName>
    <definedName name="OCT334_22" localSheetId="1">[30]FF_3!$A$1:$IV$8</definedName>
    <definedName name="OCT334_22">[31]FF_3!$A$1:$IV$8</definedName>
    <definedName name="OCT334_23" localSheetId="1">[30]FF_3!$A$1:$IV$8</definedName>
    <definedName name="OCT334_23">[31]FF_3!$A$1:$IV$8</definedName>
    <definedName name="OCT334_23_1" localSheetId="1">[30]FF_3!$A$1:$IV$8</definedName>
    <definedName name="OCT334_23_1">[31]FF_3!$A$1:$IV$8</definedName>
    <definedName name="OCT334_25" localSheetId="1">[30]FF_3!$A$1:$IV$8</definedName>
    <definedName name="OCT334_25">[31]FF_3!$A$1:$IV$8</definedName>
    <definedName name="OCT334_29" localSheetId="1">[30]FF_3!$A$1:$IV$8</definedName>
    <definedName name="OCT334_29">[31]FF_3!$A$1:$IV$8</definedName>
    <definedName name="OCT334_43" localSheetId="1">[30]FF_3!$A$1:$IV$8</definedName>
    <definedName name="OCT334_43">[31]FF_3!$A$1:$IV$8</definedName>
    <definedName name="OCT334_47" localSheetId="1">[30]FF_3!$A$1:$IV$8</definedName>
    <definedName name="OCT334_47">[31]FF_3!$A$1:$IV$8</definedName>
    <definedName name="OCT334_66" localSheetId="1">[30]FF_3!$A$1:$IV$8</definedName>
    <definedName name="OCT334_66">[31]FF_3!$A$1:$IV$8</definedName>
    <definedName name="OCT334_72" localSheetId="1">[66]FF_3!$A$1:$IV$8</definedName>
    <definedName name="OCT334_72">[67]FF_3!$A$1:$IV$8</definedName>
    <definedName name="OCT334_8" localSheetId="1">[1]FF_3!$A$1:$IV$8</definedName>
    <definedName name="OCT334_8">[2]FF_3!$A$1:$IV$8</definedName>
    <definedName name="OCT334_9" localSheetId="1">[47]FF_3!$A$1:$IV$8</definedName>
    <definedName name="OCT334_9">[48]FF_3!$A$1:$IV$8</definedName>
    <definedName name="Octun" localSheetId="1">#REF!</definedName>
    <definedName name="Octun">#REF!</definedName>
    <definedName name="OFFEQUIP" localSheetId="1">#REF!</definedName>
    <definedName name="OFFEQUIP">#REF!</definedName>
    <definedName name="OFFICE.EQ10">"$#REF!.#REF!$#REF!"</definedName>
    <definedName name="OFFICE.EQ10_49" localSheetId="1">#REF!</definedName>
    <definedName name="OFFICE.EQ10_49">#REF!</definedName>
    <definedName name="OFFICE.EQ10_65" localSheetId="1">#REF!</definedName>
    <definedName name="OFFICE.EQ10_65">#REF!</definedName>
    <definedName name="OFFICE.EQ10_72">"$#REF!.#REF!$#REF!"</definedName>
    <definedName name="OFFICE.EQ12">"$#REF!.#REF!$#REF!"</definedName>
    <definedName name="OFFICE.EQ12_49" localSheetId="1">#REF!</definedName>
    <definedName name="OFFICE.EQ12_49">#REF!</definedName>
    <definedName name="OFFICE.EQ12_65" localSheetId="1">#REF!</definedName>
    <definedName name="OFFICE.EQ12_65">#REF!</definedName>
    <definedName name="OFFICE.EQ12_72">"$#REF!.#REF!$#REF!"</definedName>
    <definedName name="OFFICE.EQ8">"$#REF!.#REF!$#REF!"</definedName>
    <definedName name="OFFICE.EQ8_49" localSheetId="1">#REF!</definedName>
    <definedName name="OFFICE.EQ8_49">#REF!</definedName>
    <definedName name="OFFICE.EQ8_65" localSheetId="1">#REF!</definedName>
    <definedName name="OFFICE.EQ8_65">#REF!</definedName>
    <definedName name="OFFICE.EQ8_72">"$#REF!.#REF!$#REF!"</definedName>
    <definedName name="Office_and_Office_s_Family">'[49]MS Box'!#REF!</definedName>
    <definedName name="Office_XP_Pro_NL_L">'[49]MOLP C'!#REF!</definedName>
    <definedName name="Office_XP_Std_NL_L">'[49]MOLP C'!#REF!</definedName>
    <definedName name="OFFICE10">"$#REF!.#REF!#REF!"</definedName>
    <definedName name="OFFICE10_49" localSheetId="1">#REF!</definedName>
    <definedName name="OFFICE10_49">#REF!</definedName>
    <definedName name="OFFICE10_65" localSheetId="1">#REF!</definedName>
    <definedName name="OFFICE10_65">#REF!</definedName>
    <definedName name="OFFICE10_72">"$#REF!.#REF!#REF!"</definedName>
    <definedName name="OFFICE12">"$#REF!.#REF!#REF!"</definedName>
    <definedName name="OFFICE12_49" localSheetId="1">#REF!</definedName>
    <definedName name="OFFICE12_49">#REF!</definedName>
    <definedName name="OFFICE12_65" localSheetId="1">#REF!</definedName>
    <definedName name="OFFICE12_65">#REF!</definedName>
    <definedName name="OFFICE12_72">"$#REF!.#REF!#REF!"</definedName>
    <definedName name="OFFICE40">"$#REF!.#REF!#REF!"</definedName>
    <definedName name="OFFICE40_49" localSheetId="1">#REF!</definedName>
    <definedName name="OFFICE40_49">#REF!</definedName>
    <definedName name="OFFICE40_65" localSheetId="1">#REF!</definedName>
    <definedName name="OFFICE40_65">#REF!</definedName>
    <definedName name="OFFICE40_72">"$#REF!.#REF!#REF!"</definedName>
    <definedName name="oi" localSheetId="1">[350]cashflowcomp!$C$1:$J$67</definedName>
    <definedName name="oi">[351]cashflowcomp!$C$1:$J$67</definedName>
    <definedName name="OK" localSheetId="1">#REF!</definedName>
    <definedName name="OK">#REF!</definedName>
    <definedName name="one" localSheetId="1">'[175]FF-1'!#REF!</definedName>
    <definedName name="one">'[176]FF-1'!#REF!</definedName>
    <definedName name="ones" localSheetId="1">'[352]FF-1'!#REF!</definedName>
    <definedName name="ones">'[353]FF-1'!#REF!</definedName>
    <definedName name="oo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oo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Open">TRUE</definedName>
    <definedName name="oplease">[354]Details!$C$2:$C$28</definedName>
    <definedName name="othcred" localSheetId="1">[17]!Visible</definedName>
    <definedName name="othcred">[18]!Visible</definedName>
    <definedName name="OthDebts" localSheetId="1">#REF!</definedName>
    <definedName name="OthDebts">#REF!</definedName>
    <definedName name="other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other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others" localSheetId="1">#REF!</definedName>
    <definedName name="others">#REF!</definedName>
    <definedName name="ots" localSheetId="1" hidden="1">{#VALUE!,#N/A,FALSE,0}</definedName>
    <definedName name="ots" hidden="1">{#VALUE!,#N/A,FALSE,0}</definedName>
    <definedName name="OUT" localSheetId="1">#REF!</definedName>
    <definedName name="OUT">#REF!</definedName>
    <definedName name="OVERSEA">"$#REF!.$EW$1196"</definedName>
    <definedName name="OVERSEA_72">"$#REF!.$EW$1197"</definedName>
    <definedName name="P" localSheetId="1">#REF!</definedName>
    <definedName name="P">#REF!</definedName>
    <definedName name="P_L">'[162]Dec 94'!$A$1:$AT$256</definedName>
    <definedName name="P_L_DISCLOSURE">#N/A</definedName>
    <definedName name="P_M10">"$#REF!.$Q$186"</definedName>
    <definedName name="P_M10_72">"$#REF!.$Q$187"</definedName>
    <definedName name="P_M12">"$#REF!.$R$186"</definedName>
    <definedName name="P_M12_72">"$#REF!.$R$187"</definedName>
    <definedName name="P_M8">"$#REF!.$P$186"</definedName>
    <definedName name="P_M8_72">"$#REF!.$P$187"</definedName>
    <definedName name="P9B">'[162]Cum.91-93'!$AJ$460:$AJ$673</definedName>
    <definedName name="P9B95">'[162]Cum.91-93'!$AJ$238:$AJ$432</definedName>
    <definedName name="pa" localSheetId="1">'[355]FF-2'!$A$1:$K$88</definedName>
    <definedName name="pa">'[356]FF-2'!$A$1:$K$88</definedName>
    <definedName name="PACKING" localSheetId="1">#REF!</definedName>
    <definedName name="PACKING">#REF!</definedName>
    <definedName name="PAGE1">#N/A</definedName>
    <definedName name="PAGE2">#N/A</definedName>
    <definedName name="PAGE4" localSheetId="1">[357]D!$A$1:$K$86</definedName>
    <definedName name="PAGE4">[358]D!$A$1:$K$86</definedName>
    <definedName name="parner" localSheetId="1">#REF!</definedName>
    <definedName name="parner">#REF!</definedName>
    <definedName name="pars" localSheetId="1">#REF!</definedName>
    <definedName name="pars">#REF!</definedName>
    <definedName name="PART">'[162]Cum.91-93'!$C$238:$E$398</definedName>
    <definedName name="Particulars" localSheetId="1">#REF!</definedName>
    <definedName name="Particulars">#REF!</definedName>
    <definedName name="Particulars1" localSheetId="1">#REF!</definedName>
    <definedName name="Particulars1">#REF!</definedName>
    <definedName name="partner" localSheetId="1">#REF!</definedName>
    <definedName name="partner">#REF!</definedName>
    <definedName name="PARTNERS_INITIALS">#REF!</definedName>
    <definedName name="Pav47FDD">'[111]Tornado 4.7 Component List'!$W$11:$W$12</definedName>
    <definedName name="Pav47proc1">'[359]Tornado 4.7 Component List'!$H$11:$H$22</definedName>
    <definedName name="Payroll_Samp">#REF!</definedName>
    <definedName name="PayrollDatabase">[360]PAYROLL!$B$6:$K$44</definedName>
    <definedName name="PayrollDatabase1" localSheetId="1">[361]PAYROLL!$B$6:$K$44</definedName>
    <definedName name="PayrollDatabase1">[362]PAYROLL!$B$6:$K$44</definedName>
    <definedName name="PBT" localSheetId="1">[363]acs!#REF!</definedName>
    <definedName name="PBT">[364]acs!#REF!</definedName>
    <definedName name="PC_Games">'[49]MS Box'!#REF!</definedName>
    <definedName name="Pelco">[129]details!$C$92</definedName>
    <definedName name="peprt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peprt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PERBELANJAAN_JUALAN" localSheetId="1">'[323]3 P&amp;L '!#REF!</definedName>
    <definedName name="PERBELANJAAN_JUALAN">'[324]3 P&amp;L '!#REF!</definedName>
    <definedName name="PERBELANJAAN_PENGURUSAN" localSheetId="1">'[323]3 P&amp;L '!#REF!</definedName>
    <definedName name="PERBELANJAAN_PENGURUSAN">'[324]3 P&amp;L '!#REF!</definedName>
    <definedName name="Perdiction_Week4" localSheetId="1">#REF!</definedName>
    <definedName name="Perdiction_Week4">#REF!</definedName>
    <definedName name="Period">"ACT"</definedName>
    <definedName name="Period_Month">12</definedName>
    <definedName name="Period_Year">1997</definedName>
    <definedName name="PeriodsInYear" localSheetId="1">[363]Sheet1!$G$6</definedName>
    <definedName name="PeriodsInYear">[364]Sheet1!$G$6</definedName>
    <definedName name="PERYR" localSheetId="1">#REF!</definedName>
    <definedName name="PERYR">#REF!</definedName>
    <definedName name="PhpYavg" localSheetId="1">#REF!</definedName>
    <definedName name="PhpYavg">#REF!</definedName>
    <definedName name="piano" localSheetId="1">#REF!</definedName>
    <definedName name="piano">#REF!</definedName>
    <definedName name="pin" localSheetId="1">'[85]tax-ss'!$O$7:$O$37</definedName>
    <definedName name="pin">'[86]tax-ss'!$O$7:$O$37</definedName>
    <definedName name="PL" localSheetId="1">'[192]IBA &lt;O3&gt;'!$K$31</definedName>
    <definedName name="PL">'[193]IBA &lt;O3&gt;'!$K$31</definedName>
    <definedName name="PLANT">"$#REF!.$H$42"</definedName>
    <definedName name="PLANT_72">"$#REF!.$H$45"</definedName>
    <definedName name="PLANT10">"$#REF!.#REF!$#REF!"</definedName>
    <definedName name="PLANT10_16" localSheetId="1">#REF!</definedName>
    <definedName name="PLANT10_16">#REF!</definedName>
    <definedName name="PLANT10_20" localSheetId="1">#REF!</definedName>
    <definedName name="PLANT10_20">#REF!</definedName>
    <definedName name="PLANT10_24" localSheetId="1">#REF!</definedName>
    <definedName name="PLANT10_24">#REF!</definedName>
    <definedName name="PLANT10_25">#REF!</definedName>
    <definedName name="PLANT10_26">"$#REF!.$Q$213"</definedName>
    <definedName name="PLANT10_26_72">"$#REF!.$Q$214"</definedName>
    <definedName name="PLANT10_29" localSheetId="1">#REF!</definedName>
    <definedName name="PLANT10_29">#REF!</definedName>
    <definedName name="PLANT10_32" localSheetId="1">#REF!</definedName>
    <definedName name="PLANT10_32">#REF!</definedName>
    <definedName name="PLANT10_49" localSheetId="1">#REF!</definedName>
    <definedName name="PLANT10_49">#REF!</definedName>
    <definedName name="PLANT10_51">#REF!</definedName>
    <definedName name="PLANT10_65">#REF!</definedName>
    <definedName name="PLANT10_72">"$#REF!.#REF!$#REF!"</definedName>
    <definedName name="PLANT10_73" localSheetId="1">#REF!</definedName>
    <definedName name="PLANT10_73">#REF!</definedName>
    <definedName name="PLANT12">"$#REF!.#REF!$#REF!"</definedName>
    <definedName name="PLANT12_49" localSheetId="1">#REF!</definedName>
    <definedName name="PLANT12_49">#REF!</definedName>
    <definedName name="PLANT12_65" localSheetId="1">#REF!</definedName>
    <definedName name="PLANT12_65">#REF!</definedName>
    <definedName name="PLANT12_72">"$#REF!.#REF!$#REF!"</definedName>
    <definedName name="PLANT14">"$#REF!.#REF!$#REF!"</definedName>
    <definedName name="PLANT14_49" localSheetId="1">#REF!</definedName>
    <definedName name="PLANT14_49">#REF!</definedName>
    <definedName name="PLANT14_65" localSheetId="1">#REF!</definedName>
    <definedName name="PLANT14_65">#REF!</definedName>
    <definedName name="PLANT14_72">"$#REF!.#REF!$#REF!"</definedName>
    <definedName name="PLnew" localSheetId="1">'[119]PLmth '!#REF!</definedName>
    <definedName name="PLnew">'[120]PLmth '!#REF!</definedName>
    <definedName name="PLstment" localSheetId="1">#REF!</definedName>
    <definedName name="PLstment">#REF!</definedName>
    <definedName name="PM" localSheetId="1">#REF!</definedName>
    <definedName name="PM">#REF!</definedName>
    <definedName name="pmnt" localSheetId="1">#REF!</definedName>
    <definedName name="pmnt">#REF!</definedName>
    <definedName name="PNL_10">#REF!</definedName>
    <definedName name="PNL_20">#REF!</definedName>
    <definedName name="PNL_30">#REF!</definedName>
    <definedName name="Pnl10_a" localSheetId="1">'[13]10'!$A$1:$J$20</definedName>
    <definedName name="Pnl10_a">'[14]10'!$A$1:$J$20</definedName>
    <definedName name="PNL20_1" localSheetId="1">#REF!</definedName>
    <definedName name="PNL20_1">#REF!</definedName>
    <definedName name="PNL20_2" localSheetId="1">#REF!</definedName>
    <definedName name="PNL20_2">#REF!</definedName>
    <definedName name="Pnl30_a" localSheetId="1">'[13]30a'!$A$1:$L$171</definedName>
    <definedName name="Pnl30_a">'[14]30a'!$A$1:$L$171</definedName>
    <definedName name="Pnl30note" localSheetId="1">'[13]30-Note'!$A$1:$L$97</definedName>
    <definedName name="Pnl30note">'[14]30-Note'!$A$1:$L$97</definedName>
    <definedName name="PO_Samp" localSheetId="1">#REF!</definedName>
    <definedName name="PO_Samp">#REF!</definedName>
    <definedName name="PO_Samp02" localSheetId="1">#REF!</definedName>
    <definedName name="PO_Samp02">#REF!</definedName>
    <definedName name="PP" localSheetId="1">[365]BPR!$F$11</definedName>
    <definedName name="PP">[366]BPR!$F$11</definedName>
    <definedName name="ppl" localSheetId="1">#REF!</definedName>
    <definedName name="ppl">#REF!</definedName>
    <definedName name="ppp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ppp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Pre47HDD">'[111]Tornado 4.7 Component List'!$Q$18:$Q$21</definedName>
    <definedName name="Pre47Proc">'[111]Tornado 4.7 Component List'!$H$24:$H$31</definedName>
    <definedName name="Prediction_Week3" localSheetId="1">#REF!</definedName>
    <definedName name="Prediction_Week3">#REF!</definedName>
    <definedName name="preman" localSheetId="1">'[367]10'!#REF!</definedName>
    <definedName name="preman">'[367]10'!#REF!</definedName>
    <definedName name="PrepytFD" localSheetId="1">#REF!</definedName>
    <definedName name="PrepytFD">#REF!</definedName>
    <definedName name="previous" localSheetId="1">'[127]F-5'!$C$7</definedName>
    <definedName name="previous">'[128]F-5'!$C$7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_1" localSheetId="1">'[73]FF_2 _1_'!$A$10:$K$16</definedName>
    <definedName name="Print_Area_MI_1">'[74]FF_2 _1_'!$A$10:$K$16</definedName>
    <definedName name="Print_Area_MI_10" localSheetId="1">'[75]FF_2 _1_'!$A$10:$K$16</definedName>
    <definedName name="Print_Area_MI_10">'[76]FF_2 _1_'!$A$10:$K$16</definedName>
    <definedName name="Print_Area_MI_11" localSheetId="1">'[73]FF_2 _1_'!$A$10:$K$16</definedName>
    <definedName name="Print_Area_MI_11">'[74]FF_2 _1_'!$A$10:$K$16</definedName>
    <definedName name="Print_Area_MI_12" localSheetId="1">'[73]FF_2 _1_'!$A$10:$K$16</definedName>
    <definedName name="Print_Area_MI_12">'[74]FF_2 _1_'!$A$10:$K$16</definedName>
    <definedName name="Print_Area_MI_13" localSheetId="1">'[73]FF_2 _1_'!$A$10:$K$16</definedName>
    <definedName name="Print_Area_MI_13">'[74]FF_2 _1_'!$A$10:$K$16</definedName>
    <definedName name="Print_Area_MI_14" localSheetId="1">'[73]FF_2 _1_'!$A$10:$K$16</definedName>
    <definedName name="Print_Area_MI_14">'[74]FF_2 _1_'!$A$10:$K$16</definedName>
    <definedName name="Print_Area_MI_15" localSheetId="1">'[73]FF_2 _1_'!$A$10:$K$16</definedName>
    <definedName name="Print_Area_MI_15">'[74]FF_2 _1_'!$A$10:$K$16</definedName>
    <definedName name="Print_Area_MI_16" localSheetId="1">'[73]FF_2 _1_'!$A$10:$K$16</definedName>
    <definedName name="Print_Area_MI_16">'[74]FF_2 _1_'!$A$10:$K$16</definedName>
    <definedName name="Print_Area_MI_17" localSheetId="1">'[73]FF_2 _1_'!$A$10:$K$16</definedName>
    <definedName name="Print_Area_MI_17">'[74]FF_2 _1_'!$A$10:$K$16</definedName>
    <definedName name="Print_Area_MI_18" localSheetId="1">'[73]FF_2 _1_'!$A$10:$K$16</definedName>
    <definedName name="Print_Area_MI_18">'[74]FF_2 _1_'!$A$10:$K$16</definedName>
    <definedName name="Print_Area_MI_19" localSheetId="1">'[73]FF_2 _1_'!$A$10:$K$16</definedName>
    <definedName name="Print_Area_MI_19">'[74]FF_2 _1_'!$A$10:$K$16</definedName>
    <definedName name="Print_Area_MI_20" localSheetId="1">'[73]FF_2 _1_'!$A$10:$K$16</definedName>
    <definedName name="Print_Area_MI_20">'[74]FF_2 _1_'!$A$10:$K$16</definedName>
    <definedName name="Print_Area_MI_20_1" localSheetId="1">'[73]FF_2 _1_'!$A$10:$K$16</definedName>
    <definedName name="Print_Area_MI_20_1">'[74]FF_2 _1_'!$A$10:$K$16</definedName>
    <definedName name="Print_Area_MI_21" localSheetId="1">'[75]FF_2 _1_'!$A$10:$K$16</definedName>
    <definedName name="Print_Area_MI_21">'[76]FF_2 _1_'!$A$10:$K$16</definedName>
    <definedName name="Print_Area_MI_21_72" localSheetId="1">'[73]FF_2 _1_'!$A$10:$K$16</definedName>
    <definedName name="Print_Area_MI_21_72">'[74]FF_2 _1_'!$A$10:$K$16</definedName>
    <definedName name="Print_Area_MI_22" localSheetId="1">'[75]FF_2 _1_'!$A$10:$K$16</definedName>
    <definedName name="Print_Area_MI_22">'[76]FF_2 _1_'!$A$10:$K$16</definedName>
    <definedName name="Print_Area_MI_23" localSheetId="1">'[73]FF_2 _1_'!$A$10:$K$16</definedName>
    <definedName name="Print_Area_MI_23">'[74]FF_2 _1_'!$A$10:$K$16</definedName>
    <definedName name="Print_Area_MI_24" localSheetId="1">'[73]FF_2 _1_'!$A$10:$K$16</definedName>
    <definedName name="Print_Area_MI_24">'[74]FF_2 _1_'!$A$10:$K$16</definedName>
    <definedName name="Print_Area_MI_25" localSheetId="1">'[73]FF_2 _1_'!$A$10:$K$16</definedName>
    <definedName name="Print_Area_MI_25">'[74]FF_2 _1_'!$A$10:$K$16</definedName>
    <definedName name="Print_Area_MI_26" localSheetId="1">'[73]FF_2 _1_'!$A$10:$K$16</definedName>
    <definedName name="Print_Area_MI_26">'[74]FF_2 _1_'!$A$10:$K$16</definedName>
    <definedName name="Print_Area_MI_27" localSheetId="1">'[73]FF_2 _1_'!$A$10:$K$16</definedName>
    <definedName name="Print_Area_MI_27">'[74]FF_2 _1_'!$A$10:$K$16</definedName>
    <definedName name="Print_Area_MI_28" localSheetId="1">'[73]FF_2 _1_'!$A$10:$K$16</definedName>
    <definedName name="Print_Area_MI_28">'[74]FF_2 _1_'!$A$10:$K$16</definedName>
    <definedName name="Print_Area_MI_29" localSheetId="1">'[73]FF_2 _1_'!$A$10:$K$16</definedName>
    <definedName name="Print_Area_MI_29">'[74]FF_2 _1_'!$A$10:$K$16</definedName>
    <definedName name="Print_Area_MI_3" localSheetId="1">'[77]FF_2 _1_'!$A$10:$K$16</definedName>
    <definedName name="Print_Area_MI_3">'[78]FF_2 _1_'!$A$10:$K$16</definedName>
    <definedName name="Print_Area_MI_30" localSheetId="1">'[73]FF_2 _1_'!$A$10:$K$16</definedName>
    <definedName name="Print_Area_MI_30">'[74]FF_2 _1_'!$A$10:$K$16</definedName>
    <definedName name="Print_Area_MI_31" localSheetId="1">'[73]FF_2 _1_'!$A$10:$K$16</definedName>
    <definedName name="Print_Area_MI_31">'[74]FF_2 _1_'!$A$10:$K$16</definedName>
    <definedName name="Print_Area_MI_32" localSheetId="1">'[73]FF_2 _1_'!$A$10:$K$16</definedName>
    <definedName name="Print_Area_MI_32">'[74]FF_2 _1_'!$A$10:$K$16</definedName>
    <definedName name="Print_Area_MI_34" localSheetId="1">'[73]FF_2 _1_'!$A$10:$K$16</definedName>
    <definedName name="Print_Area_MI_34">'[74]FF_2 _1_'!$A$10:$K$16</definedName>
    <definedName name="Print_Area_MI_36" localSheetId="1">'[73]FF_2 _1_'!$A$10:$K$16</definedName>
    <definedName name="Print_Area_MI_36">'[74]FF_2 _1_'!$A$10:$K$16</definedName>
    <definedName name="Print_Area_MI_37" localSheetId="1">'[73]FF_2 _1_'!$A$10:$K$16</definedName>
    <definedName name="Print_Area_MI_37">'[74]FF_2 _1_'!$A$10:$K$16</definedName>
    <definedName name="Print_Area_MI_37_1" localSheetId="1">'[73]FF_2 _1_'!$A$10:$K$16</definedName>
    <definedName name="Print_Area_MI_37_1">'[74]FF_2 _1_'!$A$10:$K$16</definedName>
    <definedName name="Print_Area_MI_39" localSheetId="1">'[73]FF_2 _1_'!$A$10:$K$16</definedName>
    <definedName name="Print_Area_MI_39">'[74]FF_2 _1_'!$A$10:$K$16</definedName>
    <definedName name="Print_Area_MI_4" localSheetId="1">'[73]FF_2 _1_'!$A$10:$K$16</definedName>
    <definedName name="Print_Area_MI_4">'[74]FF_2 _1_'!$A$10:$K$16</definedName>
    <definedName name="Print_Area_MI_5" localSheetId="1">'[73]FF_2 _1_'!$A$10:$K$16</definedName>
    <definedName name="Print_Area_MI_5">'[74]FF_2 _1_'!$A$10:$K$16</definedName>
    <definedName name="Print_Area_MI_7" localSheetId="1">'[75]FF_2 _1_'!$A$10:$K$16</definedName>
    <definedName name="Print_Area_MI_7">'[76]FF_2 _1_'!$A$10:$K$16</definedName>
    <definedName name="Print_Area_MI_72" localSheetId="1">'[75]FF_2 _1_'!$A$10:$K$16</definedName>
    <definedName name="Print_Area_MI_72">'[76]FF_2 _1_'!$A$10:$K$16</definedName>
    <definedName name="Print_Area_MI_79" localSheetId="1">'[73]FF_2 _1_'!$A$10:$K$16</definedName>
    <definedName name="Print_Area_MI_79">'[74]FF_2 _1_'!$A$10:$K$16</definedName>
    <definedName name="Print_Area_MI_8" localSheetId="1">'[73]FF_2 _1_'!$A$10:$K$16</definedName>
    <definedName name="Print_Area_MI_8">'[74]FF_2 _1_'!$A$10:$K$16</definedName>
    <definedName name="_xlnm.Print_Titles" localSheetId="1">#REF!</definedName>
    <definedName name="_xlnm.Print_Titles">#REF!</definedName>
    <definedName name="Print_Titles_MI" localSheetId="1">'[75]FF_2 _1_'!$A$1:$IV$9</definedName>
    <definedName name="Print_Titles_MI">'[76]FF_2 _1_'!$A$1:$IV$9</definedName>
    <definedName name="Print_Titles_MI_1" localSheetId="1">'[73]FF_2 _1_'!$A$1:$IV$9</definedName>
    <definedName name="Print_Titles_MI_1">'[74]FF_2 _1_'!$A$1:$IV$9</definedName>
    <definedName name="Print_Titles_MI_10" localSheetId="1">'[75]FF_2 _1_'!$A$1:$IV$9</definedName>
    <definedName name="Print_Titles_MI_10">'[76]FF_2 _1_'!$A$1:$IV$9</definedName>
    <definedName name="Print_Titles_MI_11" localSheetId="1">'[73]FF_2 _1_'!$A$1:$IV$9</definedName>
    <definedName name="Print_Titles_MI_11">'[74]FF_2 _1_'!$A$1:$IV$9</definedName>
    <definedName name="Print_Titles_MI_12" localSheetId="1">'[73]FF_2 _1_'!$A$1:$IV$9</definedName>
    <definedName name="Print_Titles_MI_12">'[74]FF_2 _1_'!$A$1:$IV$9</definedName>
    <definedName name="Print_Titles_MI_13" localSheetId="1">'[73]FF_2 _1_'!$A$1:$IV$9</definedName>
    <definedName name="Print_Titles_MI_13">'[74]FF_2 _1_'!$A$1:$IV$9</definedName>
    <definedName name="Print_Titles_MI_14" localSheetId="1">'[73]FF_2 _1_'!$A$1:$IV$9</definedName>
    <definedName name="Print_Titles_MI_14">'[74]FF_2 _1_'!$A$1:$IV$9</definedName>
    <definedName name="Print_Titles_MI_15" localSheetId="1">'[73]FF_2 _1_'!$A$1:$IV$9</definedName>
    <definedName name="Print_Titles_MI_15">'[74]FF_2 _1_'!$A$1:$IV$9</definedName>
    <definedName name="Print_Titles_MI_16" localSheetId="1">'[73]FF_2 _1_'!$A$1:$IV$9</definedName>
    <definedName name="Print_Titles_MI_16">'[74]FF_2 _1_'!$A$1:$IV$9</definedName>
    <definedName name="Print_Titles_MI_17" localSheetId="1">'[73]FF_2 _1_'!$A$1:$IV$9</definedName>
    <definedName name="Print_Titles_MI_17">'[74]FF_2 _1_'!$A$1:$IV$9</definedName>
    <definedName name="Print_Titles_MI_18" localSheetId="1">'[73]FF_2 _1_'!$A$1:$IV$9</definedName>
    <definedName name="Print_Titles_MI_18">'[74]FF_2 _1_'!$A$1:$IV$9</definedName>
    <definedName name="Print_Titles_MI_19" localSheetId="1">'[73]FF_2 _1_'!$A$1:$IV$9</definedName>
    <definedName name="Print_Titles_MI_19">'[74]FF_2 _1_'!$A$1:$IV$9</definedName>
    <definedName name="Print_Titles_MI_20" localSheetId="1">'[73]FF_2 _1_'!$A$1:$IV$9</definedName>
    <definedName name="Print_Titles_MI_20">'[74]FF_2 _1_'!$A$1:$IV$9</definedName>
    <definedName name="Print_Titles_MI_20_1" localSheetId="1">'[73]FF_2 _1_'!$A$1:$IV$9</definedName>
    <definedName name="Print_Titles_MI_20_1">'[74]FF_2 _1_'!$A$1:$IV$9</definedName>
    <definedName name="Print_Titles_MI_21" localSheetId="1">'[75]FF_2 _1_'!$A$1:$IV$9</definedName>
    <definedName name="Print_Titles_MI_21">'[76]FF_2 _1_'!$A$1:$IV$9</definedName>
    <definedName name="Print_Titles_MI_21_72" localSheetId="1">'[73]FF_2 _1_'!$A$1:$IV$9</definedName>
    <definedName name="Print_Titles_MI_21_72">'[74]FF_2 _1_'!$A$1:$IV$9</definedName>
    <definedName name="Print_Titles_MI_22" localSheetId="1">'[75]FF_2 _1_'!$A$1:$IV$9</definedName>
    <definedName name="Print_Titles_MI_22">'[76]FF_2 _1_'!$A$1:$IV$9</definedName>
    <definedName name="Print_Titles_MI_23" localSheetId="1">'[73]FF_2 _1_'!$A$1:$IV$9</definedName>
    <definedName name="Print_Titles_MI_23">'[74]FF_2 _1_'!$A$1:$IV$9</definedName>
    <definedName name="Print_Titles_MI_24" localSheetId="1">'[73]FF_2 _1_'!$A$1:$IV$9</definedName>
    <definedName name="Print_Titles_MI_24">'[74]FF_2 _1_'!$A$1:$IV$9</definedName>
    <definedName name="Print_Titles_MI_25" localSheetId="1">'[73]FF_2 _1_'!$A$1:$IV$9</definedName>
    <definedName name="Print_Titles_MI_25">'[74]FF_2 _1_'!$A$1:$IV$9</definedName>
    <definedName name="Print_Titles_MI_26" localSheetId="1">'[73]FF_2 _1_'!$A$1:$IV$9</definedName>
    <definedName name="Print_Titles_MI_26">'[74]FF_2 _1_'!$A$1:$IV$9</definedName>
    <definedName name="Print_Titles_MI_27" localSheetId="1">'[73]FF_2 _1_'!$A$1:$IV$9</definedName>
    <definedName name="Print_Titles_MI_27">'[74]FF_2 _1_'!$A$1:$IV$9</definedName>
    <definedName name="Print_Titles_MI_28" localSheetId="1">'[73]FF_2 _1_'!$A$1:$IV$9</definedName>
    <definedName name="Print_Titles_MI_28">'[74]FF_2 _1_'!$A$1:$IV$9</definedName>
    <definedName name="Print_Titles_MI_29" localSheetId="1">'[73]FF_2 _1_'!$A$1:$IV$9</definedName>
    <definedName name="Print_Titles_MI_29">'[74]FF_2 _1_'!$A$1:$IV$9</definedName>
    <definedName name="Print_Titles_MI_3" localSheetId="1">'[77]FF_2 _1_'!$A$1:$IV$9</definedName>
    <definedName name="Print_Titles_MI_3">'[78]FF_2 _1_'!$A$1:$IV$9</definedName>
    <definedName name="Print_Titles_MI_30" localSheetId="1">'[73]FF_2 _1_'!$A$1:$IV$9</definedName>
    <definedName name="Print_Titles_MI_30">'[74]FF_2 _1_'!$A$1:$IV$9</definedName>
    <definedName name="Print_Titles_MI_31" localSheetId="1">'[73]FF_2 _1_'!$A$1:$IV$9</definedName>
    <definedName name="Print_Titles_MI_31">'[74]FF_2 _1_'!$A$1:$IV$9</definedName>
    <definedName name="Print_Titles_MI_32" localSheetId="1">'[73]FF_2 _1_'!$A$1:$IV$9</definedName>
    <definedName name="Print_Titles_MI_32">'[74]FF_2 _1_'!$A$1:$IV$9</definedName>
    <definedName name="Print_Titles_MI_34" localSheetId="1">'[73]FF_2 _1_'!$A$1:$IV$9</definedName>
    <definedName name="Print_Titles_MI_34">'[74]FF_2 _1_'!$A$1:$IV$9</definedName>
    <definedName name="Print_Titles_MI_36" localSheetId="1">'[73]FF_2 _1_'!$A$1:$IV$9</definedName>
    <definedName name="Print_Titles_MI_36">'[74]FF_2 _1_'!$A$1:$IV$9</definedName>
    <definedName name="Print_Titles_MI_37" localSheetId="1">'[73]FF_2 _1_'!$A$1:$IV$9</definedName>
    <definedName name="Print_Titles_MI_37">'[74]FF_2 _1_'!$A$1:$IV$9</definedName>
    <definedName name="Print_Titles_MI_37_1" localSheetId="1">'[73]FF_2 _1_'!$A$1:$IV$9</definedName>
    <definedName name="Print_Titles_MI_37_1">'[74]FF_2 _1_'!$A$1:$IV$9</definedName>
    <definedName name="Print_Titles_MI_39" localSheetId="1">'[73]FF_2 _1_'!$A$1:$IV$9</definedName>
    <definedName name="Print_Titles_MI_39">'[74]FF_2 _1_'!$A$1:$IV$9</definedName>
    <definedName name="Print_Titles_MI_4" localSheetId="1">'[73]FF_2 _1_'!$A$1:$IV$9</definedName>
    <definedName name="Print_Titles_MI_4">'[74]FF_2 _1_'!$A$1:$IV$9</definedName>
    <definedName name="Print_Titles_MI_5" localSheetId="1">'[73]FF_2 _1_'!$A$1:$IV$9</definedName>
    <definedName name="Print_Titles_MI_5">'[74]FF_2 _1_'!$A$1:$IV$9</definedName>
    <definedName name="Print_Titles_MI_7" localSheetId="1">'[75]FF_2 _1_'!$A$1:$IV$9</definedName>
    <definedName name="Print_Titles_MI_7">'[76]FF_2 _1_'!$A$1:$IV$9</definedName>
    <definedName name="Print_Titles_MI_72" localSheetId="1">'[75]FF_2 _1_'!$A$1:$IV$9</definedName>
    <definedName name="Print_Titles_MI_72">'[76]FF_2 _1_'!$A$1:$IV$9</definedName>
    <definedName name="Print_Titles_MI_79" localSheetId="1">'[73]FF_2 _1_'!$A$1:$IV$9</definedName>
    <definedName name="Print_Titles_MI_79">'[74]FF_2 _1_'!$A$1:$IV$9</definedName>
    <definedName name="Print_Titles_MI_8" localSheetId="1">'[73]FF_2 _1_'!$A$1:$IV$9</definedName>
    <definedName name="Print_Titles_MI_8">'[74]FF_2 _1_'!$A$1:$IV$9</definedName>
    <definedName name="PRINT1" localSheetId="1">#REF!</definedName>
    <definedName name="PRINT1">#REF!</definedName>
    <definedName name="Print2" localSheetId="1">#REF!</definedName>
    <definedName name="Print2">#REF!</definedName>
    <definedName name="Printacbal" localSheetId="1">[17]!Printacbal</definedName>
    <definedName name="Printacbal">[18]!Printacbal</definedName>
    <definedName name="PrintArea" localSheetId="1">#REF!</definedName>
    <definedName name="PrintArea">#REF!</definedName>
    <definedName name="Pro">"$#REF!.$BD$533"</definedName>
    <definedName name="Pro_72">"$#REF!.$BD$534"</definedName>
    <definedName name="proceed" localSheetId="1">#REF!</definedName>
    <definedName name="proceed">#REF!</definedName>
    <definedName name="Proceeds" localSheetId="1">#REF!</definedName>
    <definedName name="Proceeds">#REF!</definedName>
    <definedName name="Proceeds1" localSheetId="1">#REF!</definedName>
    <definedName name="Proceeds1">#REF!</definedName>
    <definedName name="product">#REF!</definedName>
    <definedName name="PROFESSIONAL">"$#REF!.$#REF!$#REF!"</definedName>
    <definedName name="PROFESSIONAL_49" localSheetId="1">#REF!</definedName>
    <definedName name="PROFESSIONAL_49">#REF!</definedName>
    <definedName name="PROFESSIONAL_65" localSheetId="1">#REF!</definedName>
    <definedName name="PROFESSIONAL_65">#REF!</definedName>
    <definedName name="PROFESSIONAL_72">"$#REF!.$#REF!$#REF!"</definedName>
    <definedName name="PROFIT">"$#REF!.$#REF!$#REF!"</definedName>
    <definedName name="PROFIT_49" localSheetId="1">#REF!</definedName>
    <definedName name="PROFIT_49">#REF!</definedName>
    <definedName name="PROFIT_65" localSheetId="1">#REF!</definedName>
    <definedName name="PROFIT_65">#REF!</definedName>
    <definedName name="PROFIT_72">"$#REF!.$#REF!$#REF!"</definedName>
    <definedName name="PROFIT_AND_LOSS" localSheetId="1">'[160]P&amp;L'!$A$1</definedName>
    <definedName name="PROFIT_AND_LOSS">'[161]P&amp;L'!$A$1</definedName>
    <definedName name="Profitloss" localSheetId="1">#REF!</definedName>
    <definedName name="Profitloss">#REF!</definedName>
    <definedName name="Prs22Mem">'[111]Tornado 2.2 Component List'!$M$21:$M$29</definedName>
    <definedName name="Prs47BU">'[111]Tornado 4.7 Component List'!$E$16:$E$19</definedName>
    <definedName name="Prs47LCD">'[111]Tornado 4.7 Component List'!$K$15:$K$17</definedName>
    <definedName name="Prs47Mem">'[111]Tornado 4.7 Component List'!$N$23:$N$31</definedName>
    <definedName name="Prs47OPD">'[111]Tornado 4.7 Component List'!$T$17:$T$21</definedName>
    <definedName name="Prs47OS">'[111]Tornado 4.7 Component List'!$AF$14:$AF$15</definedName>
    <definedName name="Prs47Wir3">'[111]Tornado 4.7 Component List'!$AC$15:$AC$17</definedName>
    <definedName name="Prs47Wty">'[111]Tornado 4.7 Component List'!$AO$14:$AO$15</definedName>
    <definedName name="Prs56BU2">'[112]Tornado 5.6 Component List'!$D$14:$D$15</definedName>
    <definedName name="Prs56FDD2">'[112]Tornado 5.6 Component List'!$V$13:$V$14</definedName>
    <definedName name="Prs56HDD">'[112]Tornado 5.6 Component List'!$P$18:$P$22</definedName>
    <definedName name="Prs56LCD">'[112]Tornado 5.6 Component List'!$J$16:$J$20</definedName>
    <definedName name="Prs56Mem">'[112]Tornado 5.6 Component List'!$M$20:$M$27</definedName>
    <definedName name="Prs56OPD">'[112]Tornado 5.6 Component List'!$S$16:$S$19</definedName>
    <definedName name="Prs56OS">'[112]Tornado 5.6 Component List'!$AE$14:$AE$15</definedName>
    <definedName name="Prs56Proc">'[112]Tornado 5.6 Component List'!$G$29:$G$34</definedName>
    <definedName name="Prs56Wir2">'[112]Tornado 5.6 Component List'!$AB$15:$AB$17</definedName>
    <definedName name="Prs56Wty">'[112]Tornado 5.6 Component List'!$AN$14:$AN$15</definedName>
    <definedName name="prytu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prytu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PS" localSheetId="1">#REF!</definedName>
    <definedName name="PS">#REF!</definedName>
    <definedName name="PULSEBURNER10">"$#REF!.$#REF!$#REF!"</definedName>
    <definedName name="PULSEBURNER10_49" localSheetId="1">#REF!</definedName>
    <definedName name="PULSEBURNER10_49">#REF!</definedName>
    <definedName name="PULSEBURNER10_65" localSheetId="1">#REF!</definedName>
    <definedName name="PULSEBURNER10_65">#REF!</definedName>
    <definedName name="PULSEBURNER10_72">"$#REF!.$#REF!$#REF!"</definedName>
    <definedName name="q" localSheetId="1">#REF!</definedName>
    <definedName name="q">#REF!</definedName>
    <definedName name="q35y5yu" localSheetId="1">#REF!</definedName>
    <definedName name="q35y5yu">#REF!</definedName>
    <definedName name="q3t3242t32" localSheetId="1">[17]!q3t3242t32</definedName>
    <definedName name="q3t3242t32">[18]!q3t3242t32</definedName>
    <definedName name="qdqwdcqe" localSheetId="1">#REF!</definedName>
    <definedName name="qdqwdcqe">#REF!</definedName>
    <definedName name="QEAddition" localSheetId="1">#REF!</definedName>
    <definedName name="QEAddition">#REF!</definedName>
    <definedName name="QEAddition1" localSheetId="1">#REF!</definedName>
    <definedName name="QEAddition1">#REF!</definedName>
    <definedName name="QEBF">#REF!</definedName>
    <definedName name="QEBF1">#REF!</definedName>
    <definedName name="QECF">#REF!</definedName>
    <definedName name="QECF1">#REF!</definedName>
    <definedName name="QEDisposal">#REF!</definedName>
    <definedName name="QEDisposal1">#REF!</definedName>
    <definedName name="qegewgwr">#REF!</definedName>
    <definedName name="qegqeg" localSheetId="1" hidden="1">{#N/A,#N/A,FALSE,"Sheet1"}</definedName>
    <definedName name="qegqeg" hidden="1">{#N/A,#N/A,FALSE,"Sheet1"}</definedName>
    <definedName name="qegwerwhreh" localSheetId="1">'[107]U2.2'!#REF!</definedName>
    <definedName name="qegwerwhreh">'[108]U2.2'!#REF!</definedName>
    <definedName name="qerdqedqw" localSheetId="1">#REF!</definedName>
    <definedName name="qerdqedqw">#REF!</definedName>
    <definedName name="qere" localSheetId="1" hidden="1">{#N/A,#N/A,FALSE,"Sheet1"}</definedName>
    <definedName name="qere" hidden="1">{#N/A,#N/A,FALSE,"Sheet1"}</definedName>
    <definedName name="qerqwerqwr" localSheetId="1">#REF!</definedName>
    <definedName name="qerqwerqwr">#REF!</definedName>
    <definedName name="qetfewgrw" localSheetId="1">#REF!</definedName>
    <definedName name="qetfewgrw">#REF!</definedName>
    <definedName name="QETWET" localSheetId="1">#REF!</definedName>
    <definedName name="QETWET">#REF!</definedName>
    <definedName name="qewfdeqwrfeqwr">#REF!</definedName>
    <definedName name="QEWFW">#REF!</definedName>
    <definedName name="qewwqeqw">#REF!</definedName>
    <definedName name="qffff" localSheetId="1">[17]!qffff</definedName>
    <definedName name="qffff">[18]!qffff</definedName>
    <definedName name="qgegqe" localSheetId="1">[17]!qgegqe</definedName>
    <definedName name="qgegqe">[18]!qgegqe</definedName>
    <definedName name="qgqege" localSheetId="1">[272]CBO0497!$A$1:$IV$11</definedName>
    <definedName name="qgqege">[273]CBO0497!$A$1:$IV$11</definedName>
    <definedName name="qgqegeg">"Reinhausen Asia-Pacific Sdn Bhd"</definedName>
    <definedName name="qhxd" localSheetId="1">#REF!</definedName>
    <definedName name="qhxd">#REF!</definedName>
    <definedName name="qq" localSheetId="1">[17]!qq</definedName>
    <definedName name="qq">[18]!qq</definedName>
    <definedName name="qqq" localSheetId="1" hidden="1">{#N/A,#N/A,FALSE,"Sheet1"}</definedName>
    <definedName name="qqq" hidden="1">{#N/A,#N/A,FALSE,"Sheet1"}</definedName>
    <definedName name="qqqq" localSheetId="1">#REF!</definedName>
    <definedName name="qqqq">#REF!</definedName>
    <definedName name="qqqqqq" localSheetId="1">#REF!</definedName>
    <definedName name="qqqqqq">#REF!</definedName>
    <definedName name="qregfe" localSheetId="1">#REF!</definedName>
    <definedName name="qregfe">#REF!</definedName>
    <definedName name="qreqefrew" localSheetId="1">'[107]U2.2'!#REF!</definedName>
    <definedName name="qreqefrew">'[108]U2.2'!#REF!</definedName>
    <definedName name="qrfqwfwq" localSheetId="1">[17]!qrfqwfwq</definedName>
    <definedName name="qrfqwfwq">[18]!qrfqwfwq</definedName>
    <definedName name="qrqfqe" localSheetId="1">#REF!</definedName>
    <definedName name="qrqfqe">#REF!</definedName>
    <definedName name="qrqfr12fr" localSheetId="1" hidden="1">{#N/A,#N/A,FALSE,"Sheet1"}</definedName>
    <definedName name="qrqfr12fr" hidden="1">{#N/A,#N/A,FALSE,"Sheet1"}</definedName>
    <definedName name="qrqrq" localSheetId="1">#REF!</definedName>
    <definedName name="qrqrq">#REF!</definedName>
    <definedName name="qrqwerqr" localSheetId="1">#REF!</definedName>
    <definedName name="qrqwerqr">#REF!</definedName>
    <definedName name="qrqwrqwr" localSheetId="1">#REF!</definedName>
    <definedName name="qrqwrqwr">#REF!</definedName>
    <definedName name="qrqwrqwrqw">#REF!</definedName>
    <definedName name="qrrqwf">#REF!</definedName>
    <definedName name="qrrrr" localSheetId="1" hidden="1">{#N/A,#N/A,TRUE,"M [OS-05]-00(1)"}</definedName>
    <definedName name="qrrrr" hidden="1">{#N/A,#N/A,TRUE,"M [OS-05]-00(1)"}</definedName>
    <definedName name="qrwqwf" localSheetId="1">#REF!</definedName>
    <definedName name="qrwqwf">#REF!</definedName>
    <definedName name="qtgwge" localSheetId="1">[17]!qtgwge</definedName>
    <definedName name="qtgwge">[18]!qtgwge</definedName>
    <definedName name="qtq3t321t31t" localSheetId="1" hidden="1">{#N/A,#N/A,FALSE,"Sheet1"}</definedName>
    <definedName name="qtq3t321t31t" hidden="1">{#N/A,#N/A,FALSE,"Sheet1"}</definedName>
    <definedName name="Qualifying_Cost" localSheetId="1">#REF!</definedName>
    <definedName name="Qualifying_Cost">#REF!</definedName>
    <definedName name="quote_date">#REF!</definedName>
    <definedName name="QUOTEHOME">'[368]Thai Summit PKK-HW'!#REF!</definedName>
    <definedName name="qw" localSheetId="1">#REF!</definedName>
    <definedName name="qw">#REF!</definedName>
    <definedName name="qwe" localSheetId="1">[17]!qwe</definedName>
    <definedName name="qwe">[18]!qwe</definedName>
    <definedName name="qwegfewgwr" localSheetId="1">#REF!</definedName>
    <definedName name="qwegfewgwr">#REF!</definedName>
    <definedName name="QWERQER" localSheetId="1">#REF!</definedName>
    <definedName name="QWERQER">#REF!</definedName>
    <definedName name="qwfwqf" localSheetId="1">[17]!qwfwqf</definedName>
    <definedName name="qwfwqf">[18]!qwfwqf</definedName>
    <definedName name="qwreqwedqwr" localSheetId="1">'[97]CA Sheet'!$Q$36</definedName>
    <definedName name="qwreqwedqwr">'[98]CA Sheet'!$Q$36</definedName>
    <definedName name="qwrfqwreqr" localSheetId="1">#REF!</definedName>
    <definedName name="qwrfqwreqr">#REF!</definedName>
    <definedName name="qwrq2r2" localSheetId="1">#REF!</definedName>
    <definedName name="qwrq2r2">#REF!</definedName>
    <definedName name="qwrqrqr" localSheetId="1">'[107]U2.2'!#REF!</definedName>
    <definedName name="qwrqrqr">'[108]U2.2'!#REF!</definedName>
    <definedName name="qwrqrqwr" localSheetId="1">'[107]U2.2'!#REF!</definedName>
    <definedName name="qwrqrqwr">'[108]U2.2'!#REF!</definedName>
    <definedName name="qwrqwqw" localSheetId="1">#REF!</definedName>
    <definedName name="qwrqwqw">#REF!</definedName>
    <definedName name="qwtqt" localSheetId="1">[17]!qwtqt</definedName>
    <definedName name="qwtqt">[18]!qwtqt</definedName>
    <definedName name="qww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ww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R_E_Additions" localSheetId="1">#REF!</definedName>
    <definedName name="R_E_Additions">#REF!</definedName>
    <definedName name="R_E_b_f" localSheetId="1">#REF!</definedName>
    <definedName name="R_E_b_f">#REF!</definedName>
    <definedName name="R_e_c_f" localSheetId="1">#REF!</definedName>
    <definedName name="R_e_c_f">#REF!</definedName>
    <definedName name="ramli">#REF!</definedName>
    <definedName name="ramli1">#REF!</definedName>
    <definedName name="ramli2">#REF!</definedName>
    <definedName name="ramli3">#REF!</definedName>
    <definedName name="ramli4">#REF!</definedName>
    <definedName name="ramli5">#REF!</definedName>
    <definedName name="ramli6">#REF!</definedName>
    <definedName name="ramli7">#REF!</definedName>
    <definedName name="range" localSheetId="1">[369]Sheet3!$A$1:$B$748</definedName>
    <definedName name="range">[370]Sheet3!$A$1:$B$748</definedName>
    <definedName name="Rate5" localSheetId="1">#REF!</definedName>
    <definedName name="Rate5">#REF!</definedName>
    <definedName name="RateAA" localSheetId="1">#REF!</definedName>
    <definedName name="RateAA">#REF!</definedName>
    <definedName name="RateAA1" localSheetId="1">#REF!</definedName>
    <definedName name="RateAA1">#REF!</definedName>
    <definedName name="RateIA">#REF!</definedName>
    <definedName name="RateIA1">#REF!</definedName>
    <definedName name="RatioP" localSheetId="1">[181]Weights!$B$3:$K$3</definedName>
    <definedName name="RatioP">[182]Weights!$B$3:$K$3</definedName>
    <definedName name="rdsff" localSheetId="1">#REF!</definedName>
    <definedName name="rdsff">#REF!</definedName>
    <definedName name="re" localSheetId="1">#REF!</definedName>
    <definedName name="re">#REF!</definedName>
    <definedName name="RE_Disposal" localSheetId="1">#REF!</definedName>
    <definedName name="RE_Disposal">#REF!</definedName>
    <definedName name="RE_tranferred_in">#REF!</definedName>
    <definedName name="RE_transferred_in">#REF!</definedName>
    <definedName name="rea">#REF!</definedName>
    <definedName name="REAddition">#REF!</definedName>
    <definedName name="REAddition1">#REF!</definedName>
    <definedName name="REBF">#REF!</definedName>
    <definedName name="REBF1">#REF!</definedName>
    <definedName name="RECF">#REF!</definedName>
    <definedName name="RECF1">#REF!</definedName>
    <definedName name="Recognition">#REF!</definedName>
    <definedName name="REDisposal">#REF!</definedName>
    <definedName name="REDisposal1">#REF!</definedName>
    <definedName name="ree">#REF!</definedName>
    <definedName name="REGERG">#REF!</definedName>
    <definedName name="regethtr">#REF!</definedName>
    <definedName name="regregre">#REF!</definedName>
    <definedName name="reheheht">#REF!</definedName>
    <definedName name="reherht">#REF!</definedName>
    <definedName name="rehethte">#REF!</definedName>
    <definedName name="ReimDatabase">[360]Reimbursements!$A$3:$N$42</definedName>
    <definedName name="ReimDatabase1" localSheetId="1">[361]Reimbursements!$A$3:$N$42</definedName>
    <definedName name="ReimDatabase1">[362]Reimbursements!$A$3:$N$42</definedName>
    <definedName name="REINVESTMENT">"$#REF!.$#REF!$#REF!"</definedName>
    <definedName name="REINVESTMENT_16" localSheetId="1">#REF!</definedName>
    <definedName name="REINVESTMENT_16">#REF!</definedName>
    <definedName name="REINVESTMENT_20" localSheetId="1">#REF!</definedName>
    <definedName name="REINVESTMENT_20">#REF!</definedName>
    <definedName name="REINVESTMENT_24" localSheetId="1">#REF!</definedName>
    <definedName name="REINVESTMENT_24">#REF!</definedName>
    <definedName name="REINVESTMENT_25">#REF!</definedName>
    <definedName name="REINVESTMENT_26">"$#REF!.$DH$897"</definedName>
    <definedName name="REINVESTMENT_26_72">"$#REF!.$DH$898"</definedName>
    <definedName name="REINVESTMENT_29" localSheetId="1">#REF!</definedName>
    <definedName name="REINVESTMENT_29">#REF!</definedName>
    <definedName name="REINVESTMENT_32" localSheetId="1">#REF!</definedName>
    <definedName name="REINVESTMENT_32">#REF!</definedName>
    <definedName name="REINVESTMENT_49" localSheetId="1">#REF!</definedName>
    <definedName name="REINVESTMENT_49">#REF!</definedName>
    <definedName name="REINVESTMENT_51">#REF!</definedName>
    <definedName name="REINVESTMENT_65">#REF!</definedName>
    <definedName name="REINVESTMENT_72">"$#REF!.$#REF!$#REF!"</definedName>
    <definedName name="REINVESTMENT_73" localSheetId="1">#REF!</definedName>
    <definedName name="REINVESTMENT_73">#REF!</definedName>
    <definedName name="RENOVATION2">"$#REF!.#REF!#REF!"</definedName>
    <definedName name="RENOVATION2_49" localSheetId="1">#REF!</definedName>
    <definedName name="RENOVATION2_49">#REF!</definedName>
    <definedName name="RENOVATION2_65" localSheetId="1">#REF!</definedName>
    <definedName name="RENOVATION2_65">#REF!</definedName>
    <definedName name="RENOVATION2_72">"$#REF!.#REF!#REF!"</definedName>
    <definedName name="Rent" localSheetId="1">#REF!</definedName>
    <definedName name="Rent">#REF!</definedName>
    <definedName name="Rental_expenses" localSheetId="1">#REF!</definedName>
    <definedName name="Rental_expenses">#REF!</definedName>
    <definedName name="Report" localSheetId="1">#REF!</definedName>
    <definedName name="Report">#REF!</definedName>
    <definedName name="REPORTDATE">#N/A</definedName>
    <definedName name="rerer" localSheetId="1">#REF!</definedName>
    <definedName name="rerer">#REF!</definedName>
    <definedName name="rert" localSheetId="1">#REF!</definedName>
    <definedName name="rert">#REF!</definedName>
    <definedName name="RestNote" localSheetId="1">#REF!</definedName>
    <definedName name="RestNote">#REF!</definedName>
    <definedName name="Restricted_Sales_proceeds">#REF!</definedName>
    <definedName name="ret">#REF!</definedName>
    <definedName name="ret4rt">#REF!</definedName>
    <definedName name="Retained_earning_div_income____current_year" localSheetId="1">[371]M!#REF!</definedName>
    <definedName name="Retained_earning_div_income____current_year">[372]M!#REF!</definedName>
    <definedName name="RETotal" localSheetId="1">#REF!</definedName>
    <definedName name="RETotal">#REF!</definedName>
    <definedName name="RETotal1" localSheetId="1">#REF!</definedName>
    <definedName name="RETotal1">#REF!</definedName>
    <definedName name="rett" localSheetId="1">#REF!</definedName>
    <definedName name="rett">#REF!</definedName>
    <definedName name="RevenueDBase">#REF!</definedName>
    <definedName name="RevRecogn">#REF!</definedName>
    <definedName name="rewhreher">#REF!</definedName>
    <definedName name="REWQRQ">#REF!</definedName>
    <definedName name="rfg">#REF!</definedName>
    <definedName name="rfgdfd">#REF!</definedName>
    <definedName name="rfgrgreg">#REF!</definedName>
    <definedName name="rfhteh">#REF!</definedName>
    <definedName name="rfrfgtgt">#REF!</definedName>
    <definedName name="rftjrtjrt">#REF!</definedName>
    <definedName name="rgegergeg">#REF!</definedName>
    <definedName name="rgerherh">#REF!</definedName>
    <definedName name="rggrege">#REF!</definedName>
    <definedName name="rggrgg">#REF!</definedName>
    <definedName name="rgregreg">#REF!</definedName>
    <definedName name="rgregrteg">#REF!</definedName>
    <definedName name="rgrere">#REF!</definedName>
    <definedName name="rgrg">#REF!</definedName>
    <definedName name="rgrgregrg">#REF!</definedName>
    <definedName name="rgrgrgr">#REF!</definedName>
    <definedName name="rgrtrgrtg">#REF!</definedName>
    <definedName name="RHRHRY">#REF!</definedName>
    <definedName name="Risk_Treatment">#REF!</definedName>
    <definedName name="rjejrj">#REF!</definedName>
    <definedName name="rjrjrtj">#REF!</definedName>
    <definedName name="rjrtjrtj">#REF!</definedName>
    <definedName name="rjrtjrtjr">#REF!</definedName>
    <definedName name="rjrwjrwy">#REF!</definedName>
    <definedName name="rjtrjr">#REF!</definedName>
    <definedName name="rjtrtjrjtj">#REF!</definedName>
    <definedName name="rjywjr">#REF!</definedName>
    <definedName name="rmYavg">#REF!</definedName>
    <definedName name="RNG">'[329]3월가격'!$A$1:$D$65536</definedName>
    <definedName name="ROP" localSheetId="1" hidden="1">{#N/A,#N/A,FALSE,"Sheet1"}</definedName>
    <definedName name="ROP" hidden="1">{#N/A,#N/A,FALSE,"Sheet1"}</definedName>
    <definedName name="ROT" localSheetId="1" hidden="1">{#N/A,#N/A,FALSE,"Sheet1"}</definedName>
    <definedName name="ROT" hidden="1">{#N/A,#N/A,FALSE,"Sheet1"}</definedName>
    <definedName name="RQ2RQE" localSheetId="1">#REF!</definedName>
    <definedName name="RQ2RQE">#REF!</definedName>
    <definedName name="rqf1fr" localSheetId="1" hidden="1">{#N/A,#N/A,FALSE,"Sheet1"}</definedName>
    <definedName name="rqf1fr" hidden="1">{#N/A,#N/A,FALSE,"Sheet1"}</definedName>
    <definedName name="RQRQ" localSheetId="1">#REF!</definedName>
    <definedName name="RQRQ">#REF!</definedName>
    <definedName name="rrr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rrr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rrrr" localSheetId="1">#REF!</definedName>
    <definedName name="rrrr">#REF!</definedName>
    <definedName name="rrrrrrrrrrrr" localSheetId="1">'[85]tax-ss'!$T$7:$T$37</definedName>
    <definedName name="rrrrrrrrrrrr">'[86]tax-ss'!$T$7:$T$37</definedName>
    <definedName name="rrrt\" localSheetId="1">#REF!</definedName>
    <definedName name="rrrt\">#REF!</definedName>
    <definedName name="rrtt" localSheetId="1">#REF!</definedName>
    <definedName name="rrtt">#REF!</definedName>
    <definedName name="rtert" localSheetId="1">#REF!</definedName>
    <definedName name="rtert">#REF!</definedName>
    <definedName name="rtfjrtjrt">#REF!</definedName>
    <definedName name="rthrthet">#REF!</definedName>
    <definedName name="rthtjrf">#REF!</definedName>
    <definedName name="rthtrhjt">#REF!</definedName>
    <definedName name="rtjetqhjq3">#REF!</definedName>
    <definedName name="rtjrjyj">#REF!</definedName>
    <definedName name="rtjrthjhet">#REF!</definedName>
    <definedName name="rtjrtje">#REF!</definedName>
    <definedName name="rtjrtjrtj">#REF!</definedName>
    <definedName name="rtret4">#REF!</definedName>
    <definedName name="rtrtrr">#REF!</definedName>
    <definedName name="rtrtrtrttyt">#REF!</definedName>
    <definedName name="rtrtt">#REF!</definedName>
    <definedName name="rttrytru">#REF!</definedName>
    <definedName name="RTYJUTKUY">#REF!</definedName>
    <definedName name="rtytt">#REF!</definedName>
    <definedName name="rumc">#REF!</definedName>
    <definedName name="RUT" localSheetId="1" hidden="1">{#N/A,#N/A,FALSE,"Sheet1"}</definedName>
    <definedName name="RUT" hidden="1">{#N/A,#N/A,FALSE,"Sheet1"}</definedName>
    <definedName name="rwjrywjtr" localSheetId="1">#REF!</definedName>
    <definedName name="rwjrywjtr">#REF!</definedName>
    <definedName name="rwr" localSheetId="1">#REF!</definedName>
    <definedName name="rwr">#REF!</definedName>
    <definedName name="ryhetteh" localSheetId="1" hidden="1">#REF!</definedName>
    <definedName name="ryhetteh" hidden="1">#REF!</definedName>
    <definedName name="ryjryjryj">#REF!</definedName>
    <definedName name="RYJYTJTY">#REF!</definedName>
    <definedName name="ryreyre">#REF!</definedName>
    <definedName name="S">#REF!</definedName>
    <definedName name="sa">#REF!</definedName>
    <definedName name="safafwq" localSheetId="1">[105]CA!$Q$112</definedName>
    <definedName name="safafwq">[106]CA!$Q$112</definedName>
    <definedName name="safeffe" localSheetId="1">[17]!safeffe</definedName>
    <definedName name="safeffe">[18]!safeffe</definedName>
    <definedName name="saft" localSheetId="1">#REF!</definedName>
    <definedName name="saft">#REF!</definedName>
    <definedName name="sagfadfvad" localSheetId="1">#REF!</definedName>
    <definedName name="sagfadfvad">#REF!</definedName>
    <definedName name="sagshrh" localSheetId="1">#REF!</definedName>
    <definedName name="sagshrh">#REF!</definedName>
    <definedName name="Sale">#REF!</definedName>
    <definedName name="SaleCyc">#REF!</definedName>
    <definedName name="Sales_Proceeds">#REF!</definedName>
    <definedName name="Sales_Samp01">#REF!</definedName>
    <definedName name="Sales_Samp02">#REF!</definedName>
    <definedName name="Sardine">#REF!</definedName>
    <definedName name="sas" localSheetId="1">'[95]0100'!$A$2:$A$2</definedName>
    <definedName name="sas">'[96]0100'!$A$2:$A$2</definedName>
    <definedName name="sasfqwdqw" localSheetId="1">#REF!</definedName>
    <definedName name="sasfqwdqw">#REF!</definedName>
    <definedName name="sc" localSheetId="1">'[85]tax-ss'!$L$7:$L$37</definedName>
    <definedName name="sc">'[86]tax-ss'!$L$7:$L$37</definedName>
    <definedName name="Scale" localSheetId="1">#REF!</definedName>
    <definedName name="Scale">#REF!</definedName>
    <definedName name="sch" localSheetId="1">#REF!</definedName>
    <definedName name="sch">#REF!</definedName>
    <definedName name="SchDebts" localSheetId="1">#REF!</definedName>
    <definedName name="SchDebts">#REF!</definedName>
    <definedName name="SchName">#REF!</definedName>
    <definedName name="SchRef">#REF!</definedName>
    <definedName name="SchRef1">#REF!</definedName>
    <definedName name="SchRefText">#REF!</definedName>
    <definedName name="SchRefText1">#REF!</definedName>
    <definedName name="sd">#REF!</definedName>
    <definedName name="sdfasgfa" localSheetId="1">[17]!sdfasgfa</definedName>
    <definedName name="sdfasgfa">[18]!sdfasgfa</definedName>
    <definedName name="sdfsdfse" localSheetId="1">#REF!</definedName>
    <definedName name="sdfsdfse">#REF!</definedName>
    <definedName name="sdfsfsa" localSheetId="1">#REF!</definedName>
    <definedName name="sdfsfsa">#REF!</definedName>
    <definedName name="sdgds" localSheetId="1">#REF!</definedName>
    <definedName name="sdgds">#REF!</definedName>
    <definedName name="sdgdsg">#REF!</definedName>
    <definedName name="sdgdsgds">#REF!</definedName>
    <definedName name="sdgdsgsd" localSheetId="1">'[107]U2.2'!#REF!</definedName>
    <definedName name="sdgdsgsd">'[108]U2.2'!#REF!</definedName>
    <definedName name="sdgesggewq" localSheetId="1">[17]!sdgesggewq</definedName>
    <definedName name="sdgesggewq">[18]!sdgesggewq</definedName>
    <definedName name="sdgre" localSheetId="1">#REF!</definedName>
    <definedName name="sdgre">#REF!</definedName>
    <definedName name="sdgrehteh" localSheetId="1">#REF!</definedName>
    <definedName name="sdgrehteh">#REF!</definedName>
    <definedName name="sdgsd" localSheetId="1">#REF!</definedName>
    <definedName name="sdgsd">#REF!</definedName>
    <definedName name="sdgsdfgfsdh">#REF!</definedName>
    <definedName name="sdgsdgsdg">#REF!</definedName>
    <definedName name="sdhshd" localSheetId="1" hidden="1">{#N/A,#N/A,FALSE,"Sheet1"}</definedName>
    <definedName name="sdhshd" hidden="1">{#N/A,#N/A,FALSE,"Sheet1"}</definedName>
    <definedName name="sdjhdfhjshf" localSheetId="1">#REF!</definedName>
    <definedName name="sdjhdfhjshf">#REF!</definedName>
    <definedName name="SDKFLKASDJF" localSheetId="1">#REF!</definedName>
    <definedName name="SDKFLKASDJF">#REF!</definedName>
    <definedName name="sds">'[165]11922'!#REF!</definedName>
    <definedName name="sdsds">"$#REF!.$A$1:$M$73"</definedName>
    <definedName name="sdsds_72">"$#REF!.$A$1:$M$74"</definedName>
    <definedName name="sectionA" localSheetId="1">#REF!</definedName>
    <definedName name="sectionA">#REF!</definedName>
    <definedName name="sectionAA" localSheetId="1">#REF!</definedName>
    <definedName name="sectionAA">#REF!</definedName>
    <definedName name="sectionB" localSheetId="1">#REF!</definedName>
    <definedName name="sectionB">#REF!</definedName>
    <definedName name="sectionBB">#REF!</definedName>
    <definedName name="sectionBB_3">#REF!</definedName>
    <definedName name="sectionC">#REF!</definedName>
    <definedName name="sectionC_1">#REF!</definedName>
    <definedName name="sectionCC">#REF!</definedName>
    <definedName name="sectionDD">#REF!</definedName>
    <definedName name="sectionL">#REF!</definedName>
    <definedName name="sectionM">#REF!</definedName>
    <definedName name="sectionMM">#REF!</definedName>
    <definedName name="sectionN">#REF!</definedName>
    <definedName name="sectionNN">#REF!</definedName>
    <definedName name="sectionU_2">#REF!</definedName>
    <definedName name="sectionU_3">#REF!</definedName>
    <definedName name="segtwewegt">#REF!</definedName>
    <definedName name="segweg">#REF!</definedName>
    <definedName name="Selected_control">#REF!</definedName>
    <definedName name="Sep">#REF!</definedName>
    <definedName name="Sept">#REF!</definedName>
    <definedName name="SERI_SELANGIN_SDN_BHD">#REF!</definedName>
    <definedName name="service">#REF!</definedName>
    <definedName name="services">#REF!</definedName>
    <definedName name="sesa" localSheetId="1" hidden="1">{#N/A,#N/A,FALSE,"Sheet1"}</definedName>
    <definedName name="sesa" hidden="1">{#N/A,#N/A,FALSE,"Sheet1"}</definedName>
    <definedName name="setgsr" localSheetId="1">#REF!</definedName>
    <definedName name="setgsr">#REF!</definedName>
    <definedName name="setwt" localSheetId="1">#REF!</definedName>
    <definedName name="setwt">#REF!</definedName>
    <definedName name="sevtionBB" localSheetId="1">#REF!</definedName>
    <definedName name="sevtionBB">#REF!</definedName>
    <definedName name="sfafed">#REF!</definedName>
    <definedName name="sfagea">#REF!</definedName>
    <definedName name="sfasf" localSheetId="1" hidden="1">{#N/A,#N/A,FALSE,"Sheet1"}</definedName>
    <definedName name="sfasf" hidden="1">{#N/A,#N/A,FALSE,"Sheet1"}</definedName>
    <definedName name="sfawfwqf" localSheetId="1">[17]!sfawfwqf</definedName>
    <definedName name="sfawfwqf">[18]!sfawfwqf</definedName>
    <definedName name="sfdsgfdsg" localSheetId="1">#REF!</definedName>
    <definedName name="sfdsgfdsg">#REF!</definedName>
    <definedName name="sfewf" localSheetId="1">#REF!</definedName>
    <definedName name="sfewf">#REF!</definedName>
    <definedName name="sffa" localSheetId="1">'[373]Gain Loss Calculation'!$X$3</definedName>
    <definedName name="sffa">'[374]Gain Loss Calculation'!$X$3</definedName>
    <definedName name="sfgethetye" localSheetId="1">#REF!</definedName>
    <definedName name="sfgethetye">#REF!</definedName>
    <definedName name="SFgf" localSheetId="1">[123]B!$B$3</definedName>
    <definedName name="SFgf">[124]B!$B$3</definedName>
    <definedName name="sfgfdh" localSheetId="1">#REF!</definedName>
    <definedName name="sfgfdh">#REF!</definedName>
    <definedName name="sfgrg" localSheetId="1">#REF!</definedName>
    <definedName name="sfgrg">#REF!</definedName>
    <definedName name="sfqafqegf" localSheetId="1">#REF!</definedName>
    <definedName name="sfqafqegf">#REF!</definedName>
    <definedName name="sfsegergs">#REF!</definedName>
    <definedName name="sg" localSheetId="1">[17]!sg</definedName>
    <definedName name="sg">[18]!sg</definedName>
    <definedName name="sgddshs" localSheetId="1">#REF!</definedName>
    <definedName name="sgddshs">#REF!</definedName>
    <definedName name="sgdgds" localSheetId="1">#REF!</definedName>
    <definedName name="sgdgds">#REF!</definedName>
    <definedName name="sgdgshhdf" localSheetId="1">#REF!</definedName>
    <definedName name="sgdgshhdf">#REF!</definedName>
    <definedName name="sgdsdfgdfg">#REF!</definedName>
    <definedName name="sgdsgd">#REF!</definedName>
    <definedName name="sgdsgs">#REF!</definedName>
    <definedName name="sgdshr">#REF!</definedName>
    <definedName name="sgegg">#REF!</definedName>
    <definedName name="sgegqeg" localSheetId="1">[17]!sgegqeg</definedName>
    <definedName name="sgegqeg">[18]!sgegqeg</definedName>
    <definedName name="sgfgfdhf" localSheetId="1">#REF!</definedName>
    <definedName name="sgfgfdhf">#REF!</definedName>
    <definedName name="sgfsdgsd" localSheetId="1">'[107]U2.2'!#REF!</definedName>
    <definedName name="sgfsdgsd">'[108]U2.2'!#REF!</definedName>
    <definedName name="sghghsdfh" localSheetId="1">#REF!</definedName>
    <definedName name="sghghsdfh">#REF!</definedName>
    <definedName name="sgsdfgsr" localSheetId="1">#REF!</definedName>
    <definedName name="sgsdfgsr">#REF!</definedName>
    <definedName name="sgsdgsr" localSheetId="1">#REF!</definedName>
    <definedName name="sgsdgsr">#REF!</definedName>
    <definedName name="sgsfds">#REF!</definedName>
    <definedName name="sgsg">#REF!</definedName>
    <definedName name="sgsgs">#REF!</definedName>
    <definedName name="sgsgsg">#REF!</definedName>
    <definedName name="sgshhrsh">#REF!</definedName>
    <definedName name="sgsr">#REF!</definedName>
    <definedName name="sgswre" hidden="1">#REF!</definedName>
    <definedName name="sgtwqegt">#REF!</definedName>
    <definedName name="sgwesgweh" localSheetId="1">[17]!sgwesgweh</definedName>
    <definedName name="sgwesgweh">[18]!sgwesgweh</definedName>
    <definedName name="sgwsegwr" localSheetId="1">[17]!sgwsegwr</definedName>
    <definedName name="sgwsegwr">[18]!sgwsegwr</definedName>
    <definedName name="SHARED_FORMULA_11_1_11_1_1" localSheetId="1">#REF!</definedName>
    <definedName name="SHARED_FORMULA_11_1_11_1_1">#REF!</definedName>
    <definedName name="SHARED_FORMULA_11_101_11_101_1" localSheetId="1">#REF!</definedName>
    <definedName name="SHARED_FORMULA_11_101_11_101_1">#REF!</definedName>
    <definedName name="SHARED_FORMULA_11_112_11_112_1" localSheetId="1">#REF!</definedName>
    <definedName name="SHARED_FORMULA_11_112_11_112_1">#REF!</definedName>
    <definedName name="SHARED_FORMULA_11_117_11_117_1">#REF!</definedName>
    <definedName name="SHARED_FORMULA_11_142_11_142_1">#REF!</definedName>
    <definedName name="SHARED_FORMULA_11_159_11_159_1">#REF!</definedName>
    <definedName name="SHARED_FORMULA_11_22_11_22_1">#REF!</definedName>
    <definedName name="SHARED_FORMULA_11_7_11_7_1">#REF!</definedName>
    <definedName name="SHARED_FORMULA_11_76_11_76_1">#REF!</definedName>
    <definedName name="SHARED_FORMULA_11_83_11_83_1">#REF!</definedName>
    <definedName name="SHARED_FORMULA_11_97_11_97_1">#REF!</definedName>
    <definedName name="SHARED_FORMULA_12_10_12_10_1">#REF!</definedName>
    <definedName name="SHARED_FORMULA_12_101_12_101_1">#REF!</definedName>
    <definedName name="SHARED_FORMULA_12_117_12_117_1">#REF!</definedName>
    <definedName name="SHARED_FORMULA_12_142_12_142_1">#REF!</definedName>
    <definedName name="SHARED_FORMULA_12_166_12_166_1">#REF!</definedName>
    <definedName name="SHARED_FORMULA_12_22_12_22_1">#REF!</definedName>
    <definedName name="SHARED_FORMULA_12_83_12_83_1">#REF!</definedName>
    <definedName name="SHARED_FORMULA_19_6_19_6_11">#REF!</definedName>
    <definedName name="SHARED_FORMULA_25_3_25_3_12">#REF!</definedName>
    <definedName name="SHARED_FORMULA_26_24_26_24_10">#REF!</definedName>
    <definedName name="SHARED_FORMULA_26_37_26_37_10">#REF!</definedName>
    <definedName name="SHARED_FORMULA_26_54_26_54_10">#REF!</definedName>
    <definedName name="SHARED_FORMULA_26_62_26_62_10">#REF!</definedName>
    <definedName name="SHARED_FORMULA_26_66_26_66_10">#REF!</definedName>
    <definedName name="SHARED_FORMULA_26_7_26_7_10">#REF!</definedName>
    <definedName name="SHARED_FORMULA_26_71_26_71_10">#REF!</definedName>
    <definedName name="SHARED_FORMULA_27_24_27_24_10">#REF!</definedName>
    <definedName name="SHARED_FORMULA_27_37_27_37_10">#REF!</definedName>
    <definedName name="SHARED_FORMULA_27_7_27_7_10">#REF!</definedName>
    <definedName name="SHARED_FORMULA_4_100_4_100_0">#REF!</definedName>
    <definedName name="SHARED_FORMULA_4_25_4_25_0">#REF!</definedName>
    <definedName name="SHARED_FORMULA_4_42_4_42_0">#REF!</definedName>
    <definedName name="SHARED_FORMULA_4_73_4_73_0">#REF!</definedName>
    <definedName name="SHARED_FORMULA_4_89_4_89_0">#REF!</definedName>
    <definedName name="SHARED_FORMULA_5_1_5_1_4">#REF!</definedName>
    <definedName name="SHARED_FORMULA_5_33_5_33_4">#REF!</definedName>
    <definedName name="SHARED_FORMULA_5_65_5_65_4">#REF!</definedName>
    <definedName name="SHARED_FORMULA_5_97_5_97_4">#REF!</definedName>
    <definedName name="Sheet2_Query">#REF!</definedName>
    <definedName name="SheLett">#REF!</definedName>
    <definedName name="shfdhdhd">#REF!</definedName>
    <definedName name="shfhdfh">#REF!</definedName>
    <definedName name="shfsh">#REF!</definedName>
    <definedName name="shhre">#REF!</definedName>
    <definedName name="shshdrh">#REF!</definedName>
    <definedName name="shshresh">#REF!</definedName>
    <definedName name="shshsrh">#REF!</definedName>
    <definedName name="shwshrwhrewh" localSheetId="1">[17]!shwshrwhrewh</definedName>
    <definedName name="shwshrwhrewh">[18]!shwshrwhrewh</definedName>
    <definedName name="shyrsrherh" localSheetId="1">#REF!</definedName>
    <definedName name="shyrsrherh">#REF!</definedName>
    <definedName name="sjas" localSheetId="1">#REF!</definedName>
    <definedName name="sjas">#REF!</definedName>
    <definedName name="sp" localSheetId="1">[375]Rates!$C$12</definedName>
    <definedName name="sp">[376]Rates!$C$12</definedName>
    <definedName name="Spec" localSheetId="1">'[377]P&amp;L'!#REF!</definedName>
    <definedName name="Spec">'[378]P&amp;L'!#REF!</definedName>
    <definedName name="sq" localSheetId="1">'[95]0100'!$I$2:$I$2</definedName>
    <definedName name="sq">'[96]0100'!$I$2:$I$2</definedName>
    <definedName name="SQL_2000_CAL_NL_L">'[49]MOLP C'!#REF!</definedName>
    <definedName name="SQL_2000_SVR_NL_L">'[49]MOLP C'!#REF!</definedName>
    <definedName name="srgetgwe" localSheetId="1">#REF!</definedName>
    <definedName name="srgetgwe">#REF!</definedName>
    <definedName name="SS" localSheetId="1">#REF!</definedName>
    <definedName name="SS">#REF!</definedName>
    <definedName name="SSC">[129]details!$C$106</definedName>
    <definedName name="ssfdhdsfh" localSheetId="1">#REF!</definedName>
    <definedName name="ssfdhdsfh">#REF!</definedName>
    <definedName name="ssgrfgsrdh" localSheetId="1">#REF!</definedName>
    <definedName name="ssgrfgsrdh">#REF!</definedName>
    <definedName name="sss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ss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sss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sss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sssss" localSheetId="1">#REF!</definedName>
    <definedName name="ssssss">#REF!</definedName>
    <definedName name="staetet" localSheetId="1">#REF!</definedName>
    <definedName name="staetet">#REF!</definedName>
    <definedName name="StartBP" localSheetId="1">#REF!</definedName>
    <definedName name="StartBP">#REF!</definedName>
    <definedName name="STATACC">#REF!</definedName>
    <definedName name="status2">#REF!</definedName>
    <definedName name="SUBSCRIPTION">"$#REF!.$BD$548"</definedName>
    <definedName name="SUBSCRIPTION_72">"$#REF!.$BD$549"</definedName>
    <definedName name="suc" localSheetId="1">'[85]tax-ss'!$I$7:$I$37</definedName>
    <definedName name="suc">'[86]tax-ss'!$I$7:$I$37</definedName>
    <definedName name="sucx" localSheetId="1">'[85]tax-ss'!$C$7:$C$37</definedName>
    <definedName name="sucx">'[86]tax-ss'!$C$7:$C$37</definedName>
    <definedName name="Summary" localSheetId="1">#REF!</definedName>
    <definedName name="Summary">#REF!</definedName>
    <definedName name="SundryReceipts" localSheetId="1">#REF!</definedName>
    <definedName name="SundryReceipts">#REF!</definedName>
    <definedName name="svavvvbw" localSheetId="1">[17]!svavvvbw</definedName>
    <definedName name="svavvvbw">[18]!svavvvbw</definedName>
    <definedName name="SW" localSheetId="1">#REF!</definedName>
    <definedName name="SW">#REF!</definedName>
    <definedName name="swfewq" localSheetId="1">#REF!</definedName>
    <definedName name="swfewq">#REF!</definedName>
    <definedName name="syt" localSheetId="1">#REF!</definedName>
    <definedName name="syt">#REF!</definedName>
    <definedName name="t" localSheetId="1">[75]B!$C$7</definedName>
    <definedName name="t">[76]B!$C$7</definedName>
    <definedName name="t2g42" localSheetId="1" hidden="1">{#N/A,#N/A,FALSE,"Sheet1"}</definedName>
    <definedName name="t2g42" hidden="1">{#N/A,#N/A,FALSE,"Sheet1"}</definedName>
    <definedName name="t2gg43g" localSheetId="1">[17]!t2gg43g</definedName>
    <definedName name="t2gg43g">[18]!t2gg43g</definedName>
    <definedName name="TA" localSheetId="1">'[192]IBA &lt;O3&gt;'!$R$31</definedName>
    <definedName name="TA">'[193]IBA &lt;O3&gt;'!$R$31</definedName>
    <definedName name="TABadj" localSheetId="1">#REF!</definedName>
    <definedName name="TABadj">#REF!</definedName>
    <definedName name="TABbs" localSheetId="1">#REF!</definedName>
    <definedName name="TABbs">#REF!</definedName>
    <definedName name="TABLE_2_3">"$'เครื่องใช้สนง_01'.$#REF!$#REF!:$#REF!$#REF!"</definedName>
    <definedName name="TABLE_2_4">NA()</definedName>
    <definedName name="TABLE_2_5">"$#REF!.$O$48:$O$48"</definedName>
    <definedName name="TABLE_3">"$'เครื่องใช้สนง_01'.$#REF!$#REF!:$#REF!$#REF!"</definedName>
    <definedName name="TABLE_3_3">"$'เครื่องใช้สนง_01'.$#REF!$#REF!:$#REF!$#REF!"</definedName>
    <definedName name="TABLE_3_4">NA()</definedName>
    <definedName name="TABLE_3_5">"$#REF!.$O$48:$O$48"</definedName>
    <definedName name="TABLE_4">NA()</definedName>
    <definedName name="TABLE_4_3">NA()</definedName>
    <definedName name="TABLE_5">"$#REF!.$O$48:$O$48"</definedName>
    <definedName name="TABLE_5_3">NA()</definedName>
    <definedName name="TABLE_6_3">NA()</definedName>
    <definedName name="TABLE2">[379]B!$A$1:$I$74</definedName>
    <definedName name="TABpl" localSheetId="1">#REF!</definedName>
    <definedName name="TABpl">#REF!</definedName>
    <definedName name="TAX">"$#REF!.$#REF!$#REF!"</definedName>
    <definedName name="TAX_49" localSheetId="1">#REF!</definedName>
    <definedName name="TAX_49">#REF!</definedName>
    <definedName name="TAX_65" localSheetId="1">#REF!</definedName>
    <definedName name="TAX_65">#REF!</definedName>
    <definedName name="TAX_72">"$#REF!.$#REF!$#REF!"</definedName>
    <definedName name="TaxRef" localSheetId="1">#REF!</definedName>
    <definedName name="TaxRef">#REF!</definedName>
    <definedName name="TB" localSheetId="1">'[192]IBA &lt;O3&gt;'!$O$31</definedName>
    <definedName name="TB">'[193]IBA &lt;O3&gt;'!$O$31</definedName>
    <definedName name="TB_Manual_JEs" localSheetId="1">#REF!</definedName>
    <definedName name="TB_Manual_JEs">#REF!</definedName>
    <definedName name="te" localSheetId="1">#REF!</definedName>
    <definedName name="te">#REF!</definedName>
    <definedName name="TEHTRHTR" localSheetId="1">#REF!</definedName>
    <definedName name="TEHTRHTR">#REF!</definedName>
    <definedName name="TEIKEI">#REF!</definedName>
    <definedName name="tejnyrjytkt">#REF!</definedName>
    <definedName name="Terhutang_kepada_sykt._berkaitan">#REF!</definedName>
    <definedName name="test" localSheetId="1">'[380]Gain Loss Calculation'!$L$3</definedName>
    <definedName name="test">'[381]Gain Loss Calculation'!$L$3</definedName>
    <definedName name="test1" localSheetId="1">'[380]Gain Loss Calculation'!#REF!</definedName>
    <definedName name="test1">'[381]Gain Loss Calculation'!#REF!</definedName>
    <definedName name="test2" localSheetId="1">'[380]Gain Loss Calculation'!$AJ$3</definedName>
    <definedName name="test2">'[381]Gain Loss Calculation'!$AJ$3</definedName>
    <definedName name="test3" localSheetId="1">'[380]Gain Loss Calculation'!$BR$3</definedName>
    <definedName name="test3">'[381]Gain Loss Calculation'!$BR$3</definedName>
    <definedName name="test4" localSheetId="1">#REF!</definedName>
    <definedName name="test4">#REF!</definedName>
    <definedName name="Testราคาต่อหน่วย_FG" localSheetId="1">#REF!</definedName>
    <definedName name="Testราคาต่อหน่วย_FG">#REF!</definedName>
    <definedName name="Text" localSheetId="1">[382]N!#REF!</definedName>
    <definedName name="Text">[383]N!#REF!</definedName>
    <definedName name="tfyhtrh" localSheetId="1">#REF!</definedName>
    <definedName name="tfyhtrh">#REF!</definedName>
    <definedName name="tgtger" localSheetId="1">#REF!</definedName>
    <definedName name="tgtger">#REF!</definedName>
    <definedName name="tgtgtg" localSheetId="1">#REF!</definedName>
    <definedName name="tgtgtg">#REF!</definedName>
    <definedName name="tgth">#REF!</definedName>
    <definedName name="tgtht">#REF!</definedName>
    <definedName name="th">#REF!</definedName>
    <definedName name="THETHEQ">#REF!</definedName>
    <definedName name="thhy">#REF!</definedName>
    <definedName name="thhyy">#REF!</definedName>
    <definedName name="this" localSheetId="1">'[348]Entity Data'!$G$8</definedName>
    <definedName name="this">'[349]Entity Data'!$G$8</definedName>
    <definedName name="thjryjhrt" localSheetId="1">#REF!</definedName>
    <definedName name="thjryjhrt">#REF!</definedName>
    <definedName name="THM" localSheetId="1">[332]FSA!$A$1</definedName>
    <definedName name="THM">[333]FSA!$A$1</definedName>
    <definedName name="thnrjyrj" localSheetId="1">#REF!</definedName>
    <definedName name="thnrjyrj">#REF!</definedName>
    <definedName name="thrdgsgs" localSheetId="1">#REF!</definedName>
    <definedName name="thrdgsgs">#REF!</definedName>
    <definedName name="thtrhrt" localSheetId="1">#REF!</definedName>
    <definedName name="thtrhrt">#REF!</definedName>
    <definedName name="thtrhth">#REF!</definedName>
    <definedName name="thtted">#REF!</definedName>
    <definedName name="Time" localSheetId="1">[384]Sheet2!$A$4:$E$16</definedName>
    <definedName name="Time">[385]Sheet2!$A$4:$E$16</definedName>
    <definedName name="tit" localSheetId="1">'[386]5 Analysis'!#REF!</definedName>
    <definedName name="tit">'[386]5 Analysis'!#REF!</definedName>
    <definedName name="Titl" localSheetId="1">'[387]5 Analysis'!#REF!</definedName>
    <definedName name="Titl">'[388]5 Analysis'!#REF!</definedName>
    <definedName name="Title" localSheetId="1">#REF!</definedName>
    <definedName name="Title">#REF!</definedName>
    <definedName name="Title1" localSheetId="1">#REF!</definedName>
    <definedName name="Title1">#REF!</definedName>
    <definedName name="tjfjrt" localSheetId="1">#REF!</definedName>
    <definedName name="tjfjrt">#REF!</definedName>
    <definedName name="tjrjyjryj">#REF!</definedName>
    <definedName name="tjryjyrj">#REF!</definedName>
    <definedName name="tjtrhjrt">#REF!</definedName>
    <definedName name="tjtrjrt">#REF!</definedName>
    <definedName name="tjtrjtrh">#REF!</definedName>
    <definedName name="tjykjtk">#REF!</definedName>
    <definedName name="tkreeqwrtrjte">#REF!</definedName>
    <definedName name="tktektw">#REF!</definedName>
    <definedName name="tktykje">#REF!</definedName>
    <definedName name="tkykws">#REF!</definedName>
    <definedName name="tmtmtym">#REF!</definedName>
    <definedName name="to">#REF!</definedName>
    <definedName name="toltkot5ikt67">#REF!</definedName>
    <definedName name="tong">"'file://Mindy//Jhb2_gen_mal_3/AabsData/DATA/Bee Sing/KIL334/YE00/Ideal Reno/awpIR.xls'#$FF_4.$#REF!$#REF!"</definedName>
    <definedName name="tong_49" localSheetId="1">[58]FF_4!#REF!</definedName>
    <definedName name="tong_49">[59]FF_4!#REF!</definedName>
    <definedName name="tong_65" localSheetId="1">[58]FF_4!#REF!</definedName>
    <definedName name="tong_65">[59]FF_4!#REF!</definedName>
    <definedName name="tong_72">"'file://Mindy//Jhb2_gen_mal_3/AabsData/DATA/Bee Sing/KIL334/YE00/Ideal Reno/awpIR.xls'#$FF_4.$#REF!$#REF!"</definedName>
    <definedName name="tong1">"'file://Mindy//Jhb2_gen_mal_3/AabsData/DATA/Bee Sing/KIL334/YE00/Ideal Reno/awpIR.xls'#$FF_4.$#REF!$#REF!"</definedName>
    <definedName name="tong1_49" localSheetId="1">[58]FF_4!#REF!</definedName>
    <definedName name="tong1_49">[59]FF_4!#REF!</definedName>
    <definedName name="tong1_65" localSheetId="1">[58]FF_4!#REF!</definedName>
    <definedName name="tong1_65">[59]FF_4!#REF!</definedName>
    <definedName name="tong1_72">"'file://Mindy//Jhb2_gen_mal_3/AabsData/DATA/Bee Sing/KIL334/YE00/Ideal Reno/awpIR.xls'#$FF_4.$#REF!$#REF!"</definedName>
    <definedName name="TOOLS14">"$#REF!.#REF!$#REF!"</definedName>
    <definedName name="TOOLS14_49" localSheetId="1">#REF!</definedName>
    <definedName name="TOOLS14_49">#REF!</definedName>
    <definedName name="TOOLS14_65" localSheetId="1">#REF!</definedName>
    <definedName name="TOOLS14_65">#REF!</definedName>
    <definedName name="TOOLS14_72">"$#REF!.#REF!$#REF!"</definedName>
    <definedName name="TOP" localSheetId="1">#REF!</definedName>
    <definedName name="TOP">#REF!</definedName>
    <definedName name="TOT" localSheetId="1">#REF!</definedName>
    <definedName name="TOT">#REF!</definedName>
    <definedName name="tota" localSheetId="1">'[389]FF-2'!#REF!</definedName>
    <definedName name="tota">'[390]FF-2'!#REF!</definedName>
    <definedName name="total" localSheetId="1">#REF!</definedName>
    <definedName name="total">#REF!</definedName>
    <definedName name="TotalCA" localSheetId="1">'[190]G-35-3'!#REF!</definedName>
    <definedName name="TotalCA">'[191]G-35-3'!#REF!</definedName>
    <definedName name="TotalIBA" localSheetId="1">#REF!</definedName>
    <definedName name="TotalIBA">#REF!</definedName>
    <definedName name="TOTALS" localSheetId="1">#REF!</definedName>
    <definedName name="TOTALS">#REF!</definedName>
    <definedName name="TPM" localSheetId="1" hidden="1">{#N/A,#N/A,FALSE,"Sheet1"}</definedName>
    <definedName name="TPM" hidden="1">{#N/A,#N/A,FALSE,"Sheet1"}</definedName>
    <definedName name="Trade_Debtors_Breakdown" localSheetId="1">[160]TBal!$A$3</definedName>
    <definedName name="Trade_Debtors_Breakdown">[161]TBal!$A$3</definedName>
    <definedName name="TRF" localSheetId="1">'[391]1120'!$D$15:$D$67</definedName>
    <definedName name="TRF">'[392]1120'!$D$15:$D$67</definedName>
    <definedName name="trhtrh" localSheetId="1">#REF!</definedName>
    <definedName name="trhtrh">#REF!</definedName>
    <definedName name="trhtrht" localSheetId="1">#REF!</definedName>
    <definedName name="trhtrht">#REF!</definedName>
    <definedName name="trhtrhtr" localSheetId="1">#REF!</definedName>
    <definedName name="trhtrhtr">#REF!</definedName>
    <definedName name="Trial_balance" localSheetId="1">[160]TBal!$M$162</definedName>
    <definedName name="Trial_balance">[161]TBal!$M$162</definedName>
    <definedName name="trialbal1" localSheetId="1">[113]gl!#REF!</definedName>
    <definedName name="trialbal1">[114]gl!#REF!</definedName>
    <definedName name="trjjmyrjy" localSheetId="1">#REF!</definedName>
    <definedName name="trjjmyrjy">#REF!</definedName>
    <definedName name="trjrjytjmy" localSheetId="1">#REF!</definedName>
    <definedName name="trjrjytjmy">#REF!</definedName>
    <definedName name="trjtrj" localSheetId="1">#REF!</definedName>
    <definedName name="trjtrj">#REF!</definedName>
    <definedName name="trjtrjr">#REF!</definedName>
    <definedName name="trruhtjy6j">#REF!</definedName>
    <definedName name="trt">#REF!</definedName>
    <definedName name="trtg">#REF!</definedName>
    <definedName name="trtjyjyu">#REF!</definedName>
    <definedName name="trtr">#REF!</definedName>
    <definedName name="trtt">#REF!</definedName>
    <definedName name="tryj">#REF!</definedName>
    <definedName name="tsrdf">#REF!</definedName>
    <definedName name="tt">#REF!</definedName>
    <definedName name="ttg">#REF!</definedName>
    <definedName name="ttgregfr">#REF!</definedName>
    <definedName name="tthtth">#REF!</definedName>
    <definedName name="ttl">#REF!</definedName>
    <definedName name="ttrhwr">#REF!</definedName>
    <definedName name="ttrtr">#REF!</definedName>
    <definedName name="tts">#REF!</definedName>
    <definedName name="ttt">#REF!</definedName>
    <definedName name="tttr">#REF!</definedName>
    <definedName name="tukk">#REF!</definedName>
    <definedName name="tukrajrwa">#REF!</definedName>
    <definedName name="twetwrty">#REF!</definedName>
    <definedName name="twgg4" localSheetId="1">[17]!twgg4</definedName>
    <definedName name="twgg4">[18]!twgg4</definedName>
    <definedName name="twwetwy" localSheetId="1">#REF!</definedName>
    <definedName name="twwetwy">#REF!</definedName>
    <definedName name="tyjkjte" localSheetId="1">#REF!</definedName>
    <definedName name="tyjkjte">#REF!</definedName>
    <definedName name="TYJTYJ" localSheetId="1">#REF!</definedName>
    <definedName name="TYJTYJ">#REF!</definedName>
    <definedName name="TYKJYRWJ">#REF!</definedName>
    <definedName name="tyktykty">#REF!</definedName>
    <definedName name="TYPE">#REF!</definedName>
    <definedName name="Type3">#REF!</definedName>
    <definedName name="tyu">#REF!</definedName>
    <definedName name="tyy">#REF!</definedName>
    <definedName name="tyy435h">#REF!</definedName>
    <definedName name="tyyjhjh">#REF!</definedName>
    <definedName name="U" localSheetId="1">'[338]CA Sheet'!$A$7:$A$27</definedName>
    <definedName name="U">'[339]CA Sheet'!$A$7:$A$27</definedName>
    <definedName name="U_01" localSheetId="1">#REF!</definedName>
    <definedName name="U_01">#REF!</definedName>
    <definedName name="U_01lead" localSheetId="1">#REF!</definedName>
    <definedName name="U_01lead">#REF!</definedName>
    <definedName name="U_02" localSheetId="1">#REF!</definedName>
    <definedName name="U_02">#REF!</definedName>
    <definedName name="U_04">#REF!</definedName>
    <definedName name="U_1">#REF!</definedName>
    <definedName name="U_1Dis">#REF!</definedName>
    <definedName name="U_20">#REF!</definedName>
    <definedName name="U_2a" localSheetId="1">'[13]U-2'!$A$1:$J$59</definedName>
    <definedName name="U_2a">'[14]U-2'!$A$1:$J$59</definedName>
    <definedName name="U_2b" localSheetId="1">'[13]U-2'!$A$1:$J$71</definedName>
    <definedName name="U_2b">'[14]U-2'!$A$1:$J$71</definedName>
    <definedName name="U_40" localSheetId="1">#REF!</definedName>
    <definedName name="U_40">#REF!</definedName>
    <definedName name="u45y35" localSheetId="1">#REF!</definedName>
    <definedName name="u45y35">#REF!</definedName>
    <definedName name="u46u65" localSheetId="1">#REF!</definedName>
    <definedName name="u46u65">#REF!</definedName>
    <definedName name="u66j6">#REF!</definedName>
    <definedName name="ua">#REF!</definedName>
    <definedName name="uas">#REF!</definedName>
    <definedName name="ugop" localSheetId="1">[17]!ugop</definedName>
    <definedName name="ugop">[18]!ugop</definedName>
    <definedName name="uj" localSheetId="1">[75]FSA!$A$1</definedName>
    <definedName name="uj">[76]FSA!$A$1</definedName>
    <definedName name="ukkk" localSheetId="1">#REF!</definedName>
    <definedName name="ukkk">#REF!</definedName>
    <definedName name="ukru4" localSheetId="1">#REF!</definedName>
    <definedName name="ukru4">#REF!</definedName>
    <definedName name="uktujrywj" localSheetId="1">#REF!</definedName>
    <definedName name="uktujrywj">#REF!</definedName>
    <definedName name="Upkeep">#REF!</definedName>
    <definedName name="usdYavg">#REF!</definedName>
    <definedName name="utituit">#REF!</definedName>
    <definedName name="ux" localSheetId="1">'[85]tax-ss'!$G$7:$G$37</definedName>
    <definedName name="ux">'[86]tax-ss'!$G$7:$G$37</definedName>
    <definedName name="V" localSheetId="1" hidden="1">{#N/A,#N/A,FALSE,"Sheet1"}</definedName>
    <definedName name="V" hidden="1">{#N/A,#N/A,FALSE,"Sheet1"}</definedName>
    <definedName name="va" localSheetId="1">#REF!,#REF!</definedName>
    <definedName name="va">#REF!,#REF!</definedName>
    <definedName name="vaa" localSheetId="1">'[95]0100'!$A$8:$A$8</definedName>
    <definedName name="vaa">'[96]0100'!$A$8:$A$8</definedName>
    <definedName name="vaava" localSheetId="1">[17]!vaava</definedName>
    <definedName name="vaava">[18]!vaava</definedName>
    <definedName name="val" localSheetId="1">#REF!,#REF!</definedName>
    <definedName name="val">#REF!,#REF!</definedName>
    <definedName name="valei" localSheetId="1">#REF!,#REF!</definedName>
    <definedName name="valei">#REF!,#REF!</definedName>
    <definedName name="valid" localSheetId="1">#REF!,#REF!</definedName>
    <definedName name="valid">#REF!,#REF!</definedName>
    <definedName name="Valid_date" localSheetId="1">#REF!</definedName>
    <definedName name="Valid_date">#REF!</definedName>
    <definedName name="Valid_Show" localSheetId="1">[17]!Visible</definedName>
    <definedName name="Valid_Show">[18]!Visible</definedName>
    <definedName name="VALID01234" localSheetId="1">#REF!,#REF!</definedName>
    <definedName name="VALID01234">#REF!,#REF!</definedName>
    <definedName name="VALID1234" localSheetId="1">#REF!,#REF!</definedName>
    <definedName name="VALID1234">#REF!,#REF!</definedName>
    <definedName name="valids" localSheetId="1">#REF!,#REF!</definedName>
    <definedName name="valids">#REF!,#REF!</definedName>
    <definedName name="valie">#REF!,#REF!</definedName>
    <definedName name="valied">#REF!,#REF!</definedName>
    <definedName name="value">#N/A</definedName>
    <definedName name="Var" localSheetId="1">#REF!</definedName>
    <definedName name="Var">#REF!</definedName>
    <definedName name="Var_1" localSheetId="1">#REF!</definedName>
    <definedName name="Var_1">#REF!</definedName>
    <definedName name="Var_2" localSheetId="1">#REF!</definedName>
    <definedName name="Var_2">#REF!</definedName>
    <definedName name="Var_3">#REF!</definedName>
    <definedName name="vas" localSheetId="1">'[95]0100'!$D$14:$D$14</definedName>
    <definedName name="vas">'[96]0100'!$D$14:$D$14</definedName>
    <definedName name="vdsabvdsabv" localSheetId="1">#REF!</definedName>
    <definedName name="vdsabvdsabv">#REF!</definedName>
    <definedName name="Vendor_Summary" localSheetId="1">#REF!</definedName>
    <definedName name="Vendor_Summary">#REF!</definedName>
    <definedName name="viiuuiiu" localSheetId="1" hidden="1">#REF!</definedName>
    <definedName name="viiuuiiu" hidden="1">#REF!</definedName>
    <definedName name="vjksv">#REF!</definedName>
    <definedName name="vjkz" localSheetId="1">'[85]tax-ss'!$R$7:$R$37</definedName>
    <definedName name="vjkz">'[86]tax-ss'!$R$7:$R$37</definedName>
    <definedName name="VKL" localSheetId="1" hidden="1">{#N/A,#N/A,FALSE,"Sheet1"}</definedName>
    <definedName name="VKL" hidden="1">{#N/A,#N/A,FALSE,"Sheet1"}</definedName>
    <definedName name="Voucher">#N/A</definedName>
    <definedName name="VRP" localSheetId="1" hidden="1">{"'Feb 99'!$A$1:$G$30"}</definedName>
    <definedName name="VRP" hidden="1">{"'Feb 99'!$A$1:$G$30"}</definedName>
    <definedName name="vs" localSheetId="1">'[95]0100'!$T$20:$Y$21</definedName>
    <definedName name="vs">'[96]0100'!$T$20:$Y$21</definedName>
    <definedName name="vvli" localSheetId="1">#REF!,#REF!</definedName>
    <definedName name="vvli">#REF!,#REF!</definedName>
    <definedName name="w" localSheetId="1">#REF!</definedName>
    <definedName name="w">#REF!</definedName>
    <definedName name="wa" localSheetId="1">'[95]0100'!$A$5:$A$5</definedName>
    <definedName name="wa">'[96]0100'!$A$5:$A$5</definedName>
    <definedName name="wafasfs" localSheetId="1">'[393]K4. F&amp;F'!$Q$112</definedName>
    <definedName name="wafasfs">'[394]K4. F&amp;F'!$Q$112</definedName>
    <definedName name="wafqwqftwf" localSheetId="1">[17]!wafqwqftwf</definedName>
    <definedName name="wafqwqftwf">[18]!wafqwqftwf</definedName>
    <definedName name="wai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ai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arn1" localSheetId="1">#REF!</definedName>
    <definedName name="warn1">#REF!</definedName>
    <definedName name="warn2" localSheetId="1">#REF!</definedName>
    <definedName name="warn2">#REF!</definedName>
    <definedName name="warqwfd" localSheetId="1">#REF!</definedName>
    <definedName name="warqwfd">#REF!</definedName>
    <definedName name="WAS7962_49">#REF!</definedName>
    <definedName name="WAS7962_65">#REF!</definedName>
    <definedName name="WAS7962_72">"$#REF!.#REF!$#REF!"</definedName>
    <definedName name="WCA8822_72">"$#REF!.$E$43"</definedName>
    <definedName name="wdd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dd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e" localSheetId="1">'[95]0100'!$A$113:$G$113</definedName>
    <definedName name="we">'[96]0100'!$A$113:$G$113</definedName>
    <definedName name="weedwqdwq" localSheetId="1">#REF!</definedName>
    <definedName name="weedwqdwq">#REF!</definedName>
    <definedName name="weege" localSheetId="1">'[395](O3) CA Sheet'!$R$7:$R$31</definedName>
    <definedName name="weege">'[396](O3) CA Sheet'!$R$7:$R$31</definedName>
    <definedName name="Weeked_Cash_flow_as_of_Jul_8_LOADING_List" localSheetId="1">#REF!</definedName>
    <definedName name="Weeked_Cash_flow_as_of_Jul_8_LOADING_List">#REF!</definedName>
    <definedName name="wegewgegwe" localSheetId="1">[17]!wegewgegwe</definedName>
    <definedName name="wegewgegwe">[18]!wegewgegwe</definedName>
    <definedName name="wegtrwgre" localSheetId="1">'[101]CA Sheet'!$Q$36</definedName>
    <definedName name="wegtrwgre">'[102]CA Sheet'!$Q$36</definedName>
    <definedName name="wegtwgwrh" localSheetId="1">#REF!</definedName>
    <definedName name="wegtwgwrh">#REF!</definedName>
    <definedName name="wegwgweg" localSheetId="1">[105]CA!$Q$112</definedName>
    <definedName name="wegwgweg">[106]CA!$Q$112</definedName>
    <definedName name="wegwrgwr" localSheetId="1">#REF!</definedName>
    <definedName name="wegwrgwr">#REF!</definedName>
    <definedName name="weqeqwrq" localSheetId="1">#REF!</definedName>
    <definedName name="weqeqwrq">#REF!</definedName>
    <definedName name="WEQWQWR" localSheetId="1">#REF!</definedName>
    <definedName name="WEQWQWR">#REF!</definedName>
    <definedName name="wergwqr">#REF!</definedName>
    <definedName name="wertwwery">#REF!</definedName>
    <definedName name="wet23gt23g32" localSheetId="1">[17]!wet23gt23g32</definedName>
    <definedName name="wet23gt23g32">[18]!wet23gt23g32</definedName>
    <definedName name="wetg" localSheetId="1">#REF!</definedName>
    <definedName name="wetg">#REF!</definedName>
    <definedName name="wetgqwt" localSheetId="1">#REF!</definedName>
    <definedName name="wetgqwt">#REF!</definedName>
    <definedName name="wetweywy\" localSheetId="1">[17]!wetweywy\</definedName>
    <definedName name="wetweywy\">[18]!wetweywy\</definedName>
    <definedName name="wetwgwtyw" localSheetId="1">[17]!wetwgwtyw</definedName>
    <definedName name="wetwgwtyw">[18]!wetwgwtyw</definedName>
    <definedName name="weweg" localSheetId="1">[17]!weweg</definedName>
    <definedName name="weweg">[18]!weweg</definedName>
    <definedName name="wewq" localSheetId="1">#REF!</definedName>
    <definedName name="wewq">#REF!</definedName>
    <definedName name="wfqwfqw" localSheetId="1">#REF!</definedName>
    <definedName name="wfqwfqw">#REF!</definedName>
    <definedName name="WFWAF" localSheetId="1">#REF!</definedName>
    <definedName name="WFWAF">#REF!</definedName>
    <definedName name="wgewergwrg">#REF!</definedName>
    <definedName name="wgfewqge" localSheetId="1" hidden="1">{#N/A,#N/A,FALSE,"Sheet1"}</definedName>
    <definedName name="wgfewqge" hidden="1">{#N/A,#N/A,FALSE,"Sheet1"}</definedName>
    <definedName name="Wghts" localSheetId="1">[181]Weights!$A$10:$K$39</definedName>
    <definedName name="Wghts">[182]Weights!$A$10:$K$39</definedName>
    <definedName name="wgrewgg" localSheetId="1">'[107]U2.2'!#REF!</definedName>
    <definedName name="wgrewgg">'[108]U2.2'!#REF!</definedName>
    <definedName name="wgweg" localSheetId="1">#REF!</definedName>
    <definedName name="wgweg">#REF!</definedName>
    <definedName name="wgwgwg" localSheetId="1">#REF!</definedName>
    <definedName name="wgwgwg">#REF!</definedName>
    <definedName name="what" localSheetId="1">[17]!what</definedName>
    <definedName name="what">[18]!what</definedName>
    <definedName name="whatever" localSheetId="1">[17]!whatever</definedName>
    <definedName name="whatever">[18]!whatever</definedName>
    <definedName name="willow3500">#REF!</definedName>
    <definedName name="Win_2000_CAL_NL_L">'[49]MOLP C'!#REF!</definedName>
    <definedName name="Win_XP_UPG_NL_L">'[49]MOLP C'!#REF!</definedName>
    <definedName name="Windows_2000_Svr_NL_L">'[49]MOLP C'!#REF!</definedName>
    <definedName name="Windows_Desktop_OS">'[49]MS Box'!#REF!</definedName>
    <definedName name="Windows_Server">'[49]MS Box'!#REF!</definedName>
    <definedName name="WIP">"$#REF!.$H$170"</definedName>
    <definedName name="WIP_72">"$#REF!.$H$171"</definedName>
    <definedName name="WL" localSheetId="1">#REF!</definedName>
    <definedName name="WL">#REF!</definedName>
    <definedName name="WLG" localSheetId="1">#REF!</definedName>
    <definedName name="WLG">#REF!</definedName>
    <definedName name="woan" localSheetId="1" hidden="1">{#N/A,#N/A,FALSE,"Sheet1"}</definedName>
    <definedName name="woan" hidden="1">{#N/A,#N/A,FALSE,"Sheet1"}</definedName>
    <definedName name="wps" localSheetId="1">'[397]FF-6'!$A$5:$K$9</definedName>
    <definedName name="wps">'[398]FF-6'!$A$5:$K$9</definedName>
    <definedName name="wqfqfqfw" localSheetId="1">[17]!wqfqfqfw</definedName>
    <definedName name="wqfqfqfw">[18]!wqfqfqfw</definedName>
    <definedName name="wqfwf" localSheetId="1">[17]!wqfwf</definedName>
    <definedName name="wqfwf">[18]!wqfwf</definedName>
    <definedName name="wqfwqfwqf" localSheetId="1">[17]!wqfwqfwqf</definedName>
    <definedName name="wqfwqfwqf">[18]!wqfwqfwqf</definedName>
    <definedName name="wqr" localSheetId="1">[17]!wqr</definedName>
    <definedName name="wqr">[18]!wqr</definedName>
    <definedName name="wqtqg3g" localSheetId="1" hidden="1">{#N/A,#N/A,FALSE,"Sheet1"}</definedName>
    <definedName name="wqtqg3g" hidden="1">{#N/A,#N/A,FALSE,"Sheet1"}</definedName>
    <definedName name="wr" localSheetId="1">'[95]0100'!$K$14:$K$106</definedName>
    <definedName name="wr">'[96]0100'!$K$14:$K$106</definedName>
    <definedName name="wr3wr3v" localSheetId="1">#REF!</definedName>
    <definedName name="wr3wr3v">#REF!</definedName>
    <definedName name="wregwrgr" localSheetId="1">#REF!</definedName>
    <definedName name="wregwrgr">#REF!</definedName>
    <definedName name="wrgrehteh" localSheetId="1">'[107]U2.2'!#REF!</definedName>
    <definedName name="wrgrehteh">'[108]U2.2'!#REF!</definedName>
    <definedName name="wrgwrgtw" localSheetId="1">'[107]U2.2'!#REF!</definedName>
    <definedName name="wrgwrgtw">'[108]U2.2'!#REF!</definedName>
    <definedName name="wrhgrwhnr" localSheetId="1">#REF!</definedName>
    <definedName name="wrhgrwhnr">#REF!</definedName>
    <definedName name="wrhreher" localSheetId="1">#REF!</definedName>
    <definedName name="wrhreher">#REF!</definedName>
    <definedName name="wrn.AA." localSheetId="1" hidden="1">{#N/A,#N/A,TRUE,"M [OS-05]-00(1)"}</definedName>
    <definedName name="wrn.AA." hidden="1">{#N/A,#N/A,TRUE,"M [OS-05]-00(1)"}</definedName>
    <definedName name="wrn.BB." localSheetId="1" hidden="1">{#N/A,#N/A,TRUE,"M [OS-05]-00(1)";#N/A,#N/A,TRUE,"M [OS-05]-00(1)"}</definedName>
    <definedName name="wrn.BB." hidden="1">{#N/A,#N/A,TRUE,"M [OS-05]-00(1)";#N/A,#N/A,TRUE,"M [OS-05]-00(1)"}</definedName>
    <definedName name="wrn.ex_f." localSheetId="1" hidden="1">{#N/A,#N/A,FALSE,"EX-FORECAST"}</definedName>
    <definedName name="wrn.ex_f." hidden="1">{#N/A,#N/A,FALSE,"EX-FORECAST"}</definedName>
    <definedName name="wrn.FA40.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MPLTC." localSheetId="1" hidden="1">{#VALUE!,#N/A,FALSE,0}</definedName>
    <definedName name="wrn.MPLTC." hidden="1">{#VALUE!,#N/A,FALSE,0}</definedName>
    <definedName name="wrqwr" localSheetId="1">[17]!wrqwr</definedName>
    <definedName name="wrqwr">[18]!wrqwr</definedName>
    <definedName name="Wsalary" localSheetId="1">[45]FORMC94!$A$6:$M$38</definedName>
    <definedName name="Wsalary">[46]FORMC94!$A$6:$M$38</definedName>
    <definedName name="Wsalary_1" localSheetId="1">[250]FORMC94!$A$6:$M$38</definedName>
    <definedName name="Wsalary_1">[251]FORMC94!$A$6:$M$38</definedName>
    <definedName name="Wsalary_1_1" localSheetId="1">[250]FORMC94!$A$6:$M$38</definedName>
    <definedName name="Wsalary_1_1">[251]FORMC94!$A$6:$M$38</definedName>
    <definedName name="Wsalary_10" localSheetId="1">[45]FORMC94!$A$6:$M$38</definedName>
    <definedName name="Wsalary_10">[46]FORMC94!$A$6:$M$38</definedName>
    <definedName name="Wsalary_11" localSheetId="1">[45]FORMC94!$A$6:$M$38</definedName>
    <definedName name="Wsalary_11">[46]FORMC94!$A$6:$M$38</definedName>
    <definedName name="Wsalary_12" localSheetId="1">[45]FORMC94!$A$6:$M$38</definedName>
    <definedName name="Wsalary_12">[46]FORMC94!$A$6:$M$38</definedName>
    <definedName name="Wsalary_13" localSheetId="1">[250]FORMC94!$A$6:$M$38</definedName>
    <definedName name="Wsalary_13">[251]FORMC94!$A$6:$M$38</definedName>
    <definedName name="Wsalary_13_1" localSheetId="1">[250]FORMC94!$A$6:$M$38</definedName>
    <definedName name="Wsalary_13_1">[251]FORMC94!$A$6:$M$38</definedName>
    <definedName name="Wsalary_14" localSheetId="1">[250]FORMC94!$A$6:$M$38</definedName>
    <definedName name="Wsalary_14">[251]FORMC94!$A$6:$M$38</definedName>
    <definedName name="Wsalary_14_1" localSheetId="1">[250]FORMC94!$A$6:$M$38</definedName>
    <definedName name="Wsalary_14_1">[251]FORMC94!$A$6:$M$38</definedName>
    <definedName name="Wsalary_15" localSheetId="1">[250]FORMC94!$A$6:$M$38</definedName>
    <definedName name="Wsalary_15">[251]FORMC94!$A$6:$M$38</definedName>
    <definedName name="Wsalary_15_1" localSheetId="1">[250]FORMC94!$A$6:$M$38</definedName>
    <definedName name="Wsalary_15_1">[251]FORMC94!$A$6:$M$38</definedName>
    <definedName name="Wsalary_16" localSheetId="1">[250]FORMC94!$A$6:$M$38</definedName>
    <definedName name="Wsalary_16">[251]FORMC94!$A$6:$M$38</definedName>
    <definedName name="Wsalary_16_1" localSheetId="1">[250]FORMC94!$A$6:$M$38</definedName>
    <definedName name="Wsalary_16_1">[251]FORMC94!$A$6:$M$38</definedName>
    <definedName name="Wsalary_16_72" localSheetId="1">[45]FORMC94!$A$6:$M$38</definedName>
    <definedName name="Wsalary_16_72">[46]FORMC94!$A$6:$M$38</definedName>
    <definedName name="Wsalary_17" localSheetId="1">[250]FORMC94!$A$6:$M$38</definedName>
    <definedName name="Wsalary_17">[251]FORMC94!$A$6:$M$38</definedName>
    <definedName name="Wsalary_17_1" localSheetId="1">[250]FORMC94!$A$6:$M$38</definedName>
    <definedName name="Wsalary_17_1">[251]FORMC94!$A$6:$M$38</definedName>
    <definedName name="Wsalary_18" localSheetId="1">[250]FORMC94!$A$6:$M$38</definedName>
    <definedName name="Wsalary_18">[251]FORMC94!$A$6:$M$38</definedName>
    <definedName name="Wsalary_18_1" localSheetId="1">[250]FORMC94!$A$6:$M$38</definedName>
    <definedName name="Wsalary_18_1">[251]FORMC94!$A$6:$M$38</definedName>
    <definedName name="Wsalary_19" localSheetId="1">[250]FORMC94!$A$6:$M$38</definedName>
    <definedName name="Wsalary_19">[251]FORMC94!$A$6:$M$38</definedName>
    <definedName name="Wsalary_19_72" localSheetId="1">[45]FORMC94!$A$6:$M$38</definedName>
    <definedName name="Wsalary_19_72">[46]FORMC94!$A$6:$M$38</definedName>
    <definedName name="Wsalary_2" localSheetId="1">[250]FORMC94!$A$6:$M$38</definedName>
    <definedName name="Wsalary_2">[251]FORMC94!$A$6:$M$38</definedName>
    <definedName name="Wsalary_20" localSheetId="1">[250]FORMC94!$A$6:$M$38</definedName>
    <definedName name="Wsalary_20">[251]FORMC94!$A$6:$M$38</definedName>
    <definedName name="Wsalary_20_1" localSheetId="1">[250]FORMC94!$A$6:$M$38</definedName>
    <definedName name="Wsalary_20_1">[251]FORMC94!$A$6:$M$38</definedName>
    <definedName name="Wsalary_21" localSheetId="1">[250]FORMC94!$A$6:$M$38</definedName>
    <definedName name="Wsalary_21">[251]FORMC94!$A$6:$M$38</definedName>
    <definedName name="Wsalary_22" localSheetId="1">[45]FORMC94!$A$6:$M$38</definedName>
    <definedName name="Wsalary_22">[46]FORMC94!$A$6:$M$38</definedName>
    <definedName name="Wsalary_23" localSheetId="1">[250]FORMC94!$A$6:$M$38</definedName>
    <definedName name="Wsalary_23">[251]FORMC94!$A$6:$M$38</definedName>
    <definedName name="Wsalary_24" localSheetId="1">[45]FORMC94!$A$6:$M$38</definedName>
    <definedName name="Wsalary_24">[46]FORMC94!$A$6:$M$38</definedName>
    <definedName name="Wsalary_25" localSheetId="1">[45]FORMC94!$A$6:$M$38</definedName>
    <definedName name="Wsalary_25">[46]FORMC94!$A$6:$M$38</definedName>
    <definedName name="Wsalary_25_1" localSheetId="1">[45]FORMC94!$A$6:$M$38</definedName>
    <definedName name="Wsalary_25_1">[46]FORMC94!$A$6:$M$38</definedName>
    <definedName name="Wsalary_26" localSheetId="1">[45]FORMC94!$A$6:$M$38</definedName>
    <definedName name="Wsalary_26">[46]FORMC94!$A$6:$M$38</definedName>
    <definedName name="Wsalary_27" localSheetId="1">[45]FORMC94!$A$6:$M$38</definedName>
    <definedName name="Wsalary_27">[46]FORMC94!$A$6:$M$38</definedName>
    <definedName name="Wsalary_28" localSheetId="1">[45]FORMC94!$A$6:$M$38</definedName>
    <definedName name="Wsalary_28">[46]FORMC94!$A$6:$M$38</definedName>
    <definedName name="Wsalary_29" localSheetId="1">[45]FORMC94!$A$6:$M$38</definedName>
    <definedName name="Wsalary_29">[46]FORMC94!$A$6:$M$38</definedName>
    <definedName name="Wsalary_3" localSheetId="1">[45]FORMC94!$A$6:$M$38</definedName>
    <definedName name="Wsalary_3">[46]FORMC94!$A$6:$M$38</definedName>
    <definedName name="Wsalary_30" localSheetId="1">[45]FORMC94!$A$6:$M$38</definedName>
    <definedName name="Wsalary_30">[46]FORMC94!$A$6:$M$38</definedName>
    <definedName name="Wsalary_31" localSheetId="1">[250]FORMC94!$A$6:$M$38</definedName>
    <definedName name="Wsalary_31">[251]FORMC94!$A$6:$M$38</definedName>
    <definedName name="Wsalary_32" localSheetId="1">[45]FORMC94!$A$6:$M$38</definedName>
    <definedName name="Wsalary_32">[46]FORMC94!$A$6:$M$38</definedName>
    <definedName name="Wsalary_33" localSheetId="1">[45]FORMC94!$A$6:$M$38</definedName>
    <definedName name="Wsalary_33">[46]FORMC94!$A$6:$M$38</definedName>
    <definedName name="Wsalary_34" localSheetId="1">[45]FORMC94!$A$6:$M$38</definedName>
    <definedName name="Wsalary_34">[46]FORMC94!$A$6:$M$38</definedName>
    <definedName name="Wsalary_37" localSheetId="1">[45]FORMC94!$A$6:$M$38</definedName>
    <definedName name="Wsalary_37">[46]FORMC94!$A$6:$M$38</definedName>
    <definedName name="Wsalary_37_1" localSheetId="1">[250]FORMC94!$A$6:$M$38</definedName>
    <definedName name="Wsalary_37_1">[251]FORMC94!$A$6:$M$38</definedName>
    <definedName name="Wsalary_39" localSheetId="1">[45]FORMC94!$A$6:$M$38</definedName>
    <definedName name="Wsalary_39">[46]FORMC94!$A$6:$M$38</definedName>
    <definedName name="Wsalary_5" localSheetId="1">[250]FORMC94!$A$6:$M$38</definedName>
    <definedName name="Wsalary_5">[251]FORMC94!$A$6:$M$38</definedName>
    <definedName name="Wsalary_6" localSheetId="1">[250]FORMC94!$A$6:$M$38</definedName>
    <definedName name="Wsalary_6">[251]FORMC94!$A$6:$M$38</definedName>
    <definedName name="Wsalary_7" localSheetId="1">[45]FORMC94!$A$6:$M$38</definedName>
    <definedName name="Wsalary_7">[46]FORMC94!$A$6:$M$38</definedName>
    <definedName name="Wsalary_8" localSheetId="1">[45]FORMC94!$A$6:$M$38</definedName>
    <definedName name="Wsalary_8">[46]FORMC94!$A$6:$M$38</definedName>
    <definedName name="Wsalary_9" localSheetId="1">[45]FORMC94!$A$6:$M$38</definedName>
    <definedName name="Wsalary_9">[46]FORMC94!$A$6:$M$38</definedName>
    <definedName name="wsgwegwg" localSheetId="1">#REF!</definedName>
    <definedName name="wsgwegwg">#REF!</definedName>
    <definedName name="wtetry" localSheetId="1">#REF!</definedName>
    <definedName name="wtetry">#REF!</definedName>
    <definedName name="wtewty" localSheetId="1">#REF!</definedName>
    <definedName name="wtewty">#REF!</definedName>
    <definedName name="wtggewh">#REF!</definedName>
    <definedName name="wtgrwgre">#REF!</definedName>
    <definedName name="wtwtgwg3h">#REF!</definedName>
    <definedName name="wtwyg43" localSheetId="1">[105]CA!$Q$112</definedName>
    <definedName name="wtwyg43">[106]CA!$Q$112</definedName>
    <definedName name="wtwyw24" localSheetId="1">[17]!wtwyw24</definedName>
    <definedName name="wtwyw24">[18]!wtwyw24</definedName>
    <definedName name="WTYRYR" localSheetId="1">#REF!</definedName>
    <definedName name="WTYRYR">#REF!</definedName>
    <definedName name="ww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w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wqgege" localSheetId="1">#REF!</definedName>
    <definedName name="wwqgege">#REF!</definedName>
    <definedName name="www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ww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wwe" localSheetId="1">#REF!</definedName>
    <definedName name="wwwe">#REF!</definedName>
    <definedName name="wwwr" localSheetId="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wwr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www" localSheetId="1">#REF!</definedName>
    <definedName name="wwww">#REF!</definedName>
    <definedName name="wwwwwwwwwwwww" localSheetId="1">#REF!</definedName>
    <definedName name="wwwwwwwwwwwww">#REF!</definedName>
    <definedName name="x" localSheetId="1" hidden="1">{#N/A,#N/A,FALSE,"Sheet1"}</definedName>
    <definedName name="x" hidden="1">{#N/A,#N/A,FALSE,"Sheet1"}</definedName>
    <definedName name="X255QTY">[399]xSeries255!$D$13:$D$58,[399]xSeries255!$D$61:$D$473</definedName>
    <definedName name="xbdsb" localSheetId="1">#REF!</definedName>
    <definedName name="xbdsb">#REF!</definedName>
    <definedName name="XSER255">[399]xSeries255!$A$13:$M$58,[399]xSeries255!$A$61:$M$473</definedName>
    <definedName name="xuus" localSheetId="1">'[85]tax-ss'!$J$7:$J$37</definedName>
    <definedName name="xuus">'[86]tax-ss'!$J$7:$J$37</definedName>
    <definedName name="xx" localSheetId="1">#REF!</definedName>
    <definedName name="xx">#REF!</definedName>
    <definedName name="xxx">#N/A</definedName>
    <definedName name="xxxxxxxx" localSheetId="1">'[192]IBA &lt;O3&gt;'!$L$31</definedName>
    <definedName name="xxxxxxxx">'[193]IBA &lt;O3&gt;'!$L$31</definedName>
    <definedName name="xxxxxxxxxxxxxxxx" localSheetId="1">'[192]IBA &lt;O3&gt;'!$M$31</definedName>
    <definedName name="xxxxxxxxxxxxxxxx">'[193]IBA &lt;O3&gt;'!$M$31</definedName>
    <definedName name="y">"$#REF!.$#REF!$#REF!"</definedName>
    <definedName name="y_1" localSheetId="1">#REF!</definedName>
    <definedName name="y_1">#REF!</definedName>
    <definedName name="y_10" localSheetId="1">#REF!</definedName>
    <definedName name="y_10">#REF!</definedName>
    <definedName name="y_11">"$#REF!.$#REF!$#REF!"</definedName>
    <definedName name="y_12" localSheetId="1">#REF!</definedName>
    <definedName name="y_12">#REF!</definedName>
    <definedName name="y_13">"$#REF!.$#REF!$#REF!"</definedName>
    <definedName name="y_14" localSheetId="1">#REF!</definedName>
    <definedName name="y_14">#REF!</definedName>
    <definedName name="y_15" localSheetId="1">#REF!</definedName>
    <definedName name="y_15">#REF!</definedName>
    <definedName name="y_16">"$#REF!.$#REF!$#REF!"</definedName>
    <definedName name="y_17">"$#REF!.$#REF!$#REF!"</definedName>
    <definedName name="y_18">"$#REF!.$#REF!$#REF!"</definedName>
    <definedName name="y_19">"$#REF!.$#REF!$#REF!"</definedName>
    <definedName name="y_2">"$#REF!.$#REF!$#REF!"</definedName>
    <definedName name="y_20">"$#REF!.$#REF!$#REF!"</definedName>
    <definedName name="y_21">"$#REF!.$#REF!$#REF!"</definedName>
    <definedName name="y_22" localSheetId="1">#REF!</definedName>
    <definedName name="y_22">#REF!</definedName>
    <definedName name="y_23" localSheetId="1">#REF!</definedName>
    <definedName name="y_23">#REF!</definedName>
    <definedName name="y_24" localSheetId="1">#REF!</definedName>
    <definedName name="y_24">#REF!</definedName>
    <definedName name="y_25">"$#REF!.$#REF!$#REF!"</definedName>
    <definedName name="y_25_1">"$#REF!.$#REF!$#REF!"</definedName>
    <definedName name="y_26" localSheetId="1">#REF!</definedName>
    <definedName name="y_26">#REF!</definedName>
    <definedName name="y_26_1" localSheetId="1">#REF!</definedName>
    <definedName name="y_26_1">#REF!</definedName>
    <definedName name="y_27">"$#REF!.$#REF!$#REF!"</definedName>
    <definedName name="y_28">"$#REF!.$#REF!$#REF!"</definedName>
    <definedName name="y_29">"$#REF!.$#REF!$#REF!"</definedName>
    <definedName name="y_29_1">"$#REF!.$#REF!$#REF!"</definedName>
    <definedName name="y_3" localSheetId="1">#REF!</definedName>
    <definedName name="y_3">#REF!</definedName>
    <definedName name="y_30" localSheetId="1">#REF!</definedName>
    <definedName name="y_30">#REF!</definedName>
    <definedName name="y_30_1">"$#REF!.$#REF!$#REF!"</definedName>
    <definedName name="y_31" localSheetId="1">#REF!</definedName>
    <definedName name="y_31">#REF!</definedName>
    <definedName name="y_31_1" localSheetId="1">#REF!</definedName>
    <definedName name="y_31_1">#REF!</definedName>
    <definedName name="y_32" localSheetId="1">#REF!</definedName>
    <definedName name="y_32">#REF!</definedName>
    <definedName name="y_33">#REF!</definedName>
    <definedName name="y_33_1">"$#REF!.$#REF!$#REF!"</definedName>
    <definedName name="y_34" localSheetId="1">#REF!</definedName>
    <definedName name="y_34">#REF!</definedName>
    <definedName name="y_35" localSheetId="1">#REF!</definedName>
    <definedName name="y_35">#REF!</definedName>
    <definedName name="y_35_1">"$#REF!.$#REF!$#REF!"</definedName>
    <definedName name="y_36" localSheetId="1">#REF!</definedName>
    <definedName name="y_36">#REF!</definedName>
    <definedName name="y_37" localSheetId="1">#REF!</definedName>
    <definedName name="y_37">#REF!</definedName>
    <definedName name="y_38" localSheetId="1">#REF!</definedName>
    <definedName name="y_38">#REF!</definedName>
    <definedName name="y_39">#REF!</definedName>
    <definedName name="y_40">#REF!</definedName>
    <definedName name="y_42">#REF!</definedName>
    <definedName name="y_43">#REF!</definedName>
    <definedName name="y_45">#REF!</definedName>
    <definedName name="y_47">#REF!</definedName>
    <definedName name="y_49">#REF!</definedName>
    <definedName name="y_5">#REF!</definedName>
    <definedName name="y_52">#REF!</definedName>
    <definedName name="y_53">#REF!</definedName>
    <definedName name="y_6">#REF!</definedName>
    <definedName name="y_60">#REF!</definedName>
    <definedName name="y_65">#REF!</definedName>
    <definedName name="y_67">#REF!</definedName>
    <definedName name="y_68">#REF!</definedName>
    <definedName name="y_70">#REF!</definedName>
    <definedName name="y_71">#REF!</definedName>
    <definedName name="y_72">"$#REF!.$#REF!$#REF!"</definedName>
    <definedName name="y_8" localSheetId="1">#REF!</definedName>
    <definedName name="y_8">#REF!</definedName>
    <definedName name="y_9" localSheetId="1">#REF!</definedName>
    <definedName name="y_9">#REF!</definedName>
    <definedName name="y6etrsyfr" localSheetId="1" hidden="1">{#N/A,#N/A,FALSE,"Sheet1"}</definedName>
    <definedName name="y6etrsyfr" hidden="1">{#N/A,#N/A,FALSE,"Sheet1"}</definedName>
    <definedName name="YA" localSheetId="1">#REF!</definedName>
    <definedName name="YA">#REF!</definedName>
    <definedName name="YA_Disposed" localSheetId="1">#REF!</definedName>
    <definedName name="YA_Disposed">#REF!</definedName>
    <definedName name="YA_of_Tranferor" localSheetId="1">#REF!</definedName>
    <definedName name="YA_of_Tranferor">#REF!</definedName>
    <definedName name="YA_of_Transferor">#REF!</definedName>
    <definedName name="YA_Purchased">#REF!</definedName>
    <definedName name="YA_transferred_in">#REF!</definedName>
    <definedName name="YCF">[129]details!$C$181</definedName>
    <definedName name="Ye" localSheetId="1">[332]FSA!$A$2</definedName>
    <definedName name="Ye">[333]FSA!$A$2</definedName>
    <definedName name="Ye_10" localSheetId="1">[340]FSA!$A$2</definedName>
    <definedName name="Ye_10">[341]FSA!$A$2</definedName>
    <definedName name="Ye_11" localSheetId="1">[332]FSA!$A$2</definedName>
    <definedName name="Ye_11">[333]FSA!$A$2</definedName>
    <definedName name="Ye_12" localSheetId="1">[332]FSA!$A$2</definedName>
    <definedName name="Ye_12">[333]FSA!$A$2</definedName>
    <definedName name="Ye_13" localSheetId="1">[342]FSA!$A$2</definedName>
    <definedName name="Ye_13">[343]FSA!$A$2</definedName>
    <definedName name="Ye_14" localSheetId="1">[332]FSA!$A$2</definedName>
    <definedName name="Ye_14">[333]FSA!$A$2</definedName>
    <definedName name="Ye_15" localSheetId="1">[332]FSA!$A$2</definedName>
    <definedName name="Ye_15">[333]FSA!$A$2</definedName>
    <definedName name="Ye_19" localSheetId="1">[334]FSA!$A$2</definedName>
    <definedName name="Ye_19">[335]FSA!$A$2</definedName>
    <definedName name="Ye_20" localSheetId="1">[342]FSA!$A$2</definedName>
    <definedName name="Ye_20">[343]FSA!$A$2</definedName>
    <definedName name="Ye_21" localSheetId="1">[342]FSA!$A$2</definedName>
    <definedName name="Ye_21">[343]FSA!$A$2</definedName>
    <definedName name="Ye_22" localSheetId="1">[342]FSA!$A$2</definedName>
    <definedName name="Ye_22">[343]FSA!$A$2</definedName>
    <definedName name="Ye_23" localSheetId="1">[342]FSA!$A$2</definedName>
    <definedName name="Ye_23">[343]FSA!$A$2</definedName>
    <definedName name="Ye_23_1" localSheetId="1">[342]FSA!$A$2</definedName>
    <definedName name="Ye_23_1">[343]FSA!$A$2</definedName>
    <definedName name="Ye_25" localSheetId="1">[342]FSA!$A$2</definedName>
    <definedName name="Ye_25">[343]FSA!$A$2</definedName>
    <definedName name="Ye_29" localSheetId="1">[342]FSA!$A$2</definedName>
    <definedName name="Ye_29">[343]FSA!$A$2</definedName>
    <definedName name="Ye_43" localSheetId="1">[342]FSA!$A$2</definedName>
    <definedName name="Ye_43">[343]FSA!$A$2</definedName>
    <definedName name="Ye_47" localSheetId="1">[342]FSA!$A$2</definedName>
    <definedName name="Ye_47">[343]FSA!$A$2</definedName>
    <definedName name="Ye_66" localSheetId="1">[342]FSA!$A$2</definedName>
    <definedName name="Ye_66">[343]FSA!$A$2</definedName>
    <definedName name="Ye_72" localSheetId="1">[334]FSA!$A$2</definedName>
    <definedName name="Ye_72">[335]FSA!$A$2</definedName>
    <definedName name="Ye_8" localSheetId="1">[340]FSA!$A$2</definedName>
    <definedName name="Ye_8">[341]FSA!$A$2</definedName>
    <definedName name="Ye_9" localSheetId="1">[332]FSA!$A$2</definedName>
    <definedName name="Ye_9">[333]FSA!$A$2</definedName>
    <definedName name="Year_of_assessment_1979" localSheetId="1">'[400]6A CA'!#REF!</definedName>
    <definedName name="Year_of_assessment_1979">'[401]6A CA'!#REF!</definedName>
    <definedName name="Year_of_assessment_1985" localSheetId="1">'[400]6A CA'!#REF!</definedName>
    <definedName name="Year_of_assessment_1985">'[401]6A CA'!#REF!</definedName>
    <definedName name="Year_of_assessment_1986" localSheetId="1">'[400]6A CA'!#REF!</definedName>
    <definedName name="Year_of_assessment_1986">'[401]6A CA'!#REF!</definedName>
    <definedName name="Year_of_assessment_1987" localSheetId="1">'[400]6A CA'!#REF!</definedName>
    <definedName name="Year_of_assessment_1987">'[401]6A CA'!#REF!</definedName>
    <definedName name="Year_of_assessment_1989" localSheetId="1">'[400]6A CA'!#REF!</definedName>
    <definedName name="Year_of_assessment_1989">'[401]6A CA'!#REF!</definedName>
    <definedName name="Year_of_assessment_1991" localSheetId="1">'[400]6A CA'!#REF!</definedName>
    <definedName name="Year_of_assessment_1991">'[401]6A CA'!#REF!</definedName>
    <definedName name="Year_of_assessment_1992" localSheetId="1">#REF!</definedName>
    <definedName name="Year_of_assessment_1992">#REF!</definedName>
    <definedName name="Year_of_assessment_1993" localSheetId="1">#REF!</definedName>
    <definedName name="Year_of_assessment_1993">#REF!</definedName>
    <definedName name="Year_of_assessment_1995" localSheetId="1">'[400]6A CA'!#REF!</definedName>
    <definedName name="Year_of_assessment_1995">'[401]6A CA'!#REF!</definedName>
    <definedName name="Year_of_assessment_1996" localSheetId="1">'[400]6A CA'!#REF!</definedName>
    <definedName name="Year_of_assessment_1996">'[401]6A CA'!#REF!</definedName>
    <definedName name="Yearend" localSheetId="1">'[183]F-3'!$A$2</definedName>
    <definedName name="Yearend">'[184]F-3'!$A$2</definedName>
    <definedName name="yerhryrhy" localSheetId="1">#REF!</definedName>
    <definedName name="yerhryrhy">#REF!</definedName>
    <definedName name="yhjryhry" localSheetId="1">#REF!</definedName>
    <definedName name="yhjryhry">#REF!</definedName>
    <definedName name="yil88l" localSheetId="1">#REF!</definedName>
    <definedName name="yil88l">#REF!</definedName>
    <definedName name="yj4w">#REF!</definedName>
    <definedName name="yjjytjytj">#REF!</definedName>
    <definedName name="yjreye">#REF!</definedName>
    <definedName name="yjtyejeyj">#REF!</definedName>
    <definedName name="yjyjkuku">#REF!</definedName>
    <definedName name="yjyjrtj">#REF!</definedName>
    <definedName name="yjyjtj">#REF!</definedName>
    <definedName name="yjyuj6uyj">#REF!</definedName>
    <definedName name="yktkyjeye">#REF!</definedName>
    <definedName name="ykttyktu">#REF!</definedName>
    <definedName name="ykutkut">#REF!</definedName>
    <definedName name="ylktujkty">#REF!</definedName>
    <definedName name="you" localSheetId="1">'[179]FF-1'!#REF!</definedName>
    <definedName name="you">'[180]FF-1'!#REF!</definedName>
    <definedName name="yrjj" localSheetId="1">#REF!</definedName>
    <definedName name="yrjj">#REF!</definedName>
    <definedName name="yrjytjyt" localSheetId="1">#REF!</definedName>
    <definedName name="yrjytjyt">#REF!</definedName>
    <definedName name="yrprd">"year"</definedName>
    <definedName name="YTD" localSheetId="1">'[402]p&amp;L'!#REF!</definedName>
    <definedName name="YTD">'[403]p&amp;L'!#REF!</definedName>
    <definedName name="YTD_DEPRN" localSheetId="1">[185]accumdeprn!$A$3:$M$36</definedName>
    <definedName name="YTD_DEPRN">[186]accumdeprn!$A$3:$M$36</definedName>
    <definedName name="YTJRYJRYJ" localSheetId="1">#REF!</definedName>
    <definedName name="YTJRYJRYJ">#REF!</definedName>
    <definedName name="ytkjtyjrthjjet" localSheetId="1">#REF!</definedName>
    <definedName name="ytkjtyjrthjjet">#REF!</definedName>
    <definedName name="ytkmtyekje" localSheetId="1">#REF!</definedName>
    <definedName name="ytkmtyekje">#REF!</definedName>
    <definedName name="ytktukut">#REF!</definedName>
    <definedName name="ytkuku">#REF!</definedName>
    <definedName name="ytrtujrtjryj">#REF!</definedName>
    <definedName name="yukltsekw">#REF!</definedName>
    <definedName name="YUKUKUTE">#REF!</definedName>
    <definedName name="yyyy" localSheetId="1">[404]FORMC94!$A$6:$M$38</definedName>
    <definedName name="yyyy">[405]FORMC94!$A$6:$M$38</definedName>
    <definedName name="z" localSheetId="1">#REF!</definedName>
    <definedName name="z">#REF!</definedName>
    <definedName name="Z_39BC5E81_0594_11D1_8C74_006097B34275_.wvu.FilterData" localSheetId="1" hidden="1">#REF!</definedName>
    <definedName name="Z_39BC5E81_0594_11D1_8C74_006097B34275_.wvu.FilterData" hidden="1">#REF!</definedName>
    <definedName name="Z_39BC5E82_0594_11D1_8C74_006097B34275_.wvu.FilterData" localSheetId="1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aliza">#REF!</definedName>
    <definedName name="zczc" localSheetId="1">'[85]tax-ss'!$I$7:$I$37</definedName>
    <definedName name="zczc">'[86]tax-ss'!$I$7:$I$37</definedName>
    <definedName name="Zone">"02"</definedName>
    <definedName name="zx" localSheetId="1">#REF!</definedName>
    <definedName name="zx">#REF!</definedName>
    <definedName name="ไม_เจอ" localSheetId="1">#REF!</definedName>
    <definedName name="ไม_เจอ">#REF!</definedName>
    <definedName name="ฎฎฎฎฎฎฎฎฎฎฎ" localSheetId="1">#REF!</definedName>
    <definedName name="ฎฎฎฎฎฎฎฎฎฎฎ">#REF!</definedName>
    <definedName name="ฏฏฏฏฏฏฏฏฏฏ">#REF!</definedName>
    <definedName name="ตลาดรอง">[406]PC3100!$G$10</definedName>
    <definedName name="ฟ1">#REF!</definedName>
    <definedName name="ฟหเหกพด้ก">#REF!</definedName>
    <definedName name="ส_วนปร_บปร_ง">#N/A</definedName>
    <definedName name="หก" localSheetId="1">'[224]A461 '!#REF!</definedName>
    <definedName name="หก">'[225]A461 '!#REF!</definedName>
    <definedName name="อาคารระหว่างก่อสร้าง" localSheetId="1">#REF!</definedName>
    <definedName name="อาคารระหว่างก่อสร้าง">#REF!</definedName>
    <definedName name="ๆ" localSheetId="1">#REF!</definedName>
    <definedName name="ๆ">#REF!</definedName>
    <definedName name="ๆไดๆด" localSheetId="1">#REF!</definedName>
    <definedName name="ๆไดๆด">#REF!</definedName>
    <definedName name="가격범위">#REF!</definedName>
    <definedName name="계산범위">#REF!</definedName>
    <definedName name="ㅁㄴㅇ">#REF!</definedName>
    <definedName name="범위">#REF!</definedName>
    <definedName name="범위1">#REF!</definedName>
    <definedName name="서버가격">#REF!</definedName>
    <definedName name="서버번호">#REF!,#REF!,#REF!,#REF!,#REF!,#REF!,#REF!,#REF!,#REF!,#REF!,#REF!,#REF!,#REF!</definedName>
    <definedName name="선택셀">#REF!</definedName>
    <definedName name="판매">#REF!</definedName>
    <definedName name="共用全共" localSheetId="1">[407]UPG表!#REF!</definedName>
    <definedName name="共用全共">[408]UPG表!#REF!</definedName>
    <definedName name="板金ﾚｰﾄ" localSheetId="1">[409]非固内訳!$Q$24</definedName>
    <definedName name="板金ﾚｰﾄ">[410]非固内訳!$Q$24</definedName>
    <definedName name="治工具ﾚｰﾄ" localSheetId="1">[409]非固内訳!$Q$23</definedName>
    <definedName name="治工具ﾚｰﾄ">[410]非固内訳!$Q$23</definedName>
    <definedName name="現図4WDDZ" localSheetId="1">[407]UPG表!#REF!</definedName>
    <definedName name="現図4WDDZ">[408]UPG表!#REF!</definedName>
    <definedName name="現図4WDDZL" localSheetId="1">[407]UPG表!#REF!</definedName>
    <definedName name="現図4WDDZL">[408]UPG表!#REF!</definedName>
    <definedName name="現図4WDDZX" localSheetId="1">[407]UPG表!#REF!</definedName>
    <definedName name="現図4WDDZX">[408]UPG表!#REF!</definedName>
    <definedName name="現図4WD共用" localSheetId="1">[407]UPG表!#REF!</definedName>
    <definedName name="現図4WD共用">[408]UPG表!#REF!</definedName>
    <definedName name="現図DOMDZ" localSheetId="1">[407]UPG表!#REF!</definedName>
    <definedName name="現図DOMDZ">[408]UPG表!#REF!</definedName>
    <definedName name="現図DOMDZL" localSheetId="1">[407]UPG表!#REF!</definedName>
    <definedName name="現図DOMDZL">[408]UPG表!#REF!</definedName>
    <definedName name="現図DOM共用" localSheetId="1">[407]UPG表!#REF!</definedName>
    <definedName name="現図DOM共用">[408]UPG表!#REF!</definedName>
    <definedName name="現図LHDDZ" localSheetId="1">[407]UPG表!#REF!</definedName>
    <definedName name="現図LHDDZ">[408]UPG表!#REF!</definedName>
    <definedName name="現図LHDDZL" localSheetId="1">[407]UPG表!#REF!</definedName>
    <definedName name="現図LHDDZL">[408]UPG表!#REF!</definedName>
    <definedName name="現図LHD共用" localSheetId="1">[407]UPG表!#REF!</definedName>
    <definedName name="現図LHD共用">[408]UPG表!#REF!</definedName>
    <definedName name="現図まとめ" localSheetId="1">[407]UPG表!#REF!</definedName>
    <definedName name="現図まとめ">[408]UPG表!#REF!</definedName>
    <definedName name="現図共用" localSheetId="1">[407]UPG表!#REF!</definedName>
    <definedName name="現図共用">[408]UPG表!#REF!</definedName>
    <definedName name="現図共用DZ" localSheetId="1">[407]UPG表!#REF!</definedName>
    <definedName name="現図共用DZ">[408]UPG表!#REF!</definedName>
    <definedName name="現図共用DZX" localSheetId="1">[407]UPG表!#REF!</definedName>
    <definedName name="現図共用DZX">[408]UPG表!#REF!</definedName>
    <definedName name="短縮日程" localSheetId="1">[411]個品ﾘｽﾄ!#REF!</definedName>
    <definedName name="短縮日程">[412]個品ﾘｽﾄ!#REF!</definedName>
    <definedName name="高ﾊﾞﾘ低減" localSheetId="1">[411]個品ﾘｽﾄ!#REF!</definedName>
    <definedName name="高ﾊﾞﾘ低減">[412]個品ﾘｽﾄ!#REF!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7" i="32" l="1"/>
  <c r="P197" i="32"/>
  <c r="O197" i="32"/>
  <c r="N197" i="32"/>
  <c r="M197" i="32"/>
  <c r="L197" i="32"/>
  <c r="K197" i="32"/>
  <c r="J197" i="32"/>
  <c r="I197" i="32"/>
  <c r="H197" i="32"/>
  <c r="G197" i="32"/>
  <c r="F197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R197" i="32" l="1"/>
  <c r="R132" i="32"/>
  <c r="AB12" i="33" l="1"/>
  <c r="AB30" i="33"/>
  <c r="AB47" i="33"/>
  <c r="AB49" i="33"/>
  <c r="AB48" i="33"/>
  <c r="AB32" i="33"/>
  <c r="AB31" i="33"/>
  <c r="Q66" i="32"/>
  <c r="P66" i="32"/>
  <c r="O66" i="32"/>
  <c r="N66" i="32"/>
  <c r="M66" i="32"/>
  <c r="L66" i="32"/>
  <c r="K66" i="32"/>
  <c r="J66" i="32"/>
  <c r="I66" i="32"/>
  <c r="H66" i="32"/>
  <c r="G66" i="32"/>
  <c r="F66" i="32"/>
  <c r="AA53" i="33"/>
  <c r="Y53" i="33"/>
  <c r="W53" i="33"/>
  <c r="U53" i="33"/>
  <c r="S53" i="33"/>
  <c r="Q53" i="33"/>
  <c r="O53" i="33"/>
  <c r="M53" i="33"/>
  <c r="K53" i="33"/>
  <c r="I53" i="33"/>
  <c r="G53" i="33"/>
  <c r="E53" i="33"/>
  <c r="AA18" i="33"/>
  <c r="Y18" i="33"/>
  <c r="W18" i="33"/>
  <c r="U18" i="33"/>
  <c r="S18" i="33"/>
  <c r="Q18" i="33"/>
  <c r="O18" i="33"/>
  <c r="M18" i="33"/>
  <c r="K18" i="33"/>
  <c r="I18" i="33"/>
  <c r="G18" i="33"/>
  <c r="E18" i="33"/>
  <c r="AB14" i="33"/>
  <c r="AB13" i="33"/>
  <c r="AA36" i="33"/>
  <c r="Y36" i="33"/>
  <c r="W36" i="33"/>
  <c r="U36" i="33"/>
  <c r="O36" i="33"/>
  <c r="M36" i="33"/>
  <c r="K36" i="33"/>
  <c r="I36" i="33"/>
  <c r="G36" i="33"/>
  <c r="S36" i="33"/>
  <c r="Q36" i="33"/>
  <c r="E36" i="33"/>
  <c r="B57" i="33"/>
  <c r="M80" i="37"/>
  <c r="M105" i="37"/>
  <c r="M130" i="37"/>
  <c r="Q40" i="37"/>
  <c r="AA265" i="37"/>
  <c r="Y265" i="37"/>
  <c r="W265" i="37"/>
  <c r="W267" i="37" s="1"/>
  <c r="W268" i="37" s="1"/>
  <c r="U265" i="37"/>
  <c r="U267" i="37" s="1"/>
  <c r="U268" i="37" s="1"/>
  <c r="S265" i="37"/>
  <c r="S267" i="37" s="1"/>
  <c r="S268" i="37" s="1"/>
  <c r="Q265" i="37"/>
  <c r="Q267" i="37" s="1"/>
  <c r="Q268" i="37" s="1"/>
  <c r="O265" i="37"/>
  <c r="O267" i="37" s="1"/>
  <c r="O268" i="37" s="1"/>
  <c r="M265" i="37"/>
  <c r="M267" i="37" s="1"/>
  <c r="M268" i="37" s="1"/>
  <c r="K265" i="37"/>
  <c r="K267" i="37" s="1"/>
  <c r="K268" i="37" s="1"/>
  <c r="I265" i="37"/>
  <c r="I267" i="37" s="1"/>
  <c r="I268" i="37" s="1"/>
  <c r="G265" i="37"/>
  <c r="G267" i="37" s="1"/>
  <c r="G268" i="37" s="1"/>
  <c r="E265" i="37"/>
  <c r="E267" i="37" s="1"/>
  <c r="E268" i="37" s="1"/>
  <c r="AA259" i="37"/>
  <c r="AA261" i="37" s="1"/>
  <c r="AA262" i="37" s="1"/>
  <c r="Y259" i="37"/>
  <c r="Y261" i="37" s="1"/>
  <c r="Y262" i="37" s="1"/>
  <c r="W259" i="37"/>
  <c r="W261" i="37" s="1"/>
  <c r="W262" i="37" s="1"/>
  <c r="U259" i="37"/>
  <c r="U261" i="37" s="1"/>
  <c r="U262" i="37" s="1"/>
  <c r="S259" i="37"/>
  <c r="S261" i="37" s="1"/>
  <c r="S262" i="37" s="1"/>
  <c r="Q259" i="37"/>
  <c r="Q261" i="37" s="1"/>
  <c r="Q262" i="37" s="1"/>
  <c r="O259" i="37"/>
  <c r="O261" i="37" s="1"/>
  <c r="O262" i="37" s="1"/>
  <c r="M259" i="37"/>
  <c r="M261" i="37" s="1"/>
  <c r="M262" i="37" s="1"/>
  <c r="K259" i="37"/>
  <c r="K261" i="37" s="1"/>
  <c r="K262" i="37" s="1"/>
  <c r="I259" i="37"/>
  <c r="I261" i="37" s="1"/>
  <c r="I262" i="37" s="1"/>
  <c r="G259" i="37"/>
  <c r="G261" i="37" s="1"/>
  <c r="G262" i="37" s="1"/>
  <c r="E259" i="37"/>
  <c r="E261" i="37" s="1"/>
  <c r="E262" i="37" s="1"/>
  <c r="AA253" i="37"/>
  <c r="AA255" i="37" s="1"/>
  <c r="AA256" i="37" s="1"/>
  <c r="Y253" i="37"/>
  <c r="Y255" i="37" s="1"/>
  <c r="Y256" i="37" s="1"/>
  <c r="W253" i="37"/>
  <c r="W255" i="37" s="1"/>
  <c r="W256" i="37" s="1"/>
  <c r="U253" i="37"/>
  <c r="U255" i="37" s="1"/>
  <c r="U256" i="37" s="1"/>
  <c r="S253" i="37"/>
  <c r="S255" i="37" s="1"/>
  <c r="S256" i="37" s="1"/>
  <c r="Q253" i="37"/>
  <c r="Q255" i="37" s="1"/>
  <c r="Q256" i="37" s="1"/>
  <c r="O253" i="37"/>
  <c r="O255" i="37" s="1"/>
  <c r="O256" i="37" s="1"/>
  <c r="M253" i="37"/>
  <c r="M255" i="37" s="1"/>
  <c r="M256" i="37" s="1"/>
  <c r="K253" i="37"/>
  <c r="K255" i="37" s="1"/>
  <c r="K256" i="37" s="1"/>
  <c r="I253" i="37"/>
  <c r="I255" i="37" s="1"/>
  <c r="I256" i="37" s="1"/>
  <c r="G253" i="37"/>
  <c r="G255" i="37" s="1"/>
  <c r="G256" i="37" s="1"/>
  <c r="E253" i="37"/>
  <c r="E255" i="37" s="1"/>
  <c r="E256" i="37" s="1"/>
  <c r="AA247" i="37"/>
  <c r="AA249" i="37" s="1"/>
  <c r="AA250" i="37" s="1"/>
  <c r="Y247" i="37"/>
  <c r="Y249" i="37" s="1"/>
  <c r="Y250" i="37" s="1"/>
  <c r="W247" i="37"/>
  <c r="W249" i="37" s="1"/>
  <c r="W250" i="37" s="1"/>
  <c r="U247" i="37"/>
  <c r="U249" i="37" s="1"/>
  <c r="U250" i="37" s="1"/>
  <c r="S247" i="37"/>
  <c r="S249" i="37" s="1"/>
  <c r="S250" i="37" s="1"/>
  <c r="Q247" i="37"/>
  <c r="Q249" i="37" s="1"/>
  <c r="Q250" i="37" s="1"/>
  <c r="O247" i="37"/>
  <c r="O249" i="37" s="1"/>
  <c r="O250" i="37" s="1"/>
  <c r="M247" i="37"/>
  <c r="M249" i="37" s="1"/>
  <c r="M250" i="37" s="1"/>
  <c r="K247" i="37"/>
  <c r="K249" i="37" s="1"/>
  <c r="K250" i="37" s="1"/>
  <c r="I247" i="37"/>
  <c r="I249" i="37" s="1"/>
  <c r="I250" i="37" s="1"/>
  <c r="G247" i="37"/>
  <c r="G249" i="37" s="1"/>
  <c r="G250" i="37" s="1"/>
  <c r="E247" i="37"/>
  <c r="E249" i="37" s="1"/>
  <c r="E250" i="37" s="1"/>
  <c r="AA242" i="37"/>
  <c r="AA244" i="37" s="1"/>
  <c r="AA245" i="37" s="1"/>
  <c r="Y242" i="37"/>
  <c r="Y244" i="37" s="1"/>
  <c r="Y245" i="37" s="1"/>
  <c r="W242" i="37"/>
  <c r="W244" i="37" s="1"/>
  <c r="W245" i="37" s="1"/>
  <c r="U242" i="37"/>
  <c r="U244" i="37" s="1"/>
  <c r="U245" i="37" s="1"/>
  <c r="S242" i="37"/>
  <c r="S244" i="37" s="1"/>
  <c r="S245" i="37" s="1"/>
  <c r="Q242" i="37"/>
  <c r="Q244" i="37" s="1"/>
  <c r="Q245" i="37" s="1"/>
  <c r="O242" i="37"/>
  <c r="O244" i="37" s="1"/>
  <c r="O245" i="37" s="1"/>
  <c r="M242" i="37"/>
  <c r="M244" i="37" s="1"/>
  <c r="M245" i="37" s="1"/>
  <c r="K242" i="37"/>
  <c r="K244" i="37" s="1"/>
  <c r="K245" i="37" s="1"/>
  <c r="I242" i="37"/>
  <c r="I244" i="37" s="1"/>
  <c r="I245" i="37" s="1"/>
  <c r="G242" i="37"/>
  <c r="G244" i="37" s="1"/>
  <c r="G245" i="37" s="1"/>
  <c r="E242" i="37"/>
  <c r="E244" i="37" s="1"/>
  <c r="E245" i="37" s="1"/>
  <c r="AA236" i="37"/>
  <c r="AA239" i="37" s="1"/>
  <c r="AA240" i="37" s="1"/>
  <c r="Y236" i="37"/>
  <c r="Y239" i="37" s="1"/>
  <c r="Y240" i="37" s="1"/>
  <c r="W236" i="37"/>
  <c r="W239" i="37" s="1"/>
  <c r="W240" i="37" s="1"/>
  <c r="U236" i="37"/>
  <c r="U239" i="37" s="1"/>
  <c r="U240" i="37" s="1"/>
  <c r="S236" i="37"/>
  <c r="S239" i="37" s="1"/>
  <c r="S240" i="37" s="1"/>
  <c r="Q236" i="37"/>
  <c r="Q239" i="37" s="1"/>
  <c r="Q240" i="37" s="1"/>
  <c r="O236" i="37"/>
  <c r="O239" i="37" s="1"/>
  <c r="O240" i="37" s="1"/>
  <c r="M236" i="37"/>
  <c r="M239" i="37" s="1"/>
  <c r="M240" i="37" s="1"/>
  <c r="K236" i="37"/>
  <c r="K239" i="37" s="1"/>
  <c r="K240" i="37" s="1"/>
  <c r="I236" i="37"/>
  <c r="I239" i="37" s="1"/>
  <c r="I240" i="37" s="1"/>
  <c r="G236" i="37"/>
  <c r="G239" i="37" s="1"/>
  <c r="G240" i="37" s="1"/>
  <c r="E236" i="37"/>
  <c r="E239" i="37" s="1"/>
  <c r="E240" i="37" s="1"/>
  <c r="AA230" i="37"/>
  <c r="AA232" i="37" s="1"/>
  <c r="AA233" i="37" s="1"/>
  <c r="Y230" i="37"/>
  <c r="Y232" i="37" s="1"/>
  <c r="Y233" i="37" s="1"/>
  <c r="W230" i="37"/>
  <c r="W232" i="37" s="1"/>
  <c r="W233" i="37" s="1"/>
  <c r="U230" i="37"/>
  <c r="U232" i="37" s="1"/>
  <c r="U233" i="37" s="1"/>
  <c r="S230" i="37"/>
  <c r="S232" i="37" s="1"/>
  <c r="S233" i="37" s="1"/>
  <c r="Q230" i="37"/>
  <c r="Q232" i="37" s="1"/>
  <c r="Q233" i="37" s="1"/>
  <c r="O230" i="37"/>
  <c r="O232" i="37" s="1"/>
  <c r="O233" i="37" s="1"/>
  <c r="M230" i="37"/>
  <c r="M232" i="37" s="1"/>
  <c r="M233" i="37" s="1"/>
  <c r="K230" i="37"/>
  <c r="K232" i="37" s="1"/>
  <c r="K233" i="37" s="1"/>
  <c r="I230" i="37"/>
  <c r="I232" i="37" s="1"/>
  <c r="I233" i="37" s="1"/>
  <c r="G230" i="37"/>
  <c r="G232" i="37" s="1"/>
  <c r="G233" i="37" s="1"/>
  <c r="E230" i="37"/>
  <c r="E232" i="37" s="1"/>
  <c r="E233" i="37" s="1"/>
  <c r="AA224" i="37"/>
  <c r="AA227" i="37" s="1"/>
  <c r="AA228" i="37" s="1"/>
  <c r="Y224" i="37"/>
  <c r="Y227" i="37" s="1"/>
  <c r="Y228" i="37" s="1"/>
  <c r="W224" i="37"/>
  <c r="W227" i="37" s="1"/>
  <c r="W228" i="37" s="1"/>
  <c r="U224" i="37"/>
  <c r="U227" i="37" s="1"/>
  <c r="U228" i="37" s="1"/>
  <c r="S224" i="37"/>
  <c r="S227" i="37" s="1"/>
  <c r="S228" i="37" s="1"/>
  <c r="Q224" i="37"/>
  <c r="Q227" i="37" s="1"/>
  <c r="Q228" i="37" s="1"/>
  <c r="O224" i="37"/>
  <c r="O227" i="37" s="1"/>
  <c r="O228" i="37" s="1"/>
  <c r="M224" i="37"/>
  <c r="M227" i="37" s="1"/>
  <c r="M228" i="37" s="1"/>
  <c r="K224" i="37"/>
  <c r="K227" i="37" s="1"/>
  <c r="K228" i="37" s="1"/>
  <c r="I224" i="37"/>
  <c r="I227" i="37" s="1"/>
  <c r="I228" i="37" s="1"/>
  <c r="G224" i="37"/>
  <c r="G227" i="37" s="1"/>
  <c r="G228" i="37" s="1"/>
  <c r="E224" i="37"/>
  <c r="E227" i="37" s="1"/>
  <c r="E228" i="37" s="1"/>
  <c r="M221" i="37"/>
  <c r="M222" i="37" s="1"/>
  <c r="AA219" i="37"/>
  <c r="AA221" i="37" s="1"/>
  <c r="Y219" i="37"/>
  <c r="Y221" i="37" s="1"/>
  <c r="W219" i="37"/>
  <c r="W221" i="37" s="1"/>
  <c r="W222" i="37" s="1"/>
  <c r="U219" i="37"/>
  <c r="U221" i="37" s="1"/>
  <c r="U222" i="37" s="1"/>
  <c r="S219" i="37"/>
  <c r="S221" i="37" s="1"/>
  <c r="S222" i="37" s="1"/>
  <c r="Q219" i="37"/>
  <c r="Q221" i="37" s="1"/>
  <c r="Q222" i="37" s="1"/>
  <c r="O219" i="37"/>
  <c r="O221" i="37" s="1"/>
  <c r="O222" i="37" s="1"/>
  <c r="M219" i="37"/>
  <c r="K219" i="37"/>
  <c r="K221" i="37" s="1"/>
  <c r="K222" i="37" s="1"/>
  <c r="I219" i="37"/>
  <c r="I221" i="37" s="1"/>
  <c r="I222" i="37" s="1"/>
  <c r="G219" i="37"/>
  <c r="G221" i="37" s="1"/>
  <c r="G222" i="37" s="1"/>
  <c r="E219" i="37"/>
  <c r="E221" i="37" s="1"/>
  <c r="E222" i="37" s="1"/>
  <c r="AA213" i="37"/>
  <c r="Y213" i="37"/>
  <c r="W213" i="37"/>
  <c r="U213" i="37"/>
  <c r="S213" i="37"/>
  <c r="Q213" i="37"/>
  <c r="O213" i="37"/>
  <c r="M213" i="37"/>
  <c r="K213" i="37"/>
  <c r="I213" i="37"/>
  <c r="G213" i="37"/>
  <c r="E213" i="37"/>
  <c r="AA212" i="37"/>
  <c r="Y212" i="37"/>
  <c r="W212" i="37"/>
  <c r="U212" i="37"/>
  <c r="S212" i="37"/>
  <c r="Q212" i="37"/>
  <c r="O212" i="37"/>
  <c r="M212" i="37"/>
  <c r="K212" i="37"/>
  <c r="I212" i="37"/>
  <c r="G212" i="37"/>
  <c r="E212" i="37"/>
  <c r="AA211" i="37"/>
  <c r="Y211" i="37"/>
  <c r="W211" i="37"/>
  <c r="U211" i="37"/>
  <c r="S211" i="37"/>
  <c r="Q211" i="37"/>
  <c r="O211" i="37"/>
  <c r="M211" i="37"/>
  <c r="K211" i="37"/>
  <c r="I211" i="37"/>
  <c r="G211" i="37"/>
  <c r="E211" i="37"/>
  <c r="AA210" i="37"/>
  <c r="Y210" i="37"/>
  <c r="W210" i="37"/>
  <c r="U210" i="37"/>
  <c r="S210" i="37"/>
  <c r="Q210" i="37"/>
  <c r="O210" i="37"/>
  <c r="M210" i="37"/>
  <c r="K210" i="37"/>
  <c r="I210" i="37"/>
  <c r="G210" i="37"/>
  <c r="E210" i="37"/>
  <c r="AA209" i="37"/>
  <c r="Y209" i="37"/>
  <c r="W209" i="37"/>
  <c r="U209" i="37"/>
  <c r="S209" i="37"/>
  <c r="Q209" i="37"/>
  <c r="O209" i="37"/>
  <c r="M209" i="37"/>
  <c r="K209" i="37"/>
  <c r="I209" i="37"/>
  <c r="G209" i="37"/>
  <c r="E209" i="37"/>
  <c r="AA207" i="37"/>
  <c r="Y207" i="37"/>
  <c r="W207" i="37"/>
  <c r="U207" i="37"/>
  <c r="S207" i="37"/>
  <c r="Q207" i="37"/>
  <c r="O207" i="37"/>
  <c r="M207" i="37"/>
  <c r="K207" i="37"/>
  <c r="I207" i="37"/>
  <c r="G207" i="37"/>
  <c r="E207" i="37"/>
  <c r="AA206" i="37"/>
  <c r="Y206" i="37"/>
  <c r="W206" i="37"/>
  <c r="U206" i="37"/>
  <c r="S206" i="37"/>
  <c r="Q206" i="37"/>
  <c r="O206" i="37"/>
  <c r="M206" i="37"/>
  <c r="K206" i="37"/>
  <c r="I206" i="37"/>
  <c r="G206" i="37"/>
  <c r="E206" i="37"/>
  <c r="AA205" i="37"/>
  <c r="Y205" i="37"/>
  <c r="W205" i="37"/>
  <c r="U205" i="37"/>
  <c r="S205" i="37"/>
  <c r="Q205" i="37"/>
  <c r="O205" i="37"/>
  <c r="M205" i="37"/>
  <c r="K205" i="37"/>
  <c r="I205" i="37"/>
  <c r="G205" i="37"/>
  <c r="E205" i="37"/>
  <c r="AA204" i="37"/>
  <c r="Y204" i="37"/>
  <c r="W204" i="37"/>
  <c r="U204" i="37"/>
  <c r="S204" i="37"/>
  <c r="Q204" i="37"/>
  <c r="O204" i="37"/>
  <c r="M204" i="37"/>
  <c r="K204" i="37"/>
  <c r="I204" i="37"/>
  <c r="G204" i="37"/>
  <c r="E204" i="37"/>
  <c r="AA202" i="37"/>
  <c r="Y202" i="37"/>
  <c r="W202" i="37"/>
  <c r="U202" i="37"/>
  <c r="S202" i="37"/>
  <c r="Q202" i="37"/>
  <c r="O202" i="37"/>
  <c r="M202" i="37"/>
  <c r="K202" i="37"/>
  <c r="I202" i="37"/>
  <c r="G202" i="37"/>
  <c r="E202" i="37"/>
  <c r="AA201" i="37"/>
  <c r="Y201" i="37"/>
  <c r="W201" i="37"/>
  <c r="U201" i="37"/>
  <c r="S201" i="37"/>
  <c r="Q201" i="37"/>
  <c r="O201" i="37"/>
  <c r="M201" i="37"/>
  <c r="K201" i="37"/>
  <c r="I201" i="37"/>
  <c r="G201" i="37"/>
  <c r="E201" i="37"/>
  <c r="AA200" i="37"/>
  <c r="Y200" i="37"/>
  <c r="W200" i="37"/>
  <c r="U200" i="37"/>
  <c r="S200" i="37"/>
  <c r="Q200" i="37"/>
  <c r="O200" i="37"/>
  <c r="M200" i="37"/>
  <c r="K200" i="37"/>
  <c r="I200" i="37"/>
  <c r="G200" i="37"/>
  <c r="E200" i="37"/>
  <c r="AA199" i="37"/>
  <c r="Y199" i="37"/>
  <c r="W199" i="37"/>
  <c r="U199" i="37"/>
  <c r="U215" i="37" s="1"/>
  <c r="U216" i="37" s="1"/>
  <c r="S199" i="37"/>
  <c r="Q199" i="37"/>
  <c r="O199" i="37"/>
  <c r="M199" i="37"/>
  <c r="K199" i="37"/>
  <c r="I199" i="37"/>
  <c r="G199" i="37"/>
  <c r="E199" i="37"/>
  <c r="AA193" i="37"/>
  <c r="Y193" i="37"/>
  <c r="W193" i="37"/>
  <c r="U193" i="37"/>
  <c r="S193" i="37"/>
  <c r="Q193" i="37"/>
  <c r="O193" i="37"/>
  <c r="M193" i="37"/>
  <c r="K193" i="37"/>
  <c r="I193" i="37"/>
  <c r="G193" i="37"/>
  <c r="E193" i="37"/>
  <c r="AA192" i="37"/>
  <c r="Y192" i="37"/>
  <c r="W192" i="37"/>
  <c r="U192" i="37"/>
  <c r="S192" i="37"/>
  <c r="Q192" i="37"/>
  <c r="O192" i="37"/>
  <c r="M192" i="37"/>
  <c r="K192" i="37"/>
  <c r="I192" i="37"/>
  <c r="G192" i="37"/>
  <c r="E192" i="37"/>
  <c r="AA191" i="37"/>
  <c r="Y191" i="37"/>
  <c r="W191" i="37"/>
  <c r="U191" i="37"/>
  <c r="S191" i="37"/>
  <c r="Q191" i="37"/>
  <c r="O191" i="37"/>
  <c r="M191" i="37"/>
  <c r="K191" i="37"/>
  <c r="I191" i="37"/>
  <c r="G191" i="37"/>
  <c r="E191" i="37"/>
  <c r="AA190" i="37"/>
  <c r="Y190" i="37"/>
  <c r="W190" i="37"/>
  <c r="U190" i="37"/>
  <c r="S190" i="37"/>
  <c r="Q190" i="37"/>
  <c r="O190" i="37"/>
  <c r="M190" i="37"/>
  <c r="K190" i="37"/>
  <c r="I190" i="37"/>
  <c r="G190" i="37"/>
  <c r="E190" i="37"/>
  <c r="AA188" i="37"/>
  <c r="Y188" i="37"/>
  <c r="W188" i="37"/>
  <c r="U188" i="37"/>
  <c r="S188" i="37"/>
  <c r="Q188" i="37"/>
  <c r="O188" i="37"/>
  <c r="M188" i="37"/>
  <c r="K188" i="37"/>
  <c r="I188" i="37"/>
  <c r="G188" i="37"/>
  <c r="E188" i="37"/>
  <c r="AA187" i="37"/>
  <c r="Y187" i="37"/>
  <c r="W187" i="37"/>
  <c r="U187" i="37"/>
  <c r="S187" i="37"/>
  <c r="Q187" i="37"/>
  <c r="O187" i="37"/>
  <c r="M187" i="37"/>
  <c r="K187" i="37"/>
  <c r="I187" i="37"/>
  <c r="G187" i="37"/>
  <c r="E187" i="37"/>
  <c r="AA186" i="37"/>
  <c r="Y186" i="37"/>
  <c r="W186" i="37"/>
  <c r="U186" i="37"/>
  <c r="S186" i="37"/>
  <c r="Q186" i="37"/>
  <c r="O186" i="37"/>
  <c r="M186" i="37"/>
  <c r="K186" i="37"/>
  <c r="I186" i="37"/>
  <c r="G186" i="37"/>
  <c r="E186" i="37"/>
  <c r="AA185" i="37"/>
  <c r="Y185" i="37"/>
  <c r="W185" i="37"/>
  <c r="U185" i="37"/>
  <c r="S185" i="37"/>
  <c r="S196" i="37" s="1"/>
  <c r="S197" i="37" s="1"/>
  <c r="Q185" i="37"/>
  <c r="O185" i="37"/>
  <c r="M185" i="37"/>
  <c r="M196" i="37" s="1"/>
  <c r="M197" i="37" s="1"/>
  <c r="K185" i="37"/>
  <c r="I185" i="37"/>
  <c r="G185" i="37"/>
  <c r="E185" i="37"/>
  <c r="AA180" i="37"/>
  <c r="Y180" i="37"/>
  <c r="W180" i="37"/>
  <c r="U180" i="37"/>
  <c r="S180" i="37"/>
  <c r="Q180" i="37"/>
  <c r="O180" i="37"/>
  <c r="M180" i="37"/>
  <c r="K180" i="37"/>
  <c r="I180" i="37"/>
  <c r="G180" i="37"/>
  <c r="E180" i="37"/>
  <c r="AA179" i="37"/>
  <c r="Y179" i="37"/>
  <c r="W179" i="37"/>
  <c r="U179" i="37"/>
  <c r="S179" i="37"/>
  <c r="Q179" i="37"/>
  <c r="O179" i="37"/>
  <c r="M179" i="37"/>
  <c r="K179" i="37"/>
  <c r="I179" i="37"/>
  <c r="G179" i="37"/>
  <c r="E179" i="37"/>
  <c r="AA178" i="37"/>
  <c r="Y178" i="37"/>
  <c r="W178" i="37"/>
  <c r="U178" i="37"/>
  <c r="S178" i="37"/>
  <c r="Q178" i="37"/>
  <c r="O178" i="37"/>
  <c r="M178" i="37"/>
  <c r="K178" i="37"/>
  <c r="I178" i="37"/>
  <c r="G178" i="37"/>
  <c r="E178" i="37"/>
  <c r="AA177" i="37"/>
  <c r="Y177" i="37"/>
  <c r="W177" i="37"/>
  <c r="U177" i="37"/>
  <c r="S177" i="37"/>
  <c r="Q177" i="37"/>
  <c r="O177" i="37"/>
  <c r="M177" i="37"/>
  <c r="K177" i="37"/>
  <c r="I177" i="37"/>
  <c r="G177" i="37"/>
  <c r="E177" i="37"/>
  <c r="AA176" i="37"/>
  <c r="Y176" i="37"/>
  <c r="W176" i="37"/>
  <c r="U176" i="37"/>
  <c r="S176" i="37"/>
  <c r="Q176" i="37"/>
  <c r="O176" i="37"/>
  <c r="M176" i="37"/>
  <c r="K176" i="37"/>
  <c r="I176" i="37"/>
  <c r="G176" i="37"/>
  <c r="E176" i="37"/>
  <c r="AA174" i="37"/>
  <c r="Y174" i="37"/>
  <c r="W174" i="37"/>
  <c r="U174" i="37"/>
  <c r="S174" i="37"/>
  <c r="Q174" i="37"/>
  <c r="O174" i="37"/>
  <c r="M174" i="37"/>
  <c r="K174" i="37"/>
  <c r="I174" i="37"/>
  <c r="G174" i="37"/>
  <c r="E174" i="37"/>
  <c r="AA173" i="37"/>
  <c r="Y173" i="37"/>
  <c r="W173" i="37"/>
  <c r="U173" i="37"/>
  <c r="S173" i="37"/>
  <c r="Q173" i="37"/>
  <c r="O173" i="37"/>
  <c r="M173" i="37"/>
  <c r="K173" i="37"/>
  <c r="I173" i="37"/>
  <c r="G173" i="37"/>
  <c r="E173" i="37"/>
  <c r="AA172" i="37"/>
  <c r="Y172" i="37"/>
  <c r="W172" i="37"/>
  <c r="U172" i="37"/>
  <c r="S172" i="37"/>
  <c r="Q172" i="37"/>
  <c r="O172" i="37"/>
  <c r="M172" i="37"/>
  <c r="K172" i="37"/>
  <c r="I172" i="37"/>
  <c r="G172" i="37"/>
  <c r="E172" i="37"/>
  <c r="AA171" i="37"/>
  <c r="Y171" i="37"/>
  <c r="W171" i="37"/>
  <c r="U171" i="37"/>
  <c r="S171" i="37"/>
  <c r="Q171" i="37"/>
  <c r="O171" i="37"/>
  <c r="M171" i="37"/>
  <c r="K171" i="37"/>
  <c r="I171" i="37"/>
  <c r="G171" i="37"/>
  <c r="E171" i="37"/>
  <c r="AA170" i="37"/>
  <c r="Y170" i="37"/>
  <c r="W170" i="37"/>
  <c r="U170" i="37"/>
  <c r="S170" i="37"/>
  <c r="Q170" i="37"/>
  <c r="O170" i="37"/>
  <c r="M170" i="37"/>
  <c r="K170" i="37"/>
  <c r="I170" i="37"/>
  <c r="G170" i="37"/>
  <c r="E170" i="37"/>
  <c r="AA168" i="37"/>
  <c r="Y168" i="37"/>
  <c r="W168" i="37"/>
  <c r="U168" i="37"/>
  <c r="S168" i="37"/>
  <c r="Q168" i="37"/>
  <c r="O168" i="37"/>
  <c r="M168" i="37"/>
  <c r="K168" i="37"/>
  <c r="I168" i="37"/>
  <c r="G168" i="37"/>
  <c r="E168" i="37"/>
  <c r="AA167" i="37"/>
  <c r="Y167" i="37"/>
  <c r="W167" i="37"/>
  <c r="U167" i="37"/>
  <c r="S167" i="37"/>
  <c r="Q167" i="37"/>
  <c r="O167" i="37"/>
  <c r="M167" i="37"/>
  <c r="K167" i="37"/>
  <c r="I167" i="37"/>
  <c r="G167" i="37"/>
  <c r="E167" i="37"/>
  <c r="AA166" i="37"/>
  <c r="Y166" i="37"/>
  <c r="W166" i="37"/>
  <c r="U166" i="37"/>
  <c r="S166" i="37"/>
  <c r="Q166" i="37"/>
  <c r="O166" i="37"/>
  <c r="M166" i="37"/>
  <c r="K166" i="37"/>
  <c r="I166" i="37"/>
  <c r="G166" i="37"/>
  <c r="E166" i="37"/>
  <c r="AA165" i="37"/>
  <c r="Y165" i="37"/>
  <c r="W165" i="37"/>
  <c r="U165" i="37"/>
  <c r="S165" i="37"/>
  <c r="Q165" i="37"/>
  <c r="O165" i="37"/>
  <c r="M165" i="37"/>
  <c r="K165" i="37"/>
  <c r="I165" i="37"/>
  <c r="G165" i="37"/>
  <c r="E165" i="37"/>
  <c r="AA163" i="37"/>
  <c r="Y163" i="37"/>
  <c r="W163" i="37"/>
  <c r="U163" i="37"/>
  <c r="S163" i="37"/>
  <c r="Q163" i="37"/>
  <c r="O163" i="37"/>
  <c r="M163" i="37"/>
  <c r="K163" i="37"/>
  <c r="I163" i="37"/>
  <c r="G163" i="37"/>
  <c r="E163" i="37"/>
  <c r="AA162" i="37"/>
  <c r="Y162" i="37"/>
  <c r="W162" i="37"/>
  <c r="U162" i="37"/>
  <c r="S162" i="37"/>
  <c r="Q162" i="37"/>
  <c r="O162" i="37"/>
  <c r="M162" i="37"/>
  <c r="K162" i="37"/>
  <c r="I162" i="37"/>
  <c r="G162" i="37"/>
  <c r="E162" i="37"/>
  <c r="AA161" i="37"/>
  <c r="Y161" i="37"/>
  <c r="W161" i="37"/>
  <c r="U161" i="37"/>
  <c r="S161" i="37"/>
  <c r="Q161" i="37"/>
  <c r="O161" i="37"/>
  <c r="M161" i="37"/>
  <c r="K161" i="37"/>
  <c r="I161" i="37"/>
  <c r="G161" i="37"/>
  <c r="E161" i="37"/>
  <c r="AA160" i="37"/>
  <c r="Y160" i="37"/>
  <c r="W160" i="37"/>
  <c r="U160" i="37"/>
  <c r="S160" i="37"/>
  <c r="Q160" i="37"/>
  <c r="O160" i="37"/>
  <c r="M160" i="37"/>
  <c r="K160" i="37"/>
  <c r="I160" i="37"/>
  <c r="G160" i="37"/>
  <c r="E160" i="37"/>
  <c r="AA155" i="37"/>
  <c r="Y155" i="37"/>
  <c r="W155" i="37"/>
  <c r="U155" i="37"/>
  <c r="S155" i="37"/>
  <c r="Q155" i="37"/>
  <c r="O155" i="37"/>
  <c r="M155" i="37"/>
  <c r="K155" i="37"/>
  <c r="I155" i="37"/>
  <c r="G155" i="37"/>
  <c r="E155" i="37"/>
  <c r="AA154" i="37"/>
  <c r="Y154" i="37"/>
  <c r="W154" i="37"/>
  <c r="U154" i="37"/>
  <c r="S154" i="37"/>
  <c r="Q154" i="37"/>
  <c r="O154" i="37"/>
  <c r="M154" i="37"/>
  <c r="K154" i="37"/>
  <c r="I154" i="37"/>
  <c r="G154" i="37"/>
  <c r="E154" i="37"/>
  <c r="AA153" i="37"/>
  <c r="Y153" i="37"/>
  <c r="W153" i="37"/>
  <c r="U153" i="37"/>
  <c r="S153" i="37"/>
  <c r="Q153" i="37"/>
  <c r="O153" i="37"/>
  <c r="M153" i="37"/>
  <c r="K153" i="37"/>
  <c r="I153" i="37"/>
  <c r="G153" i="37"/>
  <c r="E153" i="37"/>
  <c r="AA152" i="37"/>
  <c r="Y152" i="37"/>
  <c r="W152" i="37"/>
  <c r="U152" i="37"/>
  <c r="S152" i="37"/>
  <c r="Q152" i="37"/>
  <c r="O152" i="37"/>
  <c r="M152" i="37"/>
  <c r="K152" i="37"/>
  <c r="I152" i="37"/>
  <c r="G152" i="37"/>
  <c r="E152" i="37"/>
  <c r="AA151" i="37"/>
  <c r="Y151" i="37"/>
  <c r="W151" i="37"/>
  <c r="U151" i="37"/>
  <c r="S151" i="37"/>
  <c r="Q151" i="37"/>
  <c r="O151" i="37"/>
  <c r="M151" i="37"/>
  <c r="K151" i="37"/>
  <c r="I151" i="37"/>
  <c r="G151" i="37"/>
  <c r="E151" i="37"/>
  <c r="AA149" i="37"/>
  <c r="Y149" i="37"/>
  <c r="W149" i="37"/>
  <c r="U149" i="37"/>
  <c r="S149" i="37"/>
  <c r="Q149" i="37"/>
  <c r="O149" i="37"/>
  <c r="M149" i="37"/>
  <c r="K149" i="37"/>
  <c r="I149" i="37"/>
  <c r="G149" i="37"/>
  <c r="E149" i="37"/>
  <c r="AA148" i="37"/>
  <c r="Y148" i="37"/>
  <c r="W148" i="37"/>
  <c r="U148" i="37"/>
  <c r="S148" i="37"/>
  <c r="Q148" i="37"/>
  <c r="O148" i="37"/>
  <c r="M148" i="37"/>
  <c r="K148" i="37"/>
  <c r="I148" i="37"/>
  <c r="G148" i="37"/>
  <c r="E148" i="37"/>
  <c r="AA147" i="37"/>
  <c r="Y147" i="37"/>
  <c r="W147" i="37"/>
  <c r="U147" i="37"/>
  <c r="S147" i="37"/>
  <c r="Q147" i="37"/>
  <c r="O147" i="37"/>
  <c r="M147" i="37"/>
  <c r="K147" i="37"/>
  <c r="I147" i="37"/>
  <c r="G147" i="37"/>
  <c r="E147" i="37"/>
  <c r="AA146" i="37"/>
  <c r="Y146" i="37"/>
  <c r="W146" i="37"/>
  <c r="U146" i="37"/>
  <c r="S146" i="37"/>
  <c r="Q146" i="37"/>
  <c r="O146" i="37"/>
  <c r="M146" i="37"/>
  <c r="K146" i="37"/>
  <c r="I146" i="37"/>
  <c r="G146" i="37"/>
  <c r="E146" i="37"/>
  <c r="AA145" i="37"/>
  <c r="Y145" i="37"/>
  <c r="W145" i="37"/>
  <c r="U145" i="37"/>
  <c r="S145" i="37"/>
  <c r="Q145" i="37"/>
  <c r="O145" i="37"/>
  <c r="M145" i="37"/>
  <c r="K145" i="37"/>
  <c r="I145" i="37"/>
  <c r="G145" i="37"/>
  <c r="E145" i="37"/>
  <c r="AA143" i="37"/>
  <c r="Y143" i="37"/>
  <c r="W143" i="37"/>
  <c r="U143" i="37"/>
  <c r="S143" i="37"/>
  <c r="Q143" i="37"/>
  <c r="O143" i="37"/>
  <c r="M143" i="37"/>
  <c r="K143" i="37"/>
  <c r="I143" i="37"/>
  <c r="G143" i="37"/>
  <c r="E143" i="37"/>
  <c r="AA142" i="37"/>
  <c r="Y142" i="37"/>
  <c r="W142" i="37"/>
  <c r="U142" i="37"/>
  <c r="S142" i="37"/>
  <c r="Q142" i="37"/>
  <c r="O142" i="37"/>
  <c r="M142" i="37"/>
  <c r="K142" i="37"/>
  <c r="I142" i="37"/>
  <c r="G142" i="37"/>
  <c r="E142" i="37"/>
  <c r="AA141" i="37"/>
  <c r="Y141" i="37"/>
  <c r="W141" i="37"/>
  <c r="U141" i="37"/>
  <c r="S141" i="37"/>
  <c r="Q141" i="37"/>
  <c r="O141" i="37"/>
  <c r="M141" i="37"/>
  <c r="K141" i="37"/>
  <c r="I141" i="37"/>
  <c r="G141" i="37"/>
  <c r="E141" i="37"/>
  <c r="AA140" i="37"/>
  <c r="Y140" i="37"/>
  <c r="W140" i="37"/>
  <c r="U140" i="37"/>
  <c r="S140" i="37"/>
  <c r="Q140" i="37"/>
  <c r="O140" i="37"/>
  <c r="M140" i="37"/>
  <c r="K140" i="37"/>
  <c r="I140" i="37"/>
  <c r="G140" i="37"/>
  <c r="E140" i="37"/>
  <c r="AA138" i="37"/>
  <c r="Y138" i="37"/>
  <c r="W138" i="37"/>
  <c r="U138" i="37"/>
  <c r="S138" i="37"/>
  <c r="Q138" i="37"/>
  <c r="O138" i="37"/>
  <c r="M138" i="37"/>
  <c r="K138" i="37"/>
  <c r="I138" i="37"/>
  <c r="G138" i="37"/>
  <c r="E138" i="37"/>
  <c r="AA137" i="37"/>
  <c r="Y137" i="37"/>
  <c r="W137" i="37"/>
  <c r="U137" i="37"/>
  <c r="S137" i="37"/>
  <c r="Q137" i="37"/>
  <c r="O137" i="37"/>
  <c r="M137" i="37"/>
  <c r="K137" i="37"/>
  <c r="I137" i="37"/>
  <c r="G137" i="37"/>
  <c r="E137" i="37"/>
  <c r="AA136" i="37"/>
  <c r="Y136" i="37"/>
  <c r="W136" i="37"/>
  <c r="U136" i="37"/>
  <c r="S136" i="37"/>
  <c r="Q136" i="37"/>
  <c r="O136" i="37"/>
  <c r="M136" i="37"/>
  <c r="K136" i="37"/>
  <c r="I136" i="37"/>
  <c r="G136" i="37"/>
  <c r="E136" i="37"/>
  <c r="AA135" i="37"/>
  <c r="Y135" i="37"/>
  <c r="W135" i="37"/>
  <c r="U135" i="37"/>
  <c r="S135" i="37"/>
  <c r="Q135" i="37"/>
  <c r="O135" i="37"/>
  <c r="M135" i="37"/>
  <c r="K135" i="37"/>
  <c r="I135" i="37"/>
  <c r="G135" i="37"/>
  <c r="E135" i="37"/>
  <c r="AA130" i="37"/>
  <c r="Y130" i="37"/>
  <c r="W130" i="37"/>
  <c r="U130" i="37"/>
  <c r="S130" i="37"/>
  <c r="Q130" i="37"/>
  <c r="O130" i="37"/>
  <c r="K130" i="37"/>
  <c r="I130" i="37"/>
  <c r="G130" i="37"/>
  <c r="E130" i="37"/>
  <c r="AA129" i="37"/>
  <c r="Y129" i="37"/>
  <c r="W129" i="37"/>
  <c r="U129" i="37"/>
  <c r="S129" i="37"/>
  <c r="Q129" i="37"/>
  <c r="O129" i="37"/>
  <c r="M129" i="37"/>
  <c r="K129" i="37"/>
  <c r="I129" i="37"/>
  <c r="G129" i="37"/>
  <c r="E129" i="37"/>
  <c r="AA128" i="37"/>
  <c r="Y128" i="37"/>
  <c r="W128" i="37"/>
  <c r="U128" i="37"/>
  <c r="S128" i="37"/>
  <c r="Q128" i="37"/>
  <c r="O128" i="37"/>
  <c r="M128" i="37"/>
  <c r="K128" i="37"/>
  <c r="I128" i="37"/>
  <c r="G128" i="37"/>
  <c r="E128" i="37"/>
  <c r="AA127" i="37"/>
  <c r="Y127" i="37"/>
  <c r="W127" i="37"/>
  <c r="U127" i="37"/>
  <c r="S127" i="37"/>
  <c r="Q127" i="37"/>
  <c r="O127" i="37"/>
  <c r="M127" i="37"/>
  <c r="K127" i="37"/>
  <c r="I127" i="37"/>
  <c r="G127" i="37"/>
  <c r="E127" i="37"/>
  <c r="AA126" i="37"/>
  <c r="Y126" i="37"/>
  <c r="W126" i="37"/>
  <c r="U126" i="37"/>
  <c r="S126" i="37"/>
  <c r="Q126" i="37"/>
  <c r="O126" i="37"/>
  <c r="M126" i="37"/>
  <c r="K126" i="37"/>
  <c r="I126" i="37"/>
  <c r="G126" i="37"/>
  <c r="E126" i="37"/>
  <c r="AA124" i="37"/>
  <c r="Y124" i="37"/>
  <c r="W124" i="37"/>
  <c r="U124" i="37"/>
  <c r="S124" i="37"/>
  <c r="Q124" i="37"/>
  <c r="O124" i="37"/>
  <c r="M124" i="37"/>
  <c r="K124" i="37"/>
  <c r="I124" i="37"/>
  <c r="G124" i="37"/>
  <c r="E124" i="37"/>
  <c r="AA123" i="37"/>
  <c r="Y123" i="37"/>
  <c r="W123" i="37"/>
  <c r="U123" i="37"/>
  <c r="S123" i="37"/>
  <c r="Q123" i="37"/>
  <c r="O123" i="37"/>
  <c r="M123" i="37"/>
  <c r="K123" i="37"/>
  <c r="I123" i="37"/>
  <c r="G123" i="37"/>
  <c r="E123" i="37"/>
  <c r="AA122" i="37"/>
  <c r="Y122" i="37"/>
  <c r="W122" i="37"/>
  <c r="U122" i="37"/>
  <c r="S122" i="37"/>
  <c r="Q122" i="37"/>
  <c r="O122" i="37"/>
  <c r="M122" i="37"/>
  <c r="K122" i="37"/>
  <c r="I122" i="37"/>
  <c r="G122" i="37"/>
  <c r="E122" i="37"/>
  <c r="AA121" i="37"/>
  <c r="Y121" i="37"/>
  <c r="W121" i="37"/>
  <c r="U121" i="37"/>
  <c r="S121" i="37"/>
  <c r="Q121" i="37"/>
  <c r="O121" i="37"/>
  <c r="M121" i="37"/>
  <c r="K121" i="37"/>
  <c r="I121" i="37"/>
  <c r="G121" i="37"/>
  <c r="E121" i="37"/>
  <c r="AA120" i="37"/>
  <c r="Y120" i="37"/>
  <c r="W120" i="37"/>
  <c r="U120" i="37"/>
  <c r="S120" i="37"/>
  <c r="Q120" i="37"/>
  <c r="O120" i="37"/>
  <c r="M120" i="37"/>
  <c r="K120" i="37"/>
  <c r="I120" i="37"/>
  <c r="G120" i="37"/>
  <c r="E120" i="37"/>
  <c r="AA118" i="37"/>
  <c r="Y118" i="37"/>
  <c r="W118" i="37"/>
  <c r="U118" i="37"/>
  <c r="S118" i="37"/>
  <c r="Q118" i="37"/>
  <c r="O118" i="37"/>
  <c r="M118" i="37"/>
  <c r="K118" i="37"/>
  <c r="I118" i="37"/>
  <c r="G118" i="37"/>
  <c r="E118" i="37"/>
  <c r="AA117" i="37"/>
  <c r="Y117" i="37"/>
  <c r="W117" i="37"/>
  <c r="U117" i="37"/>
  <c r="S117" i="37"/>
  <c r="Q117" i="37"/>
  <c r="O117" i="37"/>
  <c r="M117" i="37"/>
  <c r="K117" i="37"/>
  <c r="I117" i="37"/>
  <c r="G117" i="37"/>
  <c r="E117" i="37"/>
  <c r="AA116" i="37"/>
  <c r="Y116" i="37"/>
  <c r="W116" i="37"/>
  <c r="U116" i="37"/>
  <c r="S116" i="37"/>
  <c r="Q116" i="37"/>
  <c r="O116" i="37"/>
  <c r="M116" i="37"/>
  <c r="K116" i="37"/>
  <c r="I116" i="37"/>
  <c r="G116" i="37"/>
  <c r="E116" i="37"/>
  <c r="AA115" i="37"/>
  <c r="Y115" i="37"/>
  <c r="W115" i="37"/>
  <c r="U115" i="37"/>
  <c r="S115" i="37"/>
  <c r="Q115" i="37"/>
  <c r="O115" i="37"/>
  <c r="M115" i="37"/>
  <c r="K115" i="37"/>
  <c r="I115" i="37"/>
  <c r="G115" i="37"/>
  <c r="E115" i="37"/>
  <c r="AA113" i="37"/>
  <c r="Y113" i="37"/>
  <c r="W113" i="37"/>
  <c r="U113" i="37"/>
  <c r="S113" i="37"/>
  <c r="Q113" i="37"/>
  <c r="O113" i="37"/>
  <c r="M113" i="37"/>
  <c r="K113" i="37"/>
  <c r="I113" i="37"/>
  <c r="G113" i="37"/>
  <c r="E113" i="37"/>
  <c r="AA112" i="37"/>
  <c r="Y112" i="37"/>
  <c r="W112" i="37"/>
  <c r="U112" i="37"/>
  <c r="S112" i="37"/>
  <c r="Q112" i="37"/>
  <c r="O112" i="37"/>
  <c r="M112" i="37"/>
  <c r="K112" i="37"/>
  <c r="I112" i="37"/>
  <c r="G112" i="37"/>
  <c r="E112" i="37"/>
  <c r="AA111" i="37"/>
  <c r="Y111" i="37"/>
  <c r="W111" i="37"/>
  <c r="U111" i="37"/>
  <c r="S111" i="37"/>
  <c r="Q111" i="37"/>
  <c r="O111" i="37"/>
  <c r="M111" i="37"/>
  <c r="K111" i="37"/>
  <c r="I111" i="37"/>
  <c r="G111" i="37"/>
  <c r="E111" i="37"/>
  <c r="AA110" i="37"/>
  <c r="AA132" i="37" s="1"/>
  <c r="AA133" i="37" s="1"/>
  <c r="Y110" i="37"/>
  <c r="W110" i="37"/>
  <c r="U110" i="37"/>
  <c r="S110" i="37"/>
  <c r="Q110" i="37"/>
  <c r="O110" i="37"/>
  <c r="M110" i="37"/>
  <c r="K110" i="37"/>
  <c r="I110" i="37"/>
  <c r="G110" i="37"/>
  <c r="E110" i="37"/>
  <c r="AA105" i="37"/>
  <c r="Y105" i="37"/>
  <c r="W105" i="37"/>
  <c r="U105" i="37"/>
  <c r="S105" i="37"/>
  <c r="Q105" i="37"/>
  <c r="O105" i="37"/>
  <c r="K105" i="37"/>
  <c r="I105" i="37"/>
  <c r="G105" i="37"/>
  <c r="E105" i="37"/>
  <c r="AA104" i="37"/>
  <c r="Y104" i="37"/>
  <c r="W104" i="37"/>
  <c r="U104" i="37"/>
  <c r="S104" i="37"/>
  <c r="Q104" i="37"/>
  <c r="O104" i="37"/>
  <c r="M104" i="37"/>
  <c r="K104" i="37"/>
  <c r="I104" i="37"/>
  <c r="G104" i="37"/>
  <c r="E104" i="37"/>
  <c r="AA103" i="37"/>
  <c r="Y103" i="37"/>
  <c r="W103" i="37"/>
  <c r="U103" i="37"/>
  <c r="S103" i="37"/>
  <c r="Q103" i="37"/>
  <c r="O103" i="37"/>
  <c r="M103" i="37"/>
  <c r="K103" i="37"/>
  <c r="I103" i="37"/>
  <c r="G103" i="37"/>
  <c r="E103" i="37"/>
  <c r="AA102" i="37"/>
  <c r="Y102" i="37"/>
  <c r="W102" i="37"/>
  <c r="U102" i="37"/>
  <c r="S102" i="37"/>
  <c r="Q102" i="37"/>
  <c r="O102" i="37"/>
  <c r="M102" i="37"/>
  <c r="K102" i="37"/>
  <c r="I102" i="37"/>
  <c r="G102" i="37"/>
  <c r="E102" i="37"/>
  <c r="AA101" i="37"/>
  <c r="Y101" i="37"/>
  <c r="W101" i="37"/>
  <c r="U101" i="37"/>
  <c r="S101" i="37"/>
  <c r="Q101" i="37"/>
  <c r="O101" i="37"/>
  <c r="M101" i="37"/>
  <c r="K101" i="37"/>
  <c r="I101" i="37"/>
  <c r="G101" i="37"/>
  <c r="E101" i="37"/>
  <c r="AA99" i="37"/>
  <c r="Y99" i="37"/>
  <c r="W99" i="37"/>
  <c r="U99" i="37"/>
  <c r="S99" i="37"/>
  <c r="Q99" i="37"/>
  <c r="O99" i="37"/>
  <c r="M99" i="37"/>
  <c r="K99" i="37"/>
  <c r="I99" i="37"/>
  <c r="G99" i="37"/>
  <c r="E99" i="37"/>
  <c r="AA98" i="37"/>
  <c r="Y98" i="37"/>
  <c r="W98" i="37"/>
  <c r="U98" i="37"/>
  <c r="S98" i="37"/>
  <c r="Q98" i="37"/>
  <c r="O98" i="37"/>
  <c r="M98" i="37"/>
  <c r="K98" i="37"/>
  <c r="I98" i="37"/>
  <c r="G98" i="37"/>
  <c r="E98" i="37"/>
  <c r="AA97" i="37"/>
  <c r="Y97" i="37"/>
  <c r="W97" i="37"/>
  <c r="U97" i="37"/>
  <c r="S97" i="37"/>
  <c r="Q97" i="37"/>
  <c r="O97" i="37"/>
  <c r="M97" i="37"/>
  <c r="K97" i="37"/>
  <c r="I97" i="37"/>
  <c r="G97" i="37"/>
  <c r="E97" i="37"/>
  <c r="AA96" i="37"/>
  <c r="Y96" i="37"/>
  <c r="W96" i="37"/>
  <c r="U96" i="37"/>
  <c r="S96" i="37"/>
  <c r="Q96" i="37"/>
  <c r="O96" i="37"/>
  <c r="M96" i="37"/>
  <c r="K96" i="37"/>
  <c r="I96" i="37"/>
  <c r="G96" i="37"/>
  <c r="E96" i="37"/>
  <c r="AA95" i="37"/>
  <c r="Y95" i="37"/>
  <c r="W95" i="37"/>
  <c r="U95" i="37"/>
  <c r="S95" i="37"/>
  <c r="Q95" i="37"/>
  <c r="O95" i="37"/>
  <c r="M95" i="37"/>
  <c r="K95" i="37"/>
  <c r="I95" i="37"/>
  <c r="G95" i="37"/>
  <c r="E95" i="37"/>
  <c r="AA93" i="37"/>
  <c r="Y93" i="37"/>
  <c r="W93" i="37"/>
  <c r="U93" i="37"/>
  <c r="S93" i="37"/>
  <c r="Q93" i="37"/>
  <c r="O93" i="37"/>
  <c r="M93" i="37"/>
  <c r="K93" i="37"/>
  <c r="I93" i="37"/>
  <c r="G93" i="37"/>
  <c r="E93" i="37"/>
  <c r="AA92" i="37"/>
  <c r="Y92" i="37"/>
  <c r="W92" i="37"/>
  <c r="U92" i="37"/>
  <c r="S92" i="37"/>
  <c r="Q92" i="37"/>
  <c r="O92" i="37"/>
  <c r="M92" i="37"/>
  <c r="K92" i="37"/>
  <c r="I92" i="37"/>
  <c r="G92" i="37"/>
  <c r="E92" i="37"/>
  <c r="AA91" i="37"/>
  <c r="Y91" i="37"/>
  <c r="W91" i="37"/>
  <c r="U91" i="37"/>
  <c r="S91" i="37"/>
  <c r="Q91" i="37"/>
  <c r="O91" i="37"/>
  <c r="M91" i="37"/>
  <c r="K91" i="37"/>
  <c r="I91" i="37"/>
  <c r="G91" i="37"/>
  <c r="E91" i="37"/>
  <c r="AA90" i="37"/>
  <c r="Y90" i="37"/>
  <c r="W90" i="37"/>
  <c r="U90" i="37"/>
  <c r="S90" i="37"/>
  <c r="Q90" i="37"/>
  <c r="O90" i="37"/>
  <c r="M90" i="37"/>
  <c r="K90" i="37"/>
  <c r="I90" i="37"/>
  <c r="G90" i="37"/>
  <c r="E90" i="37"/>
  <c r="AA88" i="37"/>
  <c r="Y88" i="37"/>
  <c r="W88" i="37"/>
  <c r="U88" i="37"/>
  <c r="S88" i="37"/>
  <c r="Q88" i="37"/>
  <c r="O88" i="37"/>
  <c r="M88" i="37"/>
  <c r="K88" i="37"/>
  <c r="I88" i="37"/>
  <c r="G88" i="37"/>
  <c r="E88" i="37"/>
  <c r="AA87" i="37"/>
  <c r="Y87" i="37"/>
  <c r="W87" i="37"/>
  <c r="U87" i="37"/>
  <c r="S87" i="37"/>
  <c r="Q87" i="37"/>
  <c r="O87" i="37"/>
  <c r="M87" i="37"/>
  <c r="K87" i="37"/>
  <c r="I87" i="37"/>
  <c r="G87" i="37"/>
  <c r="E87" i="37"/>
  <c r="AA86" i="37"/>
  <c r="Y86" i="37"/>
  <c r="W86" i="37"/>
  <c r="U86" i="37"/>
  <c r="S86" i="37"/>
  <c r="Q86" i="37"/>
  <c r="O86" i="37"/>
  <c r="M86" i="37"/>
  <c r="K86" i="37"/>
  <c r="I86" i="37"/>
  <c r="G86" i="37"/>
  <c r="E86" i="37"/>
  <c r="AA85" i="37"/>
  <c r="Y85" i="37"/>
  <c r="W85" i="37"/>
  <c r="U85" i="37"/>
  <c r="S85" i="37"/>
  <c r="Q85" i="37"/>
  <c r="O85" i="37"/>
  <c r="O107" i="37" s="1"/>
  <c r="O108" i="37" s="1"/>
  <c r="M85" i="37"/>
  <c r="M107" i="37" s="1"/>
  <c r="M108" i="37" s="1"/>
  <c r="K85" i="37"/>
  <c r="K107" i="37" s="1"/>
  <c r="K108" i="37" s="1"/>
  <c r="I85" i="37"/>
  <c r="G85" i="37"/>
  <c r="E85" i="37"/>
  <c r="AA80" i="37"/>
  <c r="Y80" i="37"/>
  <c r="W80" i="37"/>
  <c r="U80" i="37"/>
  <c r="S80" i="37"/>
  <c r="Q80" i="37"/>
  <c r="O80" i="37"/>
  <c r="K80" i="37"/>
  <c r="I80" i="37"/>
  <c r="G80" i="37"/>
  <c r="E80" i="37"/>
  <c r="AA79" i="37"/>
  <c r="Y79" i="37"/>
  <c r="W79" i="37"/>
  <c r="U79" i="37"/>
  <c r="S79" i="37"/>
  <c r="Q79" i="37"/>
  <c r="O79" i="37"/>
  <c r="M79" i="37"/>
  <c r="K79" i="37"/>
  <c r="I79" i="37"/>
  <c r="G79" i="37"/>
  <c r="E79" i="37"/>
  <c r="AA78" i="37"/>
  <c r="Y78" i="37"/>
  <c r="W78" i="37"/>
  <c r="U78" i="37"/>
  <c r="S78" i="37"/>
  <c r="Q78" i="37"/>
  <c r="O78" i="37"/>
  <c r="M78" i="37"/>
  <c r="K78" i="37"/>
  <c r="I78" i="37"/>
  <c r="G78" i="37"/>
  <c r="E78" i="37"/>
  <c r="AA77" i="37"/>
  <c r="Y77" i="37"/>
  <c r="W77" i="37"/>
  <c r="U77" i="37"/>
  <c r="S77" i="37"/>
  <c r="Q77" i="37"/>
  <c r="O77" i="37"/>
  <c r="M77" i="37"/>
  <c r="K77" i="37"/>
  <c r="I77" i="37"/>
  <c r="G77" i="37"/>
  <c r="E77" i="37"/>
  <c r="AA76" i="37"/>
  <c r="Y76" i="37"/>
  <c r="W76" i="37"/>
  <c r="U76" i="37"/>
  <c r="S76" i="37"/>
  <c r="Q76" i="37"/>
  <c r="O76" i="37"/>
  <c r="M76" i="37"/>
  <c r="K76" i="37"/>
  <c r="I76" i="37"/>
  <c r="G76" i="37"/>
  <c r="E76" i="37"/>
  <c r="AA74" i="37"/>
  <c r="Y74" i="37"/>
  <c r="W74" i="37"/>
  <c r="U74" i="37"/>
  <c r="S74" i="37"/>
  <c r="Q74" i="37"/>
  <c r="O74" i="37"/>
  <c r="M74" i="37"/>
  <c r="K74" i="37"/>
  <c r="I74" i="37"/>
  <c r="G74" i="37"/>
  <c r="E74" i="37"/>
  <c r="AA73" i="37"/>
  <c r="Y73" i="37"/>
  <c r="W73" i="37"/>
  <c r="U73" i="37"/>
  <c r="S73" i="37"/>
  <c r="Q73" i="37"/>
  <c r="O73" i="37"/>
  <c r="M73" i="37"/>
  <c r="K73" i="37"/>
  <c r="I73" i="37"/>
  <c r="G73" i="37"/>
  <c r="E73" i="37"/>
  <c r="AA72" i="37"/>
  <c r="Y72" i="37"/>
  <c r="W72" i="37"/>
  <c r="U72" i="37"/>
  <c r="S72" i="37"/>
  <c r="Q72" i="37"/>
  <c r="O72" i="37"/>
  <c r="M72" i="37"/>
  <c r="K72" i="37"/>
  <c r="I72" i="37"/>
  <c r="G72" i="37"/>
  <c r="E72" i="37"/>
  <c r="AA71" i="37"/>
  <c r="Y71" i="37"/>
  <c r="W71" i="37"/>
  <c r="U71" i="37"/>
  <c r="S71" i="37"/>
  <c r="Q71" i="37"/>
  <c r="O71" i="37"/>
  <c r="M71" i="37"/>
  <c r="K71" i="37"/>
  <c r="I71" i="37"/>
  <c r="G71" i="37"/>
  <c r="E71" i="37"/>
  <c r="AA70" i="37"/>
  <c r="Y70" i="37"/>
  <c r="W70" i="37"/>
  <c r="U70" i="37"/>
  <c r="S70" i="37"/>
  <c r="Q70" i="37"/>
  <c r="O70" i="37"/>
  <c r="M70" i="37"/>
  <c r="K70" i="37"/>
  <c r="I70" i="37"/>
  <c r="G70" i="37"/>
  <c r="E70" i="37"/>
  <c r="AA68" i="37"/>
  <c r="Y68" i="37"/>
  <c r="W68" i="37"/>
  <c r="U68" i="37"/>
  <c r="S68" i="37"/>
  <c r="Q68" i="37"/>
  <c r="O68" i="37"/>
  <c r="M68" i="37"/>
  <c r="K68" i="37"/>
  <c r="I68" i="37"/>
  <c r="G68" i="37"/>
  <c r="E68" i="37"/>
  <c r="AA67" i="37"/>
  <c r="Y67" i="37"/>
  <c r="W67" i="37"/>
  <c r="U67" i="37"/>
  <c r="S67" i="37"/>
  <c r="Q67" i="37"/>
  <c r="O67" i="37"/>
  <c r="M67" i="37"/>
  <c r="K67" i="37"/>
  <c r="I67" i="37"/>
  <c r="G67" i="37"/>
  <c r="E67" i="37"/>
  <c r="AA66" i="37"/>
  <c r="Y66" i="37"/>
  <c r="W66" i="37"/>
  <c r="U66" i="37"/>
  <c r="S66" i="37"/>
  <c r="Q66" i="37"/>
  <c r="O66" i="37"/>
  <c r="M66" i="37"/>
  <c r="K66" i="37"/>
  <c r="I66" i="37"/>
  <c r="G66" i="37"/>
  <c r="E66" i="37"/>
  <c r="AA65" i="37"/>
  <c r="Y65" i="37"/>
  <c r="W65" i="37"/>
  <c r="U65" i="37"/>
  <c r="S65" i="37"/>
  <c r="Q65" i="37"/>
  <c r="O65" i="37"/>
  <c r="M65" i="37"/>
  <c r="K65" i="37"/>
  <c r="I65" i="37"/>
  <c r="G65" i="37"/>
  <c r="E65" i="37"/>
  <c r="AA63" i="37"/>
  <c r="Y63" i="37"/>
  <c r="W63" i="37"/>
  <c r="U63" i="37"/>
  <c r="S63" i="37"/>
  <c r="Q63" i="37"/>
  <c r="O63" i="37"/>
  <c r="M63" i="37"/>
  <c r="K63" i="37"/>
  <c r="I63" i="37"/>
  <c r="G63" i="37"/>
  <c r="E63" i="37"/>
  <c r="AA62" i="37"/>
  <c r="Y62" i="37"/>
  <c r="W62" i="37"/>
  <c r="U62" i="37"/>
  <c r="S62" i="37"/>
  <c r="Q62" i="37"/>
  <c r="O62" i="37"/>
  <c r="M62" i="37"/>
  <c r="K62" i="37"/>
  <c r="I62" i="37"/>
  <c r="G62" i="37"/>
  <c r="E62" i="37"/>
  <c r="AA61" i="37"/>
  <c r="Y61" i="37"/>
  <c r="W61" i="37"/>
  <c r="U61" i="37"/>
  <c r="S61" i="37"/>
  <c r="Q61" i="37"/>
  <c r="O61" i="37"/>
  <c r="M61" i="37"/>
  <c r="K61" i="37"/>
  <c r="I61" i="37"/>
  <c r="G61" i="37"/>
  <c r="E61" i="37"/>
  <c r="AA60" i="37"/>
  <c r="Y60" i="37"/>
  <c r="W60" i="37"/>
  <c r="U60" i="37"/>
  <c r="S60" i="37"/>
  <c r="Q60" i="37"/>
  <c r="O60" i="37"/>
  <c r="M60" i="37"/>
  <c r="K60" i="37"/>
  <c r="I60" i="37"/>
  <c r="G60" i="37"/>
  <c r="E60" i="37"/>
  <c r="AA55" i="37"/>
  <c r="Y55" i="37"/>
  <c r="W55" i="37"/>
  <c r="U55" i="37"/>
  <c r="S55" i="37"/>
  <c r="Q55" i="37"/>
  <c r="O55" i="37"/>
  <c r="M55" i="37"/>
  <c r="K55" i="37"/>
  <c r="I55" i="37"/>
  <c r="G55" i="37"/>
  <c r="E55" i="37"/>
  <c r="AA54" i="37"/>
  <c r="Y54" i="37"/>
  <c r="W54" i="37"/>
  <c r="U54" i="37"/>
  <c r="S54" i="37"/>
  <c r="Q54" i="37"/>
  <c r="O54" i="37"/>
  <c r="M54" i="37"/>
  <c r="K54" i="37"/>
  <c r="I54" i="37"/>
  <c r="G54" i="37"/>
  <c r="E54" i="37"/>
  <c r="AA53" i="37"/>
  <c r="Y53" i="37"/>
  <c r="W53" i="37"/>
  <c r="U53" i="37"/>
  <c r="S53" i="37"/>
  <c r="Q53" i="37"/>
  <c r="O53" i="37"/>
  <c r="M53" i="37"/>
  <c r="K53" i="37"/>
  <c r="I53" i="37"/>
  <c r="G53" i="37"/>
  <c r="E53" i="37"/>
  <c r="AA52" i="37"/>
  <c r="Y52" i="37"/>
  <c r="W52" i="37"/>
  <c r="U52" i="37"/>
  <c r="S52" i="37"/>
  <c r="Q52" i="37"/>
  <c r="O52" i="37"/>
  <c r="M52" i="37"/>
  <c r="K52" i="37"/>
  <c r="I52" i="37"/>
  <c r="G52" i="37"/>
  <c r="E52" i="37"/>
  <c r="AA51" i="37"/>
  <c r="Y51" i="37"/>
  <c r="W51" i="37"/>
  <c r="U51" i="37"/>
  <c r="S51" i="37"/>
  <c r="Q51" i="37"/>
  <c r="O51" i="37"/>
  <c r="M51" i="37"/>
  <c r="K51" i="37"/>
  <c r="I51" i="37"/>
  <c r="G51" i="37"/>
  <c r="E51" i="37"/>
  <c r="AA50" i="37"/>
  <c r="Y50" i="37"/>
  <c r="W50" i="37"/>
  <c r="U50" i="37"/>
  <c r="S50" i="37"/>
  <c r="Q50" i="37"/>
  <c r="O50" i="37"/>
  <c r="M50" i="37"/>
  <c r="K50" i="37"/>
  <c r="AA49" i="37"/>
  <c r="Y49" i="37"/>
  <c r="W49" i="37"/>
  <c r="U49" i="37"/>
  <c r="S49" i="37"/>
  <c r="Q49" i="37"/>
  <c r="O49" i="37"/>
  <c r="M49" i="37"/>
  <c r="K49" i="37"/>
  <c r="I49" i="37"/>
  <c r="G49" i="37"/>
  <c r="E49" i="37"/>
  <c r="AA48" i="37"/>
  <c r="Y48" i="37"/>
  <c r="W48" i="37"/>
  <c r="U48" i="37"/>
  <c r="S48" i="37"/>
  <c r="Q48" i="37"/>
  <c r="O48" i="37"/>
  <c r="M48" i="37"/>
  <c r="K48" i="37"/>
  <c r="I48" i="37"/>
  <c r="G48" i="37"/>
  <c r="E48" i="37"/>
  <c r="AA47" i="37"/>
  <c r="Y47" i="37"/>
  <c r="W47" i="37"/>
  <c r="U47" i="37"/>
  <c r="S47" i="37"/>
  <c r="Q47" i="37"/>
  <c r="O47" i="37"/>
  <c r="M47" i="37"/>
  <c r="K47" i="37"/>
  <c r="I47" i="37"/>
  <c r="G47" i="37"/>
  <c r="E47" i="37"/>
  <c r="AA46" i="37"/>
  <c r="Y46" i="37"/>
  <c r="W46" i="37"/>
  <c r="U46" i="37"/>
  <c r="S46" i="37"/>
  <c r="Q46" i="37"/>
  <c r="O46" i="37"/>
  <c r="M46" i="37"/>
  <c r="K46" i="37"/>
  <c r="I46" i="37"/>
  <c r="G46" i="37"/>
  <c r="E46" i="37"/>
  <c r="AA45" i="37"/>
  <c r="Y45" i="37"/>
  <c r="W45" i="37"/>
  <c r="U45" i="37"/>
  <c r="S45" i="37"/>
  <c r="Q45" i="37"/>
  <c r="O45" i="37"/>
  <c r="M45" i="37"/>
  <c r="K45" i="37"/>
  <c r="I45" i="37"/>
  <c r="G45" i="37"/>
  <c r="E45" i="37"/>
  <c r="AA44" i="37"/>
  <c r="Y44" i="37"/>
  <c r="W44" i="37"/>
  <c r="U44" i="37"/>
  <c r="S44" i="37"/>
  <c r="Q44" i="37"/>
  <c r="O44" i="37"/>
  <c r="M44" i="37"/>
  <c r="K44" i="37"/>
  <c r="AA43" i="37"/>
  <c r="Y43" i="37"/>
  <c r="W43" i="37"/>
  <c r="U43" i="37"/>
  <c r="S43" i="37"/>
  <c r="Q43" i="37"/>
  <c r="O43" i="37"/>
  <c r="M43" i="37"/>
  <c r="K43" i="37"/>
  <c r="I43" i="37"/>
  <c r="G43" i="37"/>
  <c r="E43" i="37"/>
  <c r="AA42" i="37"/>
  <c r="Y42" i="37"/>
  <c r="W42" i="37"/>
  <c r="U42" i="37"/>
  <c r="S42" i="37"/>
  <c r="Q42" i="37"/>
  <c r="O42" i="37"/>
  <c r="M42" i="37"/>
  <c r="K42" i="37"/>
  <c r="I42" i="37"/>
  <c r="G42" i="37"/>
  <c r="E42" i="37"/>
  <c r="AA41" i="37"/>
  <c r="Y41" i="37"/>
  <c r="W41" i="37"/>
  <c r="U41" i="37"/>
  <c r="S41" i="37"/>
  <c r="Q41" i="37"/>
  <c r="O41" i="37"/>
  <c r="M41" i="37"/>
  <c r="K41" i="37"/>
  <c r="I41" i="37"/>
  <c r="G41" i="37"/>
  <c r="E41" i="37"/>
  <c r="AA40" i="37"/>
  <c r="Y40" i="37"/>
  <c r="W40" i="37"/>
  <c r="U40" i="37"/>
  <c r="S40" i="37"/>
  <c r="O40" i="37"/>
  <c r="M40" i="37"/>
  <c r="K40" i="37"/>
  <c r="I40" i="37"/>
  <c r="G40" i="37"/>
  <c r="E40" i="37"/>
  <c r="AA39" i="37"/>
  <c r="Y39" i="37"/>
  <c r="W39" i="37"/>
  <c r="U39" i="37"/>
  <c r="S39" i="37"/>
  <c r="Q39" i="37"/>
  <c r="O39" i="37"/>
  <c r="M39" i="37"/>
  <c r="K39" i="37"/>
  <c r="AA38" i="37"/>
  <c r="Y38" i="37"/>
  <c r="W38" i="37"/>
  <c r="U38" i="37"/>
  <c r="S38" i="37"/>
  <c r="Q38" i="37"/>
  <c r="O38" i="37"/>
  <c r="M38" i="37"/>
  <c r="K38" i="37"/>
  <c r="I38" i="37"/>
  <c r="G38" i="37"/>
  <c r="E38" i="37"/>
  <c r="AA37" i="37"/>
  <c r="Y37" i="37"/>
  <c r="W37" i="37"/>
  <c r="U37" i="37"/>
  <c r="S37" i="37"/>
  <c r="Q37" i="37"/>
  <c r="O37" i="37"/>
  <c r="M37" i="37"/>
  <c r="K37" i="37"/>
  <c r="I37" i="37"/>
  <c r="G37" i="37"/>
  <c r="E37" i="37"/>
  <c r="AA36" i="37"/>
  <c r="Y36" i="37"/>
  <c r="W36" i="37"/>
  <c r="U36" i="37"/>
  <c r="S36" i="37"/>
  <c r="Q36" i="37"/>
  <c r="O36" i="37"/>
  <c r="M36" i="37"/>
  <c r="K36" i="37"/>
  <c r="I36" i="37"/>
  <c r="G36" i="37"/>
  <c r="E36" i="37"/>
  <c r="AA35" i="37"/>
  <c r="Y35" i="37"/>
  <c r="W35" i="37"/>
  <c r="U35" i="37"/>
  <c r="S35" i="37"/>
  <c r="Q35" i="37"/>
  <c r="O35" i="37"/>
  <c r="M35" i="37"/>
  <c r="K35" i="37"/>
  <c r="I35" i="37"/>
  <c r="G35" i="37"/>
  <c r="E35" i="37"/>
  <c r="AA34" i="37"/>
  <c r="Y34" i="37"/>
  <c r="W34" i="37"/>
  <c r="U34" i="37"/>
  <c r="S34" i="37"/>
  <c r="Q34" i="37"/>
  <c r="O34" i="37"/>
  <c r="M34" i="37"/>
  <c r="K34" i="37"/>
  <c r="AA30" i="37"/>
  <c r="Y30" i="37"/>
  <c r="W30" i="37"/>
  <c r="U30" i="37"/>
  <c r="S30" i="37"/>
  <c r="Q30" i="37"/>
  <c r="O30" i="37"/>
  <c r="M30" i="37"/>
  <c r="K30" i="37"/>
  <c r="I30" i="37"/>
  <c r="G30" i="37"/>
  <c r="E30" i="37"/>
  <c r="AA29" i="37"/>
  <c r="Y29" i="37"/>
  <c r="W29" i="37"/>
  <c r="U29" i="37"/>
  <c r="S29" i="37"/>
  <c r="Q29" i="37"/>
  <c r="O29" i="37"/>
  <c r="M29" i="37"/>
  <c r="K29" i="37"/>
  <c r="I29" i="37"/>
  <c r="G29" i="37"/>
  <c r="E29" i="37"/>
  <c r="AA28" i="37"/>
  <c r="Y28" i="37"/>
  <c r="W28" i="37"/>
  <c r="U28" i="37"/>
  <c r="S28" i="37"/>
  <c r="Q28" i="37"/>
  <c r="O28" i="37"/>
  <c r="M28" i="37"/>
  <c r="K28" i="37"/>
  <c r="I28" i="37"/>
  <c r="G28" i="37"/>
  <c r="E28" i="37"/>
  <c r="AA27" i="37"/>
  <c r="Y27" i="37"/>
  <c r="W27" i="37"/>
  <c r="U27" i="37"/>
  <c r="S27" i="37"/>
  <c r="Q27" i="37"/>
  <c r="O27" i="37"/>
  <c r="M27" i="37"/>
  <c r="K27" i="37"/>
  <c r="I27" i="37"/>
  <c r="G27" i="37"/>
  <c r="E27" i="37"/>
  <c r="AA26" i="37"/>
  <c r="Y26" i="37"/>
  <c r="W26" i="37"/>
  <c r="U26" i="37"/>
  <c r="S26" i="37"/>
  <c r="Q26" i="37"/>
  <c r="O26" i="37"/>
  <c r="M26" i="37"/>
  <c r="K26" i="37"/>
  <c r="I26" i="37"/>
  <c r="G26" i="37"/>
  <c r="E26" i="37"/>
  <c r="AA25" i="37"/>
  <c r="Y25" i="37"/>
  <c r="W25" i="37"/>
  <c r="U25" i="37"/>
  <c r="S25" i="37"/>
  <c r="Q25" i="37"/>
  <c r="O25" i="37"/>
  <c r="M25" i="37"/>
  <c r="K25" i="37"/>
  <c r="AA24" i="37"/>
  <c r="Y24" i="37"/>
  <c r="W24" i="37"/>
  <c r="U24" i="37"/>
  <c r="S24" i="37"/>
  <c r="Q24" i="37"/>
  <c r="O24" i="37"/>
  <c r="M24" i="37"/>
  <c r="K24" i="37"/>
  <c r="I24" i="37"/>
  <c r="G24" i="37"/>
  <c r="E24" i="37"/>
  <c r="AA23" i="37"/>
  <c r="Y23" i="37"/>
  <c r="W23" i="37"/>
  <c r="U23" i="37"/>
  <c r="S23" i="37"/>
  <c r="Q23" i="37"/>
  <c r="O23" i="37"/>
  <c r="M23" i="37"/>
  <c r="K23" i="37"/>
  <c r="I23" i="37"/>
  <c r="G23" i="37"/>
  <c r="E23" i="37"/>
  <c r="AA22" i="37"/>
  <c r="Y22" i="37"/>
  <c r="W22" i="37"/>
  <c r="U22" i="37"/>
  <c r="S22" i="37"/>
  <c r="Q22" i="37"/>
  <c r="O22" i="37"/>
  <c r="M22" i="37"/>
  <c r="K22" i="37"/>
  <c r="I22" i="37"/>
  <c r="G22" i="37"/>
  <c r="E22" i="37"/>
  <c r="AA21" i="37"/>
  <c r="Y21" i="37"/>
  <c r="W21" i="37"/>
  <c r="U21" i="37"/>
  <c r="S21" i="37"/>
  <c r="Q21" i="37"/>
  <c r="O21" i="37"/>
  <c r="M21" i="37"/>
  <c r="K21" i="37"/>
  <c r="I21" i="37"/>
  <c r="G21" i="37"/>
  <c r="E21" i="37"/>
  <c r="AA20" i="37"/>
  <c r="Y20" i="37"/>
  <c r="W20" i="37"/>
  <c r="U20" i="37"/>
  <c r="S20" i="37"/>
  <c r="Q20" i="37"/>
  <c r="O20" i="37"/>
  <c r="M20" i="37"/>
  <c r="K20" i="37"/>
  <c r="I20" i="37"/>
  <c r="G20" i="37"/>
  <c r="E20" i="37"/>
  <c r="AA19" i="37"/>
  <c r="Y19" i="37"/>
  <c r="W19" i="37"/>
  <c r="U19" i="37"/>
  <c r="S19" i="37"/>
  <c r="Q19" i="37"/>
  <c r="O19" i="37"/>
  <c r="M19" i="37"/>
  <c r="K19" i="37"/>
  <c r="AA18" i="37"/>
  <c r="Y18" i="37"/>
  <c r="W18" i="37"/>
  <c r="U18" i="37"/>
  <c r="S18" i="37"/>
  <c r="Q18" i="37"/>
  <c r="O18" i="37"/>
  <c r="M18" i="37"/>
  <c r="K18" i="37"/>
  <c r="I18" i="37"/>
  <c r="G18" i="37"/>
  <c r="E18" i="37"/>
  <c r="AA17" i="37"/>
  <c r="Y17" i="37"/>
  <c r="W17" i="37"/>
  <c r="U17" i="37"/>
  <c r="S17" i="37"/>
  <c r="Q17" i="37"/>
  <c r="O17" i="37"/>
  <c r="M17" i="37"/>
  <c r="K17" i="37"/>
  <c r="I17" i="37"/>
  <c r="G17" i="37"/>
  <c r="E17" i="37"/>
  <c r="AA16" i="37"/>
  <c r="Y16" i="37"/>
  <c r="W16" i="37"/>
  <c r="U16" i="37"/>
  <c r="S16" i="37"/>
  <c r="Q16" i="37"/>
  <c r="O16" i="37"/>
  <c r="M16" i="37"/>
  <c r="K16" i="37"/>
  <c r="I16" i="37"/>
  <c r="G16" i="37"/>
  <c r="E16" i="37"/>
  <c r="AA15" i="37"/>
  <c r="Y15" i="37"/>
  <c r="W15" i="37"/>
  <c r="U15" i="37"/>
  <c r="S15" i="37"/>
  <c r="Q15" i="37"/>
  <c r="O15" i="37"/>
  <c r="M15" i="37"/>
  <c r="K15" i="37"/>
  <c r="I15" i="37"/>
  <c r="G15" i="37"/>
  <c r="E15" i="37"/>
  <c r="AA14" i="37"/>
  <c r="Y14" i="37"/>
  <c r="W14" i="37"/>
  <c r="U14" i="37"/>
  <c r="S14" i="37"/>
  <c r="Q14" i="37"/>
  <c r="O14" i="37"/>
  <c r="M14" i="37"/>
  <c r="K14" i="37"/>
  <c r="AA13" i="37"/>
  <c r="Y13" i="37"/>
  <c r="W13" i="37"/>
  <c r="U13" i="37"/>
  <c r="S13" i="37"/>
  <c r="Q13" i="37"/>
  <c r="O13" i="37"/>
  <c r="M13" i="37"/>
  <c r="K13" i="37"/>
  <c r="I13" i="37"/>
  <c r="G13" i="37"/>
  <c r="E13" i="37"/>
  <c r="AA12" i="37"/>
  <c r="Y12" i="37"/>
  <c r="W12" i="37"/>
  <c r="U12" i="37"/>
  <c r="S12" i="37"/>
  <c r="Q12" i="37"/>
  <c r="O12" i="37"/>
  <c r="M12" i="37"/>
  <c r="K12" i="37"/>
  <c r="I12" i="37"/>
  <c r="G12" i="37"/>
  <c r="E12" i="37"/>
  <c r="AA11" i="37"/>
  <c r="Y11" i="37"/>
  <c r="W11" i="37"/>
  <c r="U11" i="37"/>
  <c r="S11" i="37"/>
  <c r="Q11" i="37"/>
  <c r="O11" i="37"/>
  <c r="M11" i="37"/>
  <c r="K11" i="37"/>
  <c r="I11" i="37"/>
  <c r="G11" i="37"/>
  <c r="E11" i="37"/>
  <c r="AA10" i="37"/>
  <c r="Y10" i="37"/>
  <c r="W10" i="37"/>
  <c r="U10" i="37"/>
  <c r="S10" i="37"/>
  <c r="Q10" i="37"/>
  <c r="O10" i="37"/>
  <c r="M10" i="37"/>
  <c r="K10" i="37"/>
  <c r="I10" i="37"/>
  <c r="G10" i="37"/>
  <c r="E10" i="37"/>
  <c r="AA547" i="37"/>
  <c r="AA549" i="37" s="1"/>
  <c r="Y547" i="37"/>
  <c r="Y549" i="37" s="1"/>
  <c r="Y550" i="37" s="1"/>
  <c r="W547" i="37"/>
  <c r="W549" i="37" s="1"/>
  <c r="U547" i="37"/>
  <c r="U549" i="37" s="1"/>
  <c r="U550" i="37" s="1"/>
  <c r="S547" i="37"/>
  <c r="S549" i="37" s="1"/>
  <c r="S550" i="37" s="1"/>
  <c r="Q547" i="37"/>
  <c r="Q549" i="37" s="1"/>
  <c r="Q550" i="37" s="1"/>
  <c r="O547" i="37"/>
  <c r="O549" i="37" s="1"/>
  <c r="O550" i="37" s="1"/>
  <c r="M547" i="37"/>
  <c r="M549" i="37" s="1"/>
  <c r="M550" i="37" s="1"/>
  <c r="K547" i="37"/>
  <c r="K549" i="37" s="1"/>
  <c r="K550" i="37" s="1"/>
  <c r="I547" i="37"/>
  <c r="I549" i="37" s="1"/>
  <c r="I550" i="37" s="1"/>
  <c r="G547" i="37"/>
  <c r="G549" i="37" s="1"/>
  <c r="G550" i="37" s="1"/>
  <c r="E547" i="37"/>
  <c r="E549" i="37" s="1"/>
  <c r="E550" i="37" s="1"/>
  <c r="AA541" i="37"/>
  <c r="AA543" i="37" s="1"/>
  <c r="AA544" i="37" s="1"/>
  <c r="Y541" i="37"/>
  <c r="Y543" i="37" s="1"/>
  <c r="Y544" i="37" s="1"/>
  <c r="W541" i="37"/>
  <c r="W543" i="37" s="1"/>
  <c r="W544" i="37" s="1"/>
  <c r="U541" i="37"/>
  <c r="U543" i="37" s="1"/>
  <c r="U544" i="37" s="1"/>
  <c r="S541" i="37"/>
  <c r="S543" i="37" s="1"/>
  <c r="S544" i="37" s="1"/>
  <c r="Q541" i="37"/>
  <c r="Q543" i="37" s="1"/>
  <c r="Q544" i="37" s="1"/>
  <c r="O541" i="37"/>
  <c r="O543" i="37" s="1"/>
  <c r="O544" i="37" s="1"/>
  <c r="M541" i="37"/>
  <c r="M543" i="37" s="1"/>
  <c r="M544" i="37" s="1"/>
  <c r="K541" i="37"/>
  <c r="K543" i="37" s="1"/>
  <c r="K544" i="37" s="1"/>
  <c r="I541" i="37"/>
  <c r="I543" i="37" s="1"/>
  <c r="I544" i="37" s="1"/>
  <c r="G541" i="37"/>
  <c r="G543" i="37" s="1"/>
  <c r="G544" i="37" s="1"/>
  <c r="E541" i="37"/>
  <c r="E543" i="37" s="1"/>
  <c r="E544" i="37" s="1"/>
  <c r="AA535" i="37"/>
  <c r="AA537" i="37" s="1"/>
  <c r="AA538" i="37" s="1"/>
  <c r="Y535" i="37"/>
  <c r="Y537" i="37" s="1"/>
  <c r="Y538" i="37" s="1"/>
  <c r="W535" i="37"/>
  <c r="W537" i="37" s="1"/>
  <c r="W538" i="37" s="1"/>
  <c r="U535" i="37"/>
  <c r="U537" i="37" s="1"/>
  <c r="U538" i="37" s="1"/>
  <c r="S535" i="37"/>
  <c r="S537" i="37" s="1"/>
  <c r="S538" i="37" s="1"/>
  <c r="Q535" i="37"/>
  <c r="Q537" i="37" s="1"/>
  <c r="Q538" i="37" s="1"/>
  <c r="O535" i="37"/>
  <c r="O537" i="37" s="1"/>
  <c r="O538" i="37" s="1"/>
  <c r="M535" i="37"/>
  <c r="M537" i="37" s="1"/>
  <c r="M538" i="37" s="1"/>
  <c r="K535" i="37"/>
  <c r="K537" i="37" s="1"/>
  <c r="K538" i="37" s="1"/>
  <c r="I535" i="37"/>
  <c r="I537" i="37" s="1"/>
  <c r="I538" i="37" s="1"/>
  <c r="G535" i="37"/>
  <c r="G537" i="37" s="1"/>
  <c r="G538" i="37" s="1"/>
  <c r="E535" i="37"/>
  <c r="E537" i="37" s="1"/>
  <c r="E538" i="37" s="1"/>
  <c r="AA529" i="37"/>
  <c r="AA531" i="37" s="1"/>
  <c r="AA532" i="37" s="1"/>
  <c r="Y529" i="37"/>
  <c r="Y531" i="37" s="1"/>
  <c r="Y532" i="37" s="1"/>
  <c r="W529" i="37"/>
  <c r="W531" i="37" s="1"/>
  <c r="W532" i="37" s="1"/>
  <c r="U529" i="37"/>
  <c r="U531" i="37" s="1"/>
  <c r="U532" i="37" s="1"/>
  <c r="S529" i="37"/>
  <c r="S531" i="37" s="1"/>
  <c r="S532" i="37" s="1"/>
  <c r="Q529" i="37"/>
  <c r="Q531" i="37" s="1"/>
  <c r="Q532" i="37" s="1"/>
  <c r="O529" i="37"/>
  <c r="O531" i="37" s="1"/>
  <c r="O532" i="37" s="1"/>
  <c r="M529" i="37"/>
  <c r="M531" i="37" s="1"/>
  <c r="M532" i="37" s="1"/>
  <c r="K529" i="37"/>
  <c r="K531" i="37" s="1"/>
  <c r="K532" i="37" s="1"/>
  <c r="I529" i="37"/>
  <c r="I531" i="37" s="1"/>
  <c r="I532" i="37" s="1"/>
  <c r="G529" i="37"/>
  <c r="G531" i="37" s="1"/>
  <c r="G532" i="37" s="1"/>
  <c r="E529" i="37"/>
  <c r="E531" i="37" s="1"/>
  <c r="E532" i="37" s="1"/>
  <c r="AA524" i="37"/>
  <c r="AA526" i="37" s="1"/>
  <c r="AA527" i="37" s="1"/>
  <c r="Y524" i="37"/>
  <c r="Y526" i="37" s="1"/>
  <c r="Y527" i="37" s="1"/>
  <c r="W524" i="37"/>
  <c r="W526" i="37" s="1"/>
  <c r="W527" i="37" s="1"/>
  <c r="U524" i="37"/>
  <c r="U526" i="37" s="1"/>
  <c r="U527" i="37" s="1"/>
  <c r="S524" i="37"/>
  <c r="S526" i="37" s="1"/>
  <c r="S527" i="37" s="1"/>
  <c r="Q524" i="37"/>
  <c r="Q526" i="37" s="1"/>
  <c r="Q527" i="37" s="1"/>
  <c r="O524" i="37"/>
  <c r="O526" i="37" s="1"/>
  <c r="O527" i="37" s="1"/>
  <c r="M524" i="37"/>
  <c r="M526" i="37" s="1"/>
  <c r="M527" i="37" s="1"/>
  <c r="K524" i="37"/>
  <c r="K526" i="37" s="1"/>
  <c r="K527" i="37" s="1"/>
  <c r="I524" i="37"/>
  <c r="I526" i="37" s="1"/>
  <c r="I527" i="37" s="1"/>
  <c r="G524" i="37"/>
  <c r="G526" i="37" s="1"/>
  <c r="G527" i="37" s="1"/>
  <c r="E524" i="37"/>
  <c r="E526" i="37" s="1"/>
  <c r="E527" i="37" s="1"/>
  <c r="AA518" i="37"/>
  <c r="AA521" i="37" s="1"/>
  <c r="AA522" i="37" s="1"/>
  <c r="Y518" i="37"/>
  <c r="Y521" i="37" s="1"/>
  <c r="Y522" i="37" s="1"/>
  <c r="W518" i="37"/>
  <c r="W521" i="37" s="1"/>
  <c r="W522" i="37" s="1"/>
  <c r="U518" i="37"/>
  <c r="U521" i="37" s="1"/>
  <c r="U522" i="37" s="1"/>
  <c r="S518" i="37"/>
  <c r="S521" i="37" s="1"/>
  <c r="S522" i="37" s="1"/>
  <c r="Q518" i="37"/>
  <c r="Q521" i="37" s="1"/>
  <c r="Q522" i="37" s="1"/>
  <c r="O518" i="37"/>
  <c r="O521" i="37" s="1"/>
  <c r="O522" i="37" s="1"/>
  <c r="M518" i="37"/>
  <c r="M521" i="37" s="1"/>
  <c r="M522" i="37" s="1"/>
  <c r="K518" i="37"/>
  <c r="K521" i="37" s="1"/>
  <c r="K522" i="37" s="1"/>
  <c r="I518" i="37"/>
  <c r="I521" i="37" s="1"/>
  <c r="I522" i="37" s="1"/>
  <c r="G518" i="37"/>
  <c r="G521" i="37" s="1"/>
  <c r="G522" i="37" s="1"/>
  <c r="E518" i="37"/>
  <c r="E521" i="37" s="1"/>
  <c r="E522" i="37" s="1"/>
  <c r="AA512" i="37"/>
  <c r="AA514" i="37" s="1"/>
  <c r="AA515" i="37" s="1"/>
  <c r="Y512" i="37"/>
  <c r="Y514" i="37" s="1"/>
  <c r="Y515" i="37" s="1"/>
  <c r="W512" i="37"/>
  <c r="W514" i="37" s="1"/>
  <c r="W515" i="37" s="1"/>
  <c r="U512" i="37"/>
  <c r="U514" i="37" s="1"/>
  <c r="U515" i="37" s="1"/>
  <c r="S512" i="37"/>
  <c r="S514" i="37" s="1"/>
  <c r="S515" i="37" s="1"/>
  <c r="Q512" i="37"/>
  <c r="Q514" i="37" s="1"/>
  <c r="Q515" i="37" s="1"/>
  <c r="O512" i="37"/>
  <c r="O514" i="37" s="1"/>
  <c r="O515" i="37" s="1"/>
  <c r="M512" i="37"/>
  <c r="M514" i="37" s="1"/>
  <c r="M515" i="37" s="1"/>
  <c r="K512" i="37"/>
  <c r="K514" i="37" s="1"/>
  <c r="K515" i="37" s="1"/>
  <c r="I512" i="37"/>
  <c r="I514" i="37" s="1"/>
  <c r="I515" i="37" s="1"/>
  <c r="G512" i="37"/>
  <c r="G514" i="37" s="1"/>
  <c r="G515" i="37" s="1"/>
  <c r="E512" i="37"/>
  <c r="E514" i="37" s="1"/>
  <c r="E515" i="37" s="1"/>
  <c r="AA506" i="37"/>
  <c r="AA509" i="37" s="1"/>
  <c r="AA510" i="37" s="1"/>
  <c r="Y506" i="37"/>
  <c r="Y509" i="37" s="1"/>
  <c r="Y510" i="37" s="1"/>
  <c r="W506" i="37"/>
  <c r="W509" i="37" s="1"/>
  <c r="W510" i="37" s="1"/>
  <c r="U506" i="37"/>
  <c r="U509" i="37" s="1"/>
  <c r="U510" i="37" s="1"/>
  <c r="S506" i="37"/>
  <c r="S509" i="37" s="1"/>
  <c r="S510" i="37" s="1"/>
  <c r="Q506" i="37"/>
  <c r="Q509" i="37" s="1"/>
  <c r="Q510" i="37" s="1"/>
  <c r="O506" i="37"/>
  <c r="O509" i="37" s="1"/>
  <c r="O510" i="37" s="1"/>
  <c r="M506" i="37"/>
  <c r="M509" i="37" s="1"/>
  <c r="M510" i="37" s="1"/>
  <c r="K506" i="37"/>
  <c r="K509" i="37" s="1"/>
  <c r="K510" i="37" s="1"/>
  <c r="I506" i="37"/>
  <c r="I509" i="37" s="1"/>
  <c r="I510" i="37" s="1"/>
  <c r="G506" i="37"/>
  <c r="G509" i="37" s="1"/>
  <c r="G510" i="37" s="1"/>
  <c r="E506" i="37"/>
  <c r="E509" i="37" s="1"/>
  <c r="E510" i="37" s="1"/>
  <c r="AA501" i="37"/>
  <c r="AA503" i="37" s="1"/>
  <c r="Y501" i="37"/>
  <c r="Y503" i="37" s="1"/>
  <c r="W501" i="37"/>
  <c r="W503" i="37" s="1"/>
  <c r="W504" i="37" s="1"/>
  <c r="U501" i="37"/>
  <c r="U503" i="37" s="1"/>
  <c r="U504" i="37" s="1"/>
  <c r="S501" i="37"/>
  <c r="S503" i="37" s="1"/>
  <c r="S504" i="37" s="1"/>
  <c r="Q501" i="37"/>
  <c r="Q503" i="37" s="1"/>
  <c r="Q504" i="37" s="1"/>
  <c r="O501" i="37"/>
  <c r="O503" i="37" s="1"/>
  <c r="O504" i="37" s="1"/>
  <c r="M501" i="37"/>
  <c r="M503" i="37" s="1"/>
  <c r="M504" i="37" s="1"/>
  <c r="K501" i="37"/>
  <c r="K503" i="37" s="1"/>
  <c r="K504" i="37" s="1"/>
  <c r="I501" i="37"/>
  <c r="I503" i="37" s="1"/>
  <c r="I504" i="37" s="1"/>
  <c r="G501" i="37"/>
  <c r="G503" i="37" s="1"/>
  <c r="G504" i="37" s="1"/>
  <c r="E501" i="37"/>
  <c r="E503" i="37" s="1"/>
  <c r="E504" i="37" s="1"/>
  <c r="AA495" i="37"/>
  <c r="Y495" i="37"/>
  <c r="W495" i="37"/>
  <c r="U495" i="37"/>
  <c r="S495" i="37"/>
  <c r="Q495" i="37"/>
  <c r="O495" i="37"/>
  <c r="M495" i="37"/>
  <c r="K495" i="37"/>
  <c r="I495" i="37"/>
  <c r="G495" i="37"/>
  <c r="E495" i="37"/>
  <c r="AA494" i="37"/>
  <c r="Y494" i="37"/>
  <c r="W494" i="37"/>
  <c r="U494" i="37"/>
  <c r="S494" i="37"/>
  <c r="Q494" i="37"/>
  <c r="O494" i="37"/>
  <c r="M494" i="37"/>
  <c r="K494" i="37"/>
  <c r="I494" i="37"/>
  <c r="G494" i="37"/>
  <c r="E494" i="37"/>
  <c r="AA493" i="37"/>
  <c r="Y493" i="37"/>
  <c r="W493" i="37"/>
  <c r="U493" i="37"/>
  <c r="S493" i="37"/>
  <c r="Q493" i="37"/>
  <c r="O493" i="37"/>
  <c r="M493" i="37"/>
  <c r="K493" i="37"/>
  <c r="I493" i="37"/>
  <c r="G493" i="37"/>
  <c r="E493" i="37"/>
  <c r="AA492" i="37"/>
  <c r="Y492" i="37"/>
  <c r="W492" i="37"/>
  <c r="U492" i="37"/>
  <c r="S492" i="37"/>
  <c r="Q492" i="37"/>
  <c r="O492" i="37"/>
  <c r="M492" i="37"/>
  <c r="K492" i="37"/>
  <c r="I492" i="37"/>
  <c r="G492" i="37"/>
  <c r="E492" i="37"/>
  <c r="AA491" i="37"/>
  <c r="Y491" i="37"/>
  <c r="W491" i="37"/>
  <c r="U491" i="37"/>
  <c r="S491" i="37"/>
  <c r="Q491" i="37"/>
  <c r="O491" i="37"/>
  <c r="M491" i="37"/>
  <c r="K491" i="37"/>
  <c r="I491" i="37"/>
  <c r="G491" i="37"/>
  <c r="E491" i="37"/>
  <c r="AA489" i="37"/>
  <c r="Y489" i="37"/>
  <c r="W489" i="37"/>
  <c r="U489" i="37"/>
  <c r="S489" i="37"/>
  <c r="Q489" i="37"/>
  <c r="O489" i="37"/>
  <c r="M489" i="37"/>
  <c r="K489" i="37"/>
  <c r="I489" i="37"/>
  <c r="G489" i="37"/>
  <c r="E489" i="37"/>
  <c r="AA488" i="37"/>
  <c r="Y488" i="37"/>
  <c r="W488" i="37"/>
  <c r="U488" i="37"/>
  <c r="S488" i="37"/>
  <c r="Q488" i="37"/>
  <c r="O488" i="37"/>
  <c r="M488" i="37"/>
  <c r="K488" i="37"/>
  <c r="I488" i="37"/>
  <c r="G488" i="37"/>
  <c r="E488" i="37"/>
  <c r="AA487" i="37"/>
  <c r="Y487" i="37"/>
  <c r="W487" i="37"/>
  <c r="U487" i="37"/>
  <c r="S487" i="37"/>
  <c r="Q487" i="37"/>
  <c r="O487" i="37"/>
  <c r="M487" i="37"/>
  <c r="K487" i="37"/>
  <c r="I487" i="37"/>
  <c r="G487" i="37"/>
  <c r="E487" i="37"/>
  <c r="AA486" i="37"/>
  <c r="Y486" i="37"/>
  <c r="W486" i="37"/>
  <c r="U486" i="37"/>
  <c r="S486" i="37"/>
  <c r="Q486" i="37"/>
  <c r="O486" i="37"/>
  <c r="M486" i="37"/>
  <c r="K486" i="37"/>
  <c r="I486" i="37"/>
  <c r="G486" i="37"/>
  <c r="E486" i="37"/>
  <c r="AA484" i="37"/>
  <c r="Y484" i="37"/>
  <c r="W484" i="37"/>
  <c r="U484" i="37"/>
  <c r="S484" i="37"/>
  <c r="Q484" i="37"/>
  <c r="O484" i="37"/>
  <c r="M484" i="37"/>
  <c r="K484" i="37"/>
  <c r="I484" i="37"/>
  <c r="G484" i="37"/>
  <c r="E484" i="37"/>
  <c r="AA483" i="37"/>
  <c r="Y483" i="37"/>
  <c r="W483" i="37"/>
  <c r="U483" i="37"/>
  <c r="S483" i="37"/>
  <c r="Q483" i="37"/>
  <c r="O483" i="37"/>
  <c r="M483" i="37"/>
  <c r="K483" i="37"/>
  <c r="I483" i="37"/>
  <c r="G483" i="37"/>
  <c r="E483" i="37"/>
  <c r="AA482" i="37"/>
  <c r="Y482" i="37"/>
  <c r="W482" i="37"/>
  <c r="U482" i="37"/>
  <c r="S482" i="37"/>
  <c r="Q482" i="37"/>
  <c r="O482" i="37"/>
  <c r="M482" i="37"/>
  <c r="K482" i="37"/>
  <c r="I482" i="37"/>
  <c r="G482" i="37"/>
  <c r="E482" i="37"/>
  <c r="AA481" i="37"/>
  <c r="Y481" i="37"/>
  <c r="W481" i="37"/>
  <c r="U481" i="37"/>
  <c r="S481" i="37"/>
  <c r="Q481" i="37"/>
  <c r="O481" i="37"/>
  <c r="M481" i="37"/>
  <c r="K481" i="37"/>
  <c r="I481" i="37"/>
  <c r="G481" i="37"/>
  <c r="E481" i="37"/>
  <c r="AA475" i="37"/>
  <c r="Y475" i="37"/>
  <c r="W475" i="37"/>
  <c r="U475" i="37"/>
  <c r="S475" i="37"/>
  <c r="Q475" i="37"/>
  <c r="O475" i="37"/>
  <c r="M475" i="37"/>
  <c r="K475" i="37"/>
  <c r="I475" i="37"/>
  <c r="G475" i="37"/>
  <c r="E475" i="37"/>
  <c r="AA474" i="37"/>
  <c r="Y474" i="37"/>
  <c r="W474" i="37"/>
  <c r="U474" i="37"/>
  <c r="S474" i="37"/>
  <c r="Q474" i="37"/>
  <c r="O474" i="37"/>
  <c r="M474" i="37"/>
  <c r="K474" i="37"/>
  <c r="I474" i="37"/>
  <c r="G474" i="37"/>
  <c r="E474" i="37"/>
  <c r="AA473" i="37"/>
  <c r="Y473" i="37"/>
  <c r="W473" i="37"/>
  <c r="U473" i="37"/>
  <c r="S473" i="37"/>
  <c r="Q473" i="37"/>
  <c r="O473" i="37"/>
  <c r="M473" i="37"/>
  <c r="K473" i="37"/>
  <c r="I473" i="37"/>
  <c r="G473" i="37"/>
  <c r="E473" i="37"/>
  <c r="AA472" i="37"/>
  <c r="Y472" i="37"/>
  <c r="W472" i="37"/>
  <c r="U472" i="37"/>
  <c r="S472" i="37"/>
  <c r="Q472" i="37"/>
  <c r="O472" i="37"/>
  <c r="M472" i="37"/>
  <c r="K472" i="37"/>
  <c r="I472" i="37"/>
  <c r="G472" i="37"/>
  <c r="E472" i="37"/>
  <c r="AA470" i="37"/>
  <c r="Y470" i="37"/>
  <c r="W470" i="37"/>
  <c r="U470" i="37"/>
  <c r="S470" i="37"/>
  <c r="Q470" i="37"/>
  <c r="O470" i="37"/>
  <c r="M470" i="37"/>
  <c r="K470" i="37"/>
  <c r="I470" i="37"/>
  <c r="G470" i="37"/>
  <c r="E470" i="37"/>
  <c r="AA469" i="37"/>
  <c r="Y469" i="37"/>
  <c r="W469" i="37"/>
  <c r="U469" i="37"/>
  <c r="S469" i="37"/>
  <c r="Q469" i="37"/>
  <c r="O469" i="37"/>
  <c r="M469" i="37"/>
  <c r="K469" i="37"/>
  <c r="I469" i="37"/>
  <c r="G469" i="37"/>
  <c r="E469" i="37"/>
  <c r="AA468" i="37"/>
  <c r="Y468" i="37"/>
  <c r="W468" i="37"/>
  <c r="U468" i="37"/>
  <c r="S468" i="37"/>
  <c r="Q468" i="37"/>
  <c r="O468" i="37"/>
  <c r="M468" i="37"/>
  <c r="K468" i="37"/>
  <c r="I468" i="37"/>
  <c r="G468" i="37"/>
  <c r="E468" i="37"/>
  <c r="AA467" i="37"/>
  <c r="Y467" i="37"/>
  <c r="W467" i="37"/>
  <c r="U467" i="37"/>
  <c r="S467" i="37"/>
  <c r="Q467" i="37"/>
  <c r="O467" i="37"/>
  <c r="M467" i="37"/>
  <c r="K467" i="37"/>
  <c r="I467" i="37"/>
  <c r="G467" i="37"/>
  <c r="E467" i="37"/>
  <c r="AA462" i="37"/>
  <c r="Y462" i="37"/>
  <c r="W462" i="37"/>
  <c r="U462" i="37"/>
  <c r="S462" i="37"/>
  <c r="Q462" i="37"/>
  <c r="O462" i="37"/>
  <c r="M462" i="37"/>
  <c r="K462" i="37"/>
  <c r="I462" i="37"/>
  <c r="G462" i="37"/>
  <c r="E462" i="37"/>
  <c r="AA461" i="37"/>
  <c r="Y461" i="37"/>
  <c r="W461" i="37"/>
  <c r="U461" i="37"/>
  <c r="S461" i="37"/>
  <c r="Q461" i="37"/>
  <c r="O461" i="37"/>
  <c r="M461" i="37"/>
  <c r="K461" i="37"/>
  <c r="I461" i="37"/>
  <c r="G461" i="37"/>
  <c r="E461" i="37"/>
  <c r="AA460" i="37"/>
  <c r="Y460" i="37"/>
  <c r="W460" i="37"/>
  <c r="U460" i="37"/>
  <c r="S460" i="37"/>
  <c r="Q460" i="37"/>
  <c r="O460" i="37"/>
  <c r="M460" i="37"/>
  <c r="K460" i="37"/>
  <c r="I460" i="37"/>
  <c r="G460" i="37"/>
  <c r="E460" i="37"/>
  <c r="AA459" i="37"/>
  <c r="Y459" i="37"/>
  <c r="W459" i="37"/>
  <c r="U459" i="37"/>
  <c r="S459" i="37"/>
  <c r="Q459" i="37"/>
  <c r="O459" i="37"/>
  <c r="M459" i="37"/>
  <c r="K459" i="37"/>
  <c r="I459" i="37"/>
  <c r="G459" i="37"/>
  <c r="E459" i="37"/>
  <c r="AA458" i="37"/>
  <c r="Y458" i="37"/>
  <c r="W458" i="37"/>
  <c r="U458" i="37"/>
  <c r="S458" i="37"/>
  <c r="Q458" i="37"/>
  <c r="O458" i="37"/>
  <c r="M458" i="37"/>
  <c r="K458" i="37"/>
  <c r="I458" i="37"/>
  <c r="G458" i="37"/>
  <c r="E458" i="37"/>
  <c r="AA456" i="37"/>
  <c r="Y456" i="37"/>
  <c r="W456" i="37"/>
  <c r="U456" i="37"/>
  <c r="S456" i="37"/>
  <c r="Q456" i="37"/>
  <c r="O456" i="37"/>
  <c r="M456" i="37"/>
  <c r="K456" i="37"/>
  <c r="I456" i="37"/>
  <c r="G456" i="37"/>
  <c r="E456" i="37"/>
  <c r="AA455" i="37"/>
  <c r="Y455" i="37"/>
  <c r="W455" i="37"/>
  <c r="U455" i="37"/>
  <c r="S455" i="37"/>
  <c r="Q455" i="37"/>
  <c r="O455" i="37"/>
  <c r="M455" i="37"/>
  <c r="K455" i="37"/>
  <c r="I455" i="37"/>
  <c r="G455" i="37"/>
  <c r="E455" i="37"/>
  <c r="AA454" i="37"/>
  <c r="Y454" i="37"/>
  <c r="W454" i="37"/>
  <c r="U454" i="37"/>
  <c r="S454" i="37"/>
  <c r="Q454" i="37"/>
  <c r="O454" i="37"/>
  <c r="M454" i="37"/>
  <c r="K454" i="37"/>
  <c r="I454" i="37"/>
  <c r="G454" i="37"/>
  <c r="E454" i="37"/>
  <c r="AA453" i="37"/>
  <c r="Y453" i="37"/>
  <c r="W453" i="37"/>
  <c r="U453" i="37"/>
  <c r="S453" i="37"/>
  <c r="Q453" i="37"/>
  <c r="O453" i="37"/>
  <c r="M453" i="37"/>
  <c r="K453" i="37"/>
  <c r="I453" i="37"/>
  <c r="G453" i="37"/>
  <c r="E453" i="37"/>
  <c r="AA452" i="37"/>
  <c r="Y452" i="37"/>
  <c r="W452" i="37"/>
  <c r="U452" i="37"/>
  <c r="S452" i="37"/>
  <c r="Q452" i="37"/>
  <c r="O452" i="37"/>
  <c r="M452" i="37"/>
  <c r="K452" i="37"/>
  <c r="I452" i="37"/>
  <c r="G452" i="37"/>
  <c r="E452" i="37"/>
  <c r="AA450" i="37"/>
  <c r="Y450" i="37"/>
  <c r="W450" i="37"/>
  <c r="U450" i="37"/>
  <c r="S450" i="37"/>
  <c r="Q450" i="37"/>
  <c r="O450" i="37"/>
  <c r="M450" i="37"/>
  <c r="K450" i="37"/>
  <c r="I450" i="37"/>
  <c r="G450" i="37"/>
  <c r="E450" i="37"/>
  <c r="AA449" i="37"/>
  <c r="Y449" i="37"/>
  <c r="W449" i="37"/>
  <c r="U449" i="37"/>
  <c r="S449" i="37"/>
  <c r="Q449" i="37"/>
  <c r="O449" i="37"/>
  <c r="M449" i="37"/>
  <c r="K449" i="37"/>
  <c r="I449" i="37"/>
  <c r="G449" i="37"/>
  <c r="E449" i="37"/>
  <c r="AA448" i="37"/>
  <c r="Y448" i="37"/>
  <c r="W448" i="37"/>
  <c r="U448" i="37"/>
  <c r="S448" i="37"/>
  <c r="Q448" i="37"/>
  <c r="O448" i="37"/>
  <c r="M448" i="37"/>
  <c r="K448" i="37"/>
  <c r="I448" i="37"/>
  <c r="G448" i="37"/>
  <c r="E448" i="37"/>
  <c r="AA447" i="37"/>
  <c r="Y447" i="37"/>
  <c r="W447" i="37"/>
  <c r="U447" i="37"/>
  <c r="S447" i="37"/>
  <c r="Q447" i="37"/>
  <c r="O447" i="37"/>
  <c r="M447" i="37"/>
  <c r="K447" i="37"/>
  <c r="I447" i="37"/>
  <c r="G447" i="37"/>
  <c r="E447" i="37"/>
  <c r="AA445" i="37"/>
  <c r="Y445" i="37"/>
  <c r="W445" i="37"/>
  <c r="U445" i="37"/>
  <c r="S445" i="37"/>
  <c r="Q445" i="37"/>
  <c r="O445" i="37"/>
  <c r="M445" i="37"/>
  <c r="K445" i="37"/>
  <c r="I445" i="37"/>
  <c r="G445" i="37"/>
  <c r="E445" i="37"/>
  <c r="AA444" i="37"/>
  <c r="Y444" i="37"/>
  <c r="W444" i="37"/>
  <c r="U444" i="37"/>
  <c r="S444" i="37"/>
  <c r="Q444" i="37"/>
  <c r="O444" i="37"/>
  <c r="M444" i="37"/>
  <c r="K444" i="37"/>
  <c r="I444" i="37"/>
  <c r="G444" i="37"/>
  <c r="E444" i="37"/>
  <c r="AA443" i="37"/>
  <c r="Y443" i="37"/>
  <c r="W443" i="37"/>
  <c r="U443" i="37"/>
  <c r="S443" i="37"/>
  <c r="Q443" i="37"/>
  <c r="O443" i="37"/>
  <c r="M443" i="37"/>
  <c r="K443" i="37"/>
  <c r="I443" i="37"/>
  <c r="G443" i="37"/>
  <c r="E443" i="37"/>
  <c r="AA442" i="37"/>
  <c r="Y442" i="37"/>
  <c r="Y464" i="37" s="1"/>
  <c r="Y465" i="37" s="1"/>
  <c r="W442" i="37"/>
  <c r="W464" i="37" s="1"/>
  <c r="W465" i="37" s="1"/>
  <c r="U442" i="37"/>
  <c r="S442" i="37"/>
  <c r="Q442" i="37"/>
  <c r="O442" i="37"/>
  <c r="M442" i="37"/>
  <c r="K442" i="37"/>
  <c r="I442" i="37"/>
  <c r="G442" i="37"/>
  <c r="E442" i="37"/>
  <c r="AA437" i="37"/>
  <c r="Y437" i="37"/>
  <c r="W437" i="37"/>
  <c r="U437" i="37"/>
  <c r="S437" i="37"/>
  <c r="Q437" i="37"/>
  <c r="O437" i="37"/>
  <c r="M437" i="37"/>
  <c r="K437" i="37"/>
  <c r="I437" i="37"/>
  <c r="G437" i="37"/>
  <c r="E437" i="37"/>
  <c r="AA436" i="37"/>
  <c r="Y436" i="37"/>
  <c r="W436" i="37"/>
  <c r="U436" i="37"/>
  <c r="S436" i="37"/>
  <c r="Q436" i="37"/>
  <c r="O436" i="37"/>
  <c r="M436" i="37"/>
  <c r="K436" i="37"/>
  <c r="I436" i="37"/>
  <c r="G436" i="37"/>
  <c r="E436" i="37"/>
  <c r="AA435" i="37"/>
  <c r="Y435" i="37"/>
  <c r="W435" i="37"/>
  <c r="U435" i="37"/>
  <c r="S435" i="37"/>
  <c r="Q435" i="37"/>
  <c r="O435" i="37"/>
  <c r="M435" i="37"/>
  <c r="K435" i="37"/>
  <c r="I435" i="37"/>
  <c r="G435" i="37"/>
  <c r="E435" i="37"/>
  <c r="AA434" i="37"/>
  <c r="Y434" i="37"/>
  <c r="W434" i="37"/>
  <c r="U434" i="37"/>
  <c r="S434" i="37"/>
  <c r="Q434" i="37"/>
  <c r="O434" i="37"/>
  <c r="M434" i="37"/>
  <c r="K434" i="37"/>
  <c r="I434" i="37"/>
  <c r="G434" i="37"/>
  <c r="E434" i="37"/>
  <c r="AA433" i="37"/>
  <c r="Y433" i="37"/>
  <c r="W433" i="37"/>
  <c r="U433" i="37"/>
  <c r="S433" i="37"/>
  <c r="Q433" i="37"/>
  <c r="O433" i="37"/>
  <c r="M433" i="37"/>
  <c r="K433" i="37"/>
  <c r="I433" i="37"/>
  <c r="G433" i="37"/>
  <c r="E433" i="37"/>
  <c r="AA431" i="37"/>
  <c r="Y431" i="37"/>
  <c r="W431" i="37"/>
  <c r="U431" i="37"/>
  <c r="S431" i="37"/>
  <c r="Q431" i="37"/>
  <c r="O431" i="37"/>
  <c r="M431" i="37"/>
  <c r="K431" i="37"/>
  <c r="I431" i="37"/>
  <c r="G431" i="37"/>
  <c r="E431" i="37"/>
  <c r="AA430" i="37"/>
  <c r="Y430" i="37"/>
  <c r="W430" i="37"/>
  <c r="U430" i="37"/>
  <c r="S430" i="37"/>
  <c r="Q430" i="37"/>
  <c r="O430" i="37"/>
  <c r="M430" i="37"/>
  <c r="K430" i="37"/>
  <c r="I430" i="37"/>
  <c r="G430" i="37"/>
  <c r="E430" i="37"/>
  <c r="AA429" i="37"/>
  <c r="Y429" i="37"/>
  <c r="W429" i="37"/>
  <c r="U429" i="37"/>
  <c r="S429" i="37"/>
  <c r="Q429" i="37"/>
  <c r="O429" i="37"/>
  <c r="M429" i="37"/>
  <c r="K429" i="37"/>
  <c r="I429" i="37"/>
  <c r="G429" i="37"/>
  <c r="E429" i="37"/>
  <c r="AA428" i="37"/>
  <c r="Y428" i="37"/>
  <c r="W428" i="37"/>
  <c r="U428" i="37"/>
  <c r="S428" i="37"/>
  <c r="Q428" i="37"/>
  <c r="O428" i="37"/>
  <c r="M428" i="37"/>
  <c r="K428" i="37"/>
  <c r="I428" i="37"/>
  <c r="G428" i="37"/>
  <c r="E428" i="37"/>
  <c r="AA427" i="37"/>
  <c r="Y427" i="37"/>
  <c r="W427" i="37"/>
  <c r="U427" i="37"/>
  <c r="S427" i="37"/>
  <c r="Q427" i="37"/>
  <c r="O427" i="37"/>
  <c r="M427" i="37"/>
  <c r="K427" i="37"/>
  <c r="I427" i="37"/>
  <c r="G427" i="37"/>
  <c r="E427" i="37"/>
  <c r="AA425" i="37"/>
  <c r="Y425" i="37"/>
  <c r="W425" i="37"/>
  <c r="U425" i="37"/>
  <c r="S425" i="37"/>
  <c r="Q425" i="37"/>
  <c r="O425" i="37"/>
  <c r="M425" i="37"/>
  <c r="K425" i="37"/>
  <c r="I425" i="37"/>
  <c r="G425" i="37"/>
  <c r="E425" i="37"/>
  <c r="AA424" i="37"/>
  <c r="Y424" i="37"/>
  <c r="W424" i="37"/>
  <c r="U424" i="37"/>
  <c r="S424" i="37"/>
  <c r="Q424" i="37"/>
  <c r="O424" i="37"/>
  <c r="M424" i="37"/>
  <c r="K424" i="37"/>
  <c r="I424" i="37"/>
  <c r="G424" i="37"/>
  <c r="E424" i="37"/>
  <c r="AA423" i="37"/>
  <c r="Y423" i="37"/>
  <c r="W423" i="37"/>
  <c r="U423" i="37"/>
  <c r="S423" i="37"/>
  <c r="Q423" i="37"/>
  <c r="O423" i="37"/>
  <c r="M423" i="37"/>
  <c r="K423" i="37"/>
  <c r="I423" i="37"/>
  <c r="G423" i="37"/>
  <c r="E423" i="37"/>
  <c r="AA422" i="37"/>
  <c r="Y422" i="37"/>
  <c r="W422" i="37"/>
  <c r="U422" i="37"/>
  <c r="S422" i="37"/>
  <c r="Q422" i="37"/>
  <c r="O422" i="37"/>
  <c r="M422" i="37"/>
  <c r="K422" i="37"/>
  <c r="I422" i="37"/>
  <c r="G422" i="37"/>
  <c r="E422" i="37"/>
  <c r="AA420" i="37"/>
  <c r="Y420" i="37"/>
  <c r="W420" i="37"/>
  <c r="U420" i="37"/>
  <c r="S420" i="37"/>
  <c r="Q420" i="37"/>
  <c r="O420" i="37"/>
  <c r="M420" i="37"/>
  <c r="K420" i="37"/>
  <c r="I420" i="37"/>
  <c r="G420" i="37"/>
  <c r="E420" i="37"/>
  <c r="AA419" i="37"/>
  <c r="Y419" i="37"/>
  <c r="W419" i="37"/>
  <c r="U419" i="37"/>
  <c r="S419" i="37"/>
  <c r="Q419" i="37"/>
  <c r="O419" i="37"/>
  <c r="M419" i="37"/>
  <c r="K419" i="37"/>
  <c r="I419" i="37"/>
  <c r="G419" i="37"/>
  <c r="E419" i="37"/>
  <c r="AA418" i="37"/>
  <c r="Y418" i="37"/>
  <c r="W418" i="37"/>
  <c r="U418" i="37"/>
  <c r="S418" i="37"/>
  <c r="Q418" i="37"/>
  <c r="O418" i="37"/>
  <c r="M418" i="37"/>
  <c r="K418" i="37"/>
  <c r="I418" i="37"/>
  <c r="G418" i="37"/>
  <c r="E418" i="37"/>
  <c r="AA417" i="37"/>
  <c r="Y417" i="37"/>
  <c r="W417" i="37"/>
  <c r="U417" i="37"/>
  <c r="S417" i="37"/>
  <c r="Q417" i="37"/>
  <c r="O417" i="37"/>
  <c r="M417" i="37"/>
  <c r="K417" i="37"/>
  <c r="I417" i="37"/>
  <c r="G417" i="37"/>
  <c r="E417" i="37"/>
  <c r="E439" i="37" s="1"/>
  <c r="E440" i="37" s="1"/>
  <c r="AA412" i="37"/>
  <c r="Y412" i="37"/>
  <c r="W412" i="37"/>
  <c r="U412" i="37"/>
  <c r="S412" i="37"/>
  <c r="Q412" i="37"/>
  <c r="O412" i="37"/>
  <c r="M412" i="37"/>
  <c r="K412" i="37"/>
  <c r="I412" i="37"/>
  <c r="G412" i="37"/>
  <c r="E412" i="37"/>
  <c r="AA411" i="37"/>
  <c r="Y411" i="37"/>
  <c r="W411" i="37"/>
  <c r="U411" i="37"/>
  <c r="S411" i="37"/>
  <c r="Q411" i="37"/>
  <c r="O411" i="37"/>
  <c r="M411" i="37"/>
  <c r="K411" i="37"/>
  <c r="I411" i="37"/>
  <c r="G411" i="37"/>
  <c r="E411" i="37"/>
  <c r="AA410" i="37"/>
  <c r="Y410" i="37"/>
  <c r="W410" i="37"/>
  <c r="U410" i="37"/>
  <c r="S410" i="37"/>
  <c r="Q410" i="37"/>
  <c r="O410" i="37"/>
  <c r="M410" i="37"/>
  <c r="K410" i="37"/>
  <c r="I410" i="37"/>
  <c r="G410" i="37"/>
  <c r="E410" i="37"/>
  <c r="AA409" i="37"/>
  <c r="Y409" i="37"/>
  <c r="W409" i="37"/>
  <c r="U409" i="37"/>
  <c r="S409" i="37"/>
  <c r="Q409" i="37"/>
  <c r="O409" i="37"/>
  <c r="M409" i="37"/>
  <c r="K409" i="37"/>
  <c r="I409" i="37"/>
  <c r="G409" i="37"/>
  <c r="E409" i="37"/>
  <c r="AA408" i="37"/>
  <c r="Y408" i="37"/>
  <c r="W408" i="37"/>
  <c r="U408" i="37"/>
  <c r="S408" i="37"/>
  <c r="Q408" i="37"/>
  <c r="O408" i="37"/>
  <c r="M408" i="37"/>
  <c r="K408" i="37"/>
  <c r="I408" i="37"/>
  <c r="G408" i="37"/>
  <c r="E408" i="37"/>
  <c r="AA406" i="37"/>
  <c r="Y406" i="37"/>
  <c r="W406" i="37"/>
  <c r="U406" i="37"/>
  <c r="S406" i="37"/>
  <c r="Q406" i="37"/>
  <c r="O406" i="37"/>
  <c r="M406" i="37"/>
  <c r="K406" i="37"/>
  <c r="I406" i="37"/>
  <c r="G406" i="37"/>
  <c r="E406" i="37"/>
  <c r="AA405" i="37"/>
  <c r="Y405" i="37"/>
  <c r="W405" i="37"/>
  <c r="U405" i="37"/>
  <c r="S405" i="37"/>
  <c r="Q405" i="37"/>
  <c r="O405" i="37"/>
  <c r="M405" i="37"/>
  <c r="K405" i="37"/>
  <c r="I405" i="37"/>
  <c r="G405" i="37"/>
  <c r="E405" i="37"/>
  <c r="AA404" i="37"/>
  <c r="Y404" i="37"/>
  <c r="W404" i="37"/>
  <c r="U404" i="37"/>
  <c r="S404" i="37"/>
  <c r="Q404" i="37"/>
  <c r="O404" i="37"/>
  <c r="M404" i="37"/>
  <c r="K404" i="37"/>
  <c r="I404" i="37"/>
  <c r="G404" i="37"/>
  <c r="E404" i="37"/>
  <c r="AA403" i="37"/>
  <c r="Y403" i="37"/>
  <c r="W403" i="37"/>
  <c r="U403" i="37"/>
  <c r="S403" i="37"/>
  <c r="Q403" i="37"/>
  <c r="O403" i="37"/>
  <c r="M403" i="37"/>
  <c r="K403" i="37"/>
  <c r="I403" i="37"/>
  <c r="G403" i="37"/>
  <c r="E403" i="37"/>
  <c r="AA402" i="37"/>
  <c r="Y402" i="37"/>
  <c r="W402" i="37"/>
  <c r="U402" i="37"/>
  <c r="S402" i="37"/>
  <c r="Q402" i="37"/>
  <c r="O402" i="37"/>
  <c r="M402" i="37"/>
  <c r="K402" i="37"/>
  <c r="I402" i="37"/>
  <c r="G402" i="37"/>
  <c r="E402" i="37"/>
  <c r="AA400" i="37"/>
  <c r="Y400" i="37"/>
  <c r="W400" i="37"/>
  <c r="U400" i="37"/>
  <c r="S400" i="37"/>
  <c r="Q400" i="37"/>
  <c r="O400" i="37"/>
  <c r="M400" i="37"/>
  <c r="K400" i="37"/>
  <c r="I400" i="37"/>
  <c r="G400" i="37"/>
  <c r="E400" i="37"/>
  <c r="AA399" i="37"/>
  <c r="Y399" i="37"/>
  <c r="W399" i="37"/>
  <c r="U399" i="37"/>
  <c r="S399" i="37"/>
  <c r="Q399" i="37"/>
  <c r="O399" i="37"/>
  <c r="M399" i="37"/>
  <c r="K399" i="37"/>
  <c r="I399" i="37"/>
  <c r="G399" i="37"/>
  <c r="E399" i="37"/>
  <c r="AA398" i="37"/>
  <c r="Y398" i="37"/>
  <c r="W398" i="37"/>
  <c r="U398" i="37"/>
  <c r="S398" i="37"/>
  <c r="Q398" i="37"/>
  <c r="O398" i="37"/>
  <c r="M398" i="37"/>
  <c r="K398" i="37"/>
  <c r="I398" i="37"/>
  <c r="G398" i="37"/>
  <c r="E398" i="37"/>
  <c r="AA397" i="37"/>
  <c r="Y397" i="37"/>
  <c r="W397" i="37"/>
  <c r="U397" i="37"/>
  <c r="S397" i="37"/>
  <c r="Q397" i="37"/>
  <c r="O397" i="37"/>
  <c r="M397" i="37"/>
  <c r="K397" i="37"/>
  <c r="I397" i="37"/>
  <c r="G397" i="37"/>
  <c r="E397" i="37"/>
  <c r="AA395" i="37"/>
  <c r="Y395" i="37"/>
  <c r="W395" i="37"/>
  <c r="U395" i="37"/>
  <c r="S395" i="37"/>
  <c r="Q395" i="37"/>
  <c r="O395" i="37"/>
  <c r="M395" i="37"/>
  <c r="K395" i="37"/>
  <c r="I395" i="37"/>
  <c r="G395" i="37"/>
  <c r="E395" i="37"/>
  <c r="AA394" i="37"/>
  <c r="Y394" i="37"/>
  <c r="W394" i="37"/>
  <c r="U394" i="37"/>
  <c r="S394" i="37"/>
  <c r="Q394" i="37"/>
  <c r="O394" i="37"/>
  <c r="M394" i="37"/>
  <c r="K394" i="37"/>
  <c r="I394" i="37"/>
  <c r="G394" i="37"/>
  <c r="E394" i="37"/>
  <c r="AA393" i="37"/>
  <c r="Y393" i="37"/>
  <c r="W393" i="37"/>
  <c r="U393" i="37"/>
  <c r="S393" i="37"/>
  <c r="Q393" i="37"/>
  <c r="O393" i="37"/>
  <c r="M393" i="37"/>
  <c r="K393" i="37"/>
  <c r="I393" i="37"/>
  <c r="G393" i="37"/>
  <c r="E393" i="37"/>
  <c r="AA392" i="37"/>
  <c r="Y392" i="37"/>
  <c r="W392" i="37"/>
  <c r="U392" i="37"/>
  <c r="S392" i="37"/>
  <c r="Q392" i="37"/>
  <c r="O392" i="37"/>
  <c r="M392" i="37"/>
  <c r="K392" i="37"/>
  <c r="I392" i="37"/>
  <c r="G392" i="37"/>
  <c r="E392" i="37"/>
  <c r="AA387" i="37"/>
  <c r="Y387" i="37"/>
  <c r="W387" i="37"/>
  <c r="U387" i="37"/>
  <c r="S387" i="37"/>
  <c r="Q387" i="37"/>
  <c r="O387" i="37"/>
  <c r="M387" i="37"/>
  <c r="K387" i="37"/>
  <c r="I387" i="37"/>
  <c r="G387" i="37"/>
  <c r="E387" i="37"/>
  <c r="AA386" i="37"/>
  <c r="Y386" i="37"/>
  <c r="W386" i="37"/>
  <c r="U386" i="37"/>
  <c r="S386" i="37"/>
  <c r="Q386" i="37"/>
  <c r="O386" i="37"/>
  <c r="M386" i="37"/>
  <c r="K386" i="37"/>
  <c r="I386" i="37"/>
  <c r="G386" i="37"/>
  <c r="E386" i="37"/>
  <c r="AA385" i="37"/>
  <c r="Y385" i="37"/>
  <c r="W385" i="37"/>
  <c r="U385" i="37"/>
  <c r="S385" i="37"/>
  <c r="Q385" i="37"/>
  <c r="O385" i="37"/>
  <c r="M385" i="37"/>
  <c r="K385" i="37"/>
  <c r="I385" i="37"/>
  <c r="G385" i="37"/>
  <c r="E385" i="37"/>
  <c r="AA384" i="37"/>
  <c r="Y384" i="37"/>
  <c r="W384" i="37"/>
  <c r="U384" i="37"/>
  <c r="S384" i="37"/>
  <c r="Q384" i="37"/>
  <c r="O384" i="37"/>
  <c r="M384" i="37"/>
  <c r="K384" i="37"/>
  <c r="I384" i="37"/>
  <c r="G384" i="37"/>
  <c r="E384" i="37"/>
  <c r="AA383" i="37"/>
  <c r="Y383" i="37"/>
  <c r="W383" i="37"/>
  <c r="U383" i="37"/>
  <c r="S383" i="37"/>
  <c r="Q383" i="37"/>
  <c r="O383" i="37"/>
  <c r="M383" i="37"/>
  <c r="K383" i="37"/>
  <c r="I383" i="37"/>
  <c r="G383" i="37"/>
  <c r="E383" i="37"/>
  <c r="AA381" i="37"/>
  <c r="Y381" i="37"/>
  <c r="W381" i="37"/>
  <c r="U381" i="37"/>
  <c r="S381" i="37"/>
  <c r="Q381" i="37"/>
  <c r="O381" i="37"/>
  <c r="M381" i="37"/>
  <c r="K381" i="37"/>
  <c r="I381" i="37"/>
  <c r="G381" i="37"/>
  <c r="E381" i="37"/>
  <c r="AA380" i="37"/>
  <c r="Y380" i="37"/>
  <c r="W380" i="37"/>
  <c r="U380" i="37"/>
  <c r="S380" i="37"/>
  <c r="Q380" i="37"/>
  <c r="O380" i="37"/>
  <c r="M380" i="37"/>
  <c r="K380" i="37"/>
  <c r="I380" i="37"/>
  <c r="G380" i="37"/>
  <c r="E380" i="37"/>
  <c r="AA379" i="37"/>
  <c r="Y379" i="37"/>
  <c r="W379" i="37"/>
  <c r="U379" i="37"/>
  <c r="S379" i="37"/>
  <c r="Q379" i="37"/>
  <c r="O379" i="37"/>
  <c r="M379" i="37"/>
  <c r="K379" i="37"/>
  <c r="I379" i="37"/>
  <c r="G379" i="37"/>
  <c r="E379" i="37"/>
  <c r="AA378" i="37"/>
  <c r="Y378" i="37"/>
  <c r="W378" i="37"/>
  <c r="U378" i="37"/>
  <c r="S378" i="37"/>
  <c r="Q378" i="37"/>
  <c r="O378" i="37"/>
  <c r="M378" i="37"/>
  <c r="K378" i="37"/>
  <c r="I378" i="37"/>
  <c r="G378" i="37"/>
  <c r="E378" i="37"/>
  <c r="AA377" i="37"/>
  <c r="Y377" i="37"/>
  <c r="W377" i="37"/>
  <c r="U377" i="37"/>
  <c r="S377" i="37"/>
  <c r="Q377" i="37"/>
  <c r="O377" i="37"/>
  <c r="M377" i="37"/>
  <c r="K377" i="37"/>
  <c r="I377" i="37"/>
  <c r="G377" i="37"/>
  <c r="E377" i="37"/>
  <c r="AA375" i="37"/>
  <c r="Y375" i="37"/>
  <c r="W375" i="37"/>
  <c r="U375" i="37"/>
  <c r="S375" i="37"/>
  <c r="Q375" i="37"/>
  <c r="O375" i="37"/>
  <c r="M375" i="37"/>
  <c r="K375" i="37"/>
  <c r="I375" i="37"/>
  <c r="G375" i="37"/>
  <c r="E375" i="37"/>
  <c r="AA374" i="37"/>
  <c r="Y374" i="37"/>
  <c r="W374" i="37"/>
  <c r="U374" i="37"/>
  <c r="S374" i="37"/>
  <c r="Q374" i="37"/>
  <c r="O374" i="37"/>
  <c r="M374" i="37"/>
  <c r="K374" i="37"/>
  <c r="I374" i="37"/>
  <c r="G374" i="37"/>
  <c r="E374" i="37"/>
  <c r="AA373" i="37"/>
  <c r="Y373" i="37"/>
  <c r="W373" i="37"/>
  <c r="U373" i="37"/>
  <c r="S373" i="37"/>
  <c r="Q373" i="37"/>
  <c r="O373" i="37"/>
  <c r="M373" i="37"/>
  <c r="K373" i="37"/>
  <c r="I373" i="37"/>
  <c r="G373" i="37"/>
  <c r="E373" i="37"/>
  <c r="AA372" i="37"/>
  <c r="Y372" i="37"/>
  <c r="W372" i="37"/>
  <c r="U372" i="37"/>
  <c r="S372" i="37"/>
  <c r="Q372" i="37"/>
  <c r="O372" i="37"/>
  <c r="M372" i="37"/>
  <c r="K372" i="37"/>
  <c r="I372" i="37"/>
  <c r="G372" i="37"/>
  <c r="E372" i="37"/>
  <c r="AA370" i="37"/>
  <c r="Y370" i="37"/>
  <c r="W370" i="37"/>
  <c r="U370" i="37"/>
  <c r="S370" i="37"/>
  <c r="Q370" i="37"/>
  <c r="O370" i="37"/>
  <c r="M370" i="37"/>
  <c r="K370" i="37"/>
  <c r="I370" i="37"/>
  <c r="G370" i="37"/>
  <c r="E370" i="37"/>
  <c r="AA369" i="37"/>
  <c r="Y369" i="37"/>
  <c r="W369" i="37"/>
  <c r="U369" i="37"/>
  <c r="S369" i="37"/>
  <c r="Q369" i="37"/>
  <c r="O369" i="37"/>
  <c r="M369" i="37"/>
  <c r="K369" i="37"/>
  <c r="I369" i="37"/>
  <c r="G369" i="37"/>
  <c r="E369" i="37"/>
  <c r="AA368" i="37"/>
  <c r="Y368" i="37"/>
  <c r="W368" i="37"/>
  <c r="U368" i="37"/>
  <c r="S368" i="37"/>
  <c r="Q368" i="37"/>
  <c r="O368" i="37"/>
  <c r="M368" i="37"/>
  <c r="K368" i="37"/>
  <c r="I368" i="37"/>
  <c r="G368" i="37"/>
  <c r="E368" i="37"/>
  <c r="AA367" i="37"/>
  <c r="Y367" i="37"/>
  <c r="W367" i="37"/>
  <c r="U367" i="37"/>
  <c r="S367" i="37"/>
  <c r="Q367" i="37"/>
  <c r="O367" i="37"/>
  <c r="M367" i="37"/>
  <c r="K367" i="37"/>
  <c r="I367" i="37"/>
  <c r="G367" i="37"/>
  <c r="E367" i="37"/>
  <c r="AA362" i="37"/>
  <c r="Y362" i="37"/>
  <c r="W362" i="37"/>
  <c r="U362" i="37"/>
  <c r="S362" i="37"/>
  <c r="Q362" i="37"/>
  <c r="O362" i="37"/>
  <c r="M362" i="37"/>
  <c r="K362" i="37"/>
  <c r="I362" i="37"/>
  <c r="G362" i="37"/>
  <c r="E362" i="37"/>
  <c r="AA361" i="37"/>
  <c r="Y361" i="37"/>
  <c r="W361" i="37"/>
  <c r="U361" i="37"/>
  <c r="S361" i="37"/>
  <c r="Q361" i="37"/>
  <c r="O361" i="37"/>
  <c r="M361" i="37"/>
  <c r="K361" i="37"/>
  <c r="I361" i="37"/>
  <c r="G361" i="37"/>
  <c r="E361" i="37"/>
  <c r="AA360" i="37"/>
  <c r="Y360" i="37"/>
  <c r="W360" i="37"/>
  <c r="U360" i="37"/>
  <c r="S360" i="37"/>
  <c r="Q360" i="37"/>
  <c r="O360" i="37"/>
  <c r="M360" i="37"/>
  <c r="K360" i="37"/>
  <c r="I360" i="37"/>
  <c r="G360" i="37"/>
  <c r="E360" i="37"/>
  <c r="AA359" i="37"/>
  <c r="Y359" i="37"/>
  <c r="W359" i="37"/>
  <c r="U359" i="37"/>
  <c r="S359" i="37"/>
  <c r="Q359" i="37"/>
  <c r="O359" i="37"/>
  <c r="M359" i="37"/>
  <c r="K359" i="37"/>
  <c r="I359" i="37"/>
  <c r="G359" i="37"/>
  <c r="E359" i="37"/>
  <c r="AA358" i="37"/>
  <c r="Y358" i="37"/>
  <c r="W358" i="37"/>
  <c r="U358" i="37"/>
  <c r="S358" i="37"/>
  <c r="Q358" i="37"/>
  <c r="O358" i="37"/>
  <c r="M358" i="37"/>
  <c r="K358" i="37"/>
  <c r="I358" i="37"/>
  <c r="G358" i="37"/>
  <c r="E358" i="37"/>
  <c r="AA356" i="37"/>
  <c r="Y356" i="37"/>
  <c r="W356" i="37"/>
  <c r="U356" i="37"/>
  <c r="S356" i="37"/>
  <c r="Q356" i="37"/>
  <c r="O356" i="37"/>
  <c r="M356" i="37"/>
  <c r="K356" i="37"/>
  <c r="I356" i="37"/>
  <c r="G356" i="37"/>
  <c r="E356" i="37"/>
  <c r="AA355" i="37"/>
  <c r="Y355" i="37"/>
  <c r="W355" i="37"/>
  <c r="U355" i="37"/>
  <c r="S355" i="37"/>
  <c r="Q355" i="37"/>
  <c r="O355" i="37"/>
  <c r="M355" i="37"/>
  <c r="K355" i="37"/>
  <c r="I355" i="37"/>
  <c r="G355" i="37"/>
  <c r="E355" i="37"/>
  <c r="AA354" i="37"/>
  <c r="Y354" i="37"/>
  <c r="W354" i="37"/>
  <c r="U354" i="37"/>
  <c r="S354" i="37"/>
  <c r="Q354" i="37"/>
  <c r="O354" i="37"/>
  <c r="M354" i="37"/>
  <c r="K354" i="37"/>
  <c r="I354" i="37"/>
  <c r="G354" i="37"/>
  <c r="E354" i="37"/>
  <c r="AA353" i="37"/>
  <c r="Y353" i="37"/>
  <c r="W353" i="37"/>
  <c r="U353" i="37"/>
  <c r="S353" i="37"/>
  <c r="Q353" i="37"/>
  <c r="O353" i="37"/>
  <c r="M353" i="37"/>
  <c r="K353" i="37"/>
  <c r="I353" i="37"/>
  <c r="G353" i="37"/>
  <c r="E353" i="37"/>
  <c r="AA352" i="37"/>
  <c r="Y352" i="37"/>
  <c r="W352" i="37"/>
  <c r="U352" i="37"/>
  <c r="S352" i="37"/>
  <c r="Q352" i="37"/>
  <c r="O352" i="37"/>
  <c r="M352" i="37"/>
  <c r="K352" i="37"/>
  <c r="I352" i="37"/>
  <c r="G352" i="37"/>
  <c r="E352" i="37"/>
  <c r="AA350" i="37"/>
  <c r="Y350" i="37"/>
  <c r="W350" i="37"/>
  <c r="U350" i="37"/>
  <c r="S350" i="37"/>
  <c r="Q350" i="37"/>
  <c r="O350" i="37"/>
  <c r="M350" i="37"/>
  <c r="K350" i="37"/>
  <c r="I350" i="37"/>
  <c r="G350" i="37"/>
  <c r="E350" i="37"/>
  <c r="AA349" i="37"/>
  <c r="Y349" i="37"/>
  <c r="W349" i="37"/>
  <c r="U349" i="37"/>
  <c r="S349" i="37"/>
  <c r="Q349" i="37"/>
  <c r="O349" i="37"/>
  <c r="M349" i="37"/>
  <c r="K349" i="37"/>
  <c r="I349" i="37"/>
  <c r="G349" i="37"/>
  <c r="E349" i="37"/>
  <c r="AA348" i="37"/>
  <c r="Y348" i="37"/>
  <c r="W348" i="37"/>
  <c r="U348" i="37"/>
  <c r="S348" i="37"/>
  <c r="Q348" i="37"/>
  <c r="O348" i="37"/>
  <c r="M348" i="37"/>
  <c r="K348" i="37"/>
  <c r="I348" i="37"/>
  <c r="G348" i="37"/>
  <c r="E348" i="37"/>
  <c r="AA347" i="37"/>
  <c r="Y347" i="37"/>
  <c r="W347" i="37"/>
  <c r="U347" i="37"/>
  <c r="S347" i="37"/>
  <c r="Q347" i="37"/>
  <c r="O347" i="37"/>
  <c r="M347" i="37"/>
  <c r="K347" i="37"/>
  <c r="I347" i="37"/>
  <c r="G347" i="37"/>
  <c r="E347" i="37"/>
  <c r="AA345" i="37"/>
  <c r="Y345" i="37"/>
  <c r="W345" i="37"/>
  <c r="U345" i="37"/>
  <c r="S345" i="37"/>
  <c r="Q345" i="37"/>
  <c r="O345" i="37"/>
  <c r="M345" i="37"/>
  <c r="K345" i="37"/>
  <c r="I345" i="37"/>
  <c r="G345" i="37"/>
  <c r="E345" i="37"/>
  <c r="AA344" i="37"/>
  <c r="Y344" i="37"/>
  <c r="W344" i="37"/>
  <c r="U344" i="37"/>
  <c r="S344" i="37"/>
  <c r="Q344" i="37"/>
  <c r="O344" i="37"/>
  <c r="M344" i="37"/>
  <c r="K344" i="37"/>
  <c r="I344" i="37"/>
  <c r="G344" i="37"/>
  <c r="E344" i="37"/>
  <c r="AA343" i="37"/>
  <c r="Y343" i="37"/>
  <c r="W343" i="37"/>
  <c r="U343" i="37"/>
  <c r="S343" i="37"/>
  <c r="Q343" i="37"/>
  <c r="O343" i="37"/>
  <c r="M343" i="37"/>
  <c r="K343" i="37"/>
  <c r="I343" i="37"/>
  <c r="G343" i="37"/>
  <c r="E343" i="37"/>
  <c r="AA342" i="37"/>
  <c r="Y342" i="37"/>
  <c r="W342" i="37"/>
  <c r="W364" i="37" s="1"/>
  <c r="W365" i="37" s="1"/>
  <c r="U342" i="37"/>
  <c r="U364" i="37" s="1"/>
  <c r="U365" i="37" s="1"/>
  <c r="S342" i="37"/>
  <c r="Q342" i="37"/>
  <c r="O342" i="37"/>
  <c r="M342" i="37"/>
  <c r="K342" i="37"/>
  <c r="I342" i="37"/>
  <c r="G342" i="37"/>
  <c r="E342" i="37"/>
  <c r="AA337" i="37"/>
  <c r="Y337" i="37"/>
  <c r="W337" i="37"/>
  <c r="U337" i="37"/>
  <c r="S337" i="37"/>
  <c r="Q337" i="37"/>
  <c r="O337" i="37"/>
  <c r="M337" i="37"/>
  <c r="K337" i="37"/>
  <c r="I337" i="37"/>
  <c r="G337" i="37"/>
  <c r="E337" i="37"/>
  <c r="AA336" i="37"/>
  <c r="Y336" i="37"/>
  <c r="W336" i="37"/>
  <c r="U336" i="37"/>
  <c r="S336" i="37"/>
  <c r="Q336" i="37"/>
  <c r="O336" i="37"/>
  <c r="M336" i="37"/>
  <c r="K336" i="37"/>
  <c r="I336" i="37"/>
  <c r="G336" i="37"/>
  <c r="E336" i="37"/>
  <c r="AA335" i="37"/>
  <c r="Y335" i="37"/>
  <c r="W335" i="37"/>
  <c r="U335" i="37"/>
  <c r="S335" i="37"/>
  <c r="Q335" i="37"/>
  <c r="O335" i="37"/>
  <c r="M335" i="37"/>
  <c r="K335" i="37"/>
  <c r="I335" i="37"/>
  <c r="G335" i="37"/>
  <c r="E335" i="37"/>
  <c r="AA334" i="37"/>
  <c r="Y334" i="37"/>
  <c r="W334" i="37"/>
  <c r="U334" i="37"/>
  <c r="S334" i="37"/>
  <c r="Q334" i="37"/>
  <c r="O334" i="37"/>
  <c r="M334" i="37"/>
  <c r="K334" i="37"/>
  <c r="I334" i="37"/>
  <c r="G334" i="37"/>
  <c r="E334" i="37"/>
  <c r="AA333" i="37"/>
  <c r="Y333" i="37"/>
  <c r="W333" i="37"/>
  <c r="U333" i="37"/>
  <c r="S333" i="37"/>
  <c r="Q333" i="37"/>
  <c r="O333" i="37"/>
  <c r="M333" i="37"/>
  <c r="K333" i="37"/>
  <c r="I333" i="37"/>
  <c r="G333" i="37"/>
  <c r="E333" i="37"/>
  <c r="AA332" i="37"/>
  <c r="Y332" i="37"/>
  <c r="W332" i="37"/>
  <c r="U332" i="37"/>
  <c r="S332" i="37"/>
  <c r="Q332" i="37"/>
  <c r="O332" i="37"/>
  <c r="M332" i="37"/>
  <c r="K332" i="37"/>
  <c r="AA331" i="37"/>
  <c r="Y331" i="37"/>
  <c r="W331" i="37"/>
  <c r="U331" i="37"/>
  <c r="S331" i="37"/>
  <c r="Q331" i="37"/>
  <c r="O331" i="37"/>
  <c r="M331" i="37"/>
  <c r="K331" i="37"/>
  <c r="I331" i="37"/>
  <c r="G331" i="37"/>
  <c r="E331" i="37"/>
  <c r="AA330" i="37"/>
  <c r="Y330" i="37"/>
  <c r="W330" i="37"/>
  <c r="U330" i="37"/>
  <c r="S330" i="37"/>
  <c r="Q330" i="37"/>
  <c r="O330" i="37"/>
  <c r="M330" i="37"/>
  <c r="K330" i="37"/>
  <c r="I330" i="37"/>
  <c r="G330" i="37"/>
  <c r="E330" i="37"/>
  <c r="AA329" i="37"/>
  <c r="Y329" i="37"/>
  <c r="W329" i="37"/>
  <c r="U329" i="37"/>
  <c r="S329" i="37"/>
  <c r="Q329" i="37"/>
  <c r="O329" i="37"/>
  <c r="M329" i="37"/>
  <c r="K329" i="37"/>
  <c r="I329" i="37"/>
  <c r="G329" i="37"/>
  <c r="E329" i="37"/>
  <c r="AA328" i="37"/>
  <c r="Y328" i="37"/>
  <c r="W328" i="37"/>
  <c r="U328" i="37"/>
  <c r="S328" i="37"/>
  <c r="Q328" i="37"/>
  <c r="O328" i="37"/>
  <c r="M328" i="37"/>
  <c r="K328" i="37"/>
  <c r="I328" i="37"/>
  <c r="G328" i="37"/>
  <c r="E328" i="37"/>
  <c r="AA327" i="37"/>
  <c r="Y327" i="37"/>
  <c r="W327" i="37"/>
  <c r="U327" i="37"/>
  <c r="S327" i="37"/>
  <c r="Q327" i="37"/>
  <c r="O327" i="37"/>
  <c r="M327" i="37"/>
  <c r="K327" i="37"/>
  <c r="I327" i="37"/>
  <c r="G327" i="37"/>
  <c r="E327" i="37"/>
  <c r="AA326" i="37"/>
  <c r="Y326" i="37"/>
  <c r="W326" i="37"/>
  <c r="U326" i="37"/>
  <c r="S326" i="37"/>
  <c r="Q326" i="37"/>
  <c r="O326" i="37"/>
  <c r="M326" i="37"/>
  <c r="K326" i="37"/>
  <c r="AA325" i="37"/>
  <c r="Y325" i="37"/>
  <c r="W325" i="37"/>
  <c r="U325" i="37"/>
  <c r="S325" i="37"/>
  <c r="Q325" i="37"/>
  <c r="O325" i="37"/>
  <c r="M325" i="37"/>
  <c r="K325" i="37"/>
  <c r="I325" i="37"/>
  <c r="G325" i="37"/>
  <c r="E325" i="37"/>
  <c r="AA324" i="37"/>
  <c r="Y324" i="37"/>
  <c r="W324" i="37"/>
  <c r="U324" i="37"/>
  <c r="S324" i="37"/>
  <c r="Q324" i="37"/>
  <c r="O324" i="37"/>
  <c r="M324" i="37"/>
  <c r="K324" i="37"/>
  <c r="I324" i="37"/>
  <c r="G324" i="37"/>
  <c r="E324" i="37"/>
  <c r="AA323" i="37"/>
  <c r="Y323" i="37"/>
  <c r="W323" i="37"/>
  <c r="U323" i="37"/>
  <c r="S323" i="37"/>
  <c r="Q323" i="37"/>
  <c r="O323" i="37"/>
  <c r="M323" i="37"/>
  <c r="K323" i="37"/>
  <c r="I323" i="37"/>
  <c r="G323" i="37"/>
  <c r="E323" i="37"/>
  <c r="AA322" i="37"/>
  <c r="Y322" i="37"/>
  <c r="W322" i="37"/>
  <c r="U322" i="37"/>
  <c r="S322" i="37"/>
  <c r="Q322" i="37"/>
  <c r="O322" i="37"/>
  <c r="M322" i="37"/>
  <c r="K322" i="37"/>
  <c r="I322" i="37"/>
  <c r="G322" i="37"/>
  <c r="E322" i="37"/>
  <c r="AA321" i="37"/>
  <c r="Y321" i="37"/>
  <c r="W321" i="37"/>
  <c r="U321" i="37"/>
  <c r="S321" i="37"/>
  <c r="Q321" i="37"/>
  <c r="O321" i="37"/>
  <c r="M321" i="37"/>
  <c r="K321" i="37"/>
  <c r="AA320" i="37"/>
  <c r="Y320" i="37"/>
  <c r="W320" i="37"/>
  <c r="U320" i="37"/>
  <c r="S320" i="37"/>
  <c r="Q320" i="37"/>
  <c r="O320" i="37"/>
  <c r="M320" i="37"/>
  <c r="K320" i="37"/>
  <c r="I320" i="37"/>
  <c r="G320" i="37"/>
  <c r="E320" i="37"/>
  <c r="AA319" i="37"/>
  <c r="Y319" i="37"/>
  <c r="W319" i="37"/>
  <c r="U319" i="37"/>
  <c r="S319" i="37"/>
  <c r="Q319" i="37"/>
  <c r="O319" i="37"/>
  <c r="M319" i="37"/>
  <c r="K319" i="37"/>
  <c r="I319" i="37"/>
  <c r="G319" i="37"/>
  <c r="E319" i="37"/>
  <c r="AA318" i="37"/>
  <c r="Y318" i="37"/>
  <c r="W318" i="37"/>
  <c r="U318" i="37"/>
  <c r="S318" i="37"/>
  <c r="Q318" i="37"/>
  <c r="O318" i="37"/>
  <c r="M318" i="37"/>
  <c r="K318" i="37"/>
  <c r="I318" i="37"/>
  <c r="G318" i="37"/>
  <c r="E318" i="37"/>
  <c r="AA317" i="37"/>
  <c r="Y317" i="37"/>
  <c r="W317" i="37"/>
  <c r="U317" i="37"/>
  <c r="S317" i="37"/>
  <c r="Q317" i="37"/>
  <c r="O317" i="37"/>
  <c r="M317" i="37"/>
  <c r="K317" i="37"/>
  <c r="I317" i="37"/>
  <c r="G317" i="37"/>
  <c r="E317" i="37"/>
  <c r="AA316" i="37"/>
  <c r="Y316" i="37"/>
  <c r="W316" i="37"/>
  <c r="U316" i="37"/>
  <c r="S316" i="37"/>
  <c r="Q316" i="37"/>
  <c r="O316" i="37"/>
  <c r="M316" i="37"/>
  <c r="K316" i="37"/>
  <c r="AA312" i="37"/>
  <c r="Y312" i="37"/>
  <c r="W312" i="37"/>
  <c r="U312" i="37"/>
  <c r="S312" i="37"/>
  <c r="Q312" i="37"/>
  <c r="O312" i="37"/>
  <c r="M312" i="37"/>
  <c r="K312" i="37"/>
  <c r="I312" i="37"/>
  <c r="G312" i="37"/>
  <c r="E312" i="37"/>
  <c r="AA311" i="37"/>
  <c r="Y311" i="37"/>
  <c r="W311" i="37"/>
  <c r="U311" i="37"/>
  <c r="S311" i="37"/>
  <c r="Q311" i="37"/>
  <c r="O311" i="37"/>
  <c r="M311" i="37"/>
  <c r="K311" i="37"/>
  <c r="I311" i="37"/>
  <c r="G311" i="37"/>
  <c r="E311" i="37"/>
  <c r="AA310" i="37"/>
  <c r="Y310" i="37"/>
  <c r="W310" i="37"/>
  <c r="U310" i="37"/>
  <c r="S310" i="37"/>
  <c r="Q310" i="37"/>
  <c r="O310" i="37"/>
  <c r="M310" i="37"/>
  <c r="K310" i="37"/>
  <c r="I310" i="37"/>
  <c r="G310" i="37"/>
  <c r="E310" i="37"/>
  <c r="AA309" i="37"/>
  <c r="Y309" i="37"/>
  <c r="W309" i="37"/>
  <c r="U309" i="37"/>
  <c r="S309" i="37"/>
  <c r="Q309" i="37"/>
  <c r="O309" i="37"/>
  <c r="M309" i="37"/>
  <c r="K309" i="37"/>
  <c r="I309" i="37"/>
  <c r="G309" i="37"/>
  <c r="E309" i="37"/>
  <c r="AA308" i="37"/>
  <c r="Y308" i="37"/>
  <c r="W308" i="37"/>
  <c r="U308" i="37"/>
  <c r="S308" i="37"/>
  <c r="Q308" i="37"/>
  <c r="O308" i="37"/>
  <c r="M308" i="37"/>
  <c r="K308" i="37"/>
  <c r="I308" i="37"/>
  <c r="G308" i="37"/>
  <c r="E308" i="37"/>
  <c r="AA307" i="37"/>
  <c r="Y307" i="37"/>
  <c r="W307" i="37"/>
  <c r="U307" i="37"/>
  <c r="S307" i="37"/>
  <c r="Q307" i="37"/>
  <c r="O307" i="37"/>
  <c r="M307" i="37"/>
  <c r="K307" i="37"/>
  <c r="AA306" i="37"/>
  <c r="Y306" i="37"/>
  <c r="W306" i="37"/>
  <c r="U306" i="37"/>
  <c r="S306" i="37"/>
  <c r="Q306" i="37"/>
  <c r="O306" i="37"/>
  <c r="M306" i="37"/>
  <c r="K306" i="37"/>
  <c r="I306" i="37"/>
  <c r="G306" i="37"/>
  <c r="E306" i="37"/>
  <c r="AA305" i="37"/>
  <c r="Y305" i="37"/>
  <c r="W305" i="37"/>
  <c r="U305" i="37"/>
  <c r="S305" i="37"/>
  <c r="Q305" i="37"/>
  <c r="O305" i="37"/>
  <c r="M305" i="37"/>
  <c r="K305" i="37"/>
  <c r="I305" i="37"/>
  <c r="G305" i="37"/>
  <c r="E305" i="37"/>
  <c r="AA304" i="37"/>
  <c r="Y304" i="37"/>
  <c r="W304" i="37"/>
  <c r="U304" i="37"/>
  <c r="S304" i="37"/>
  <c r="Q304" i="37"/>
  <c r="O304" i="37"/>
  <c r="M304" i="37"/>
  <c r="K304" i="37"/>
  <c r="I304" i="37"/>
  <c r="G304" i="37"/>
  <c r="E304" i="37"/>
  <c r="AA303" i="37"/>
  <c r="Y303" i="37"/>
  <c r="W303" i="37"/>
  <c r="U303" i="37"/>
  <c r="S303" i="37"/>
  <c r="Q303" i="37"/>
  <c r="O303" i="37"/>
  <c r="M303" i="37"/>
  <c r="K303" i="37"/>
  <c r="I303" i="37"/>
  <c r="G303" i="37"/>
  <c r="E303" i="37"/>
  <c r="AA302" i="37"/>
  <c r="Y302" i="37"/>
  <c r="W302" i="37"/>
  <c r="U302" i="37"/>
  <c r="S302" i="37"/>
  <c r="Q302" i="37"/>
  <c r="O302" i="37"/>
  <c r="M302" i="37"/>
  <c r="K302" i="37"/>
  <c r="I302" i="37"/>
  <c r="G302" i="37"/>
  <c r="E302" i="37"/>
  <c r="AA301" i="37"/>
  <c r="Y301" i="37"/>
  <c r="W301" i="37"/>
  <c r="U301" i="37"/>
  <c r="S301" i="37"/>
  <c r="Q301" i="37"/>
  <c r="O301" i="37"/>
  <c r="M301" i="37"/>
  <c r="K301" i="37"/>
  <c r="AA300" i="37"/>
  <c r="Y300" i="37"/>
  <c r="W300" i="37"/>
  <c r="U300" i="37"/>
  <c r="S300" i="37"/>
  <c r="Q300" i="37"/>
  <c r="O300" i="37"/>
  <c r="M300" i="37"/>
  <c r="K300" i="37"/>
  <c r="I300" i="37"/>
  <c r="G300" i="37"/>
  <c r="E300" i="37"/>
  <c r="AA299" i="37"/>
  <c r="Y299" i="37"/>
  <c r="W299" i="37"/>
  <c r="U299" i="37"/>
  <c r="S299" i="37"/>
  <c r="Q299" i="37"/>
  <c r="O299" i="37"/>
  <c r="M299" i="37"/>
  <c r="K299" i="37"/>
  <c r="I299" i="37"/>
  <c r="G299" i="37"/>
  <c r="E299" i="37"/>
  <c r="AA298" i="37"/>
  <c r="Y298" i="37"/>
  <c r="W298" i="37"/>
  <c r="U298" i="37"/>
  <c r="S298" i="37"/>
  <c r="Q298" i="37"/>
  <c r="O298" i="37"/>
  <c r="M298" i="37"/>
  <c r="K298" i="37"/>
  <c r="I298" i="37"/>
  <c r="G298" i="37"/>
  <c r="E298" i="37"/>
  <c r="AA297" i="37"/>
  <c r="Y297" i="37"/>
  <c r="W297" i="37"/>
  <c r="U297" i="37"/>
  <c r="S297" i="37"/>
  <c r="Q297" i="37"/>
  <c r="O297" i="37"/>
  <c r="M297" i="37"/>
  <c r="K297" i="37"/>
  <c r="I297" i="37"/>
  <c r="G297" i="37"/>
  <c r="E297" i="37"/>
  <c r="AA296" i="37"/>
  <c r="Y296" i="37"/>
  <c r="W296" i="37"/>
  <c r="U296" i="37"/>
  <c r="S296" i="37"/>
  <c r="Q296" i="37"/>
  <c r="O296" i="37"/>
  <c r="M296" i="37"/>
  <c r="K296" i="37"/>
  <c r="AA295" i="37"/>
  <c r="Y295" i="37"/>
  <c r="W295" i="37"/>
  <c r="U295" i="37"/>
  <c r="S295" i="37"/>
  <c r="Q295" i="37"/>
  <c r="O295" i="37"/>
  <c r="M295" i="37"/>
  <c r="K295" i="37"/>
  <c r="I295" i="37"/>
  <c r="G295" i="37"/>
  <c r="E295" i="37"/>
  <c r="AA294" i="37"/>
  <c r="Y294" i="37"/>
  <c r="W294" i="37"/>
  <c r="U294" i="37"/>
  <c r="S294" i="37"/>
  <c r="Q294" i="37"/>
  <c r="O294" i="37"/>
  <c r="M294" i="37"/>
  <c r="K294" i="37"/>
  <c r="I294" i="37"/>
  <c r="G294" i="37"/>
  <c r="E294" i="37"/>
  <c r="AA293" i="37"/>
  <c r="Y293" i="37"/>
  <c r="W293" i="37"/>
  <c r="U293" i="37"/>
  <c r="S293" i="37"/>
  <c r="Q293" i="37"/>
  <c r="O293" i="37"/>
  <c r="M293" i="37"/>
  <c r="K293" i="37"/>
  <c r="I293" i="37"/>
  <c r="G293" i="37"/>
  <c r="E293" i="37"/>
  <c r="AA292" i="37"/>
  <c r="Y292" i="37"/>
  <c r="W292" i="37"/>
  <c r="U292" i="37"/>
  <c r="S292" i="37"/>
  <c r="Q292" i="37"/>
  <c r="O292" i="37"/>
  <c r="M292" i="37"/>
  <c r="K292" i="37"/>
  <c r="I292" i="37"/>
  <c r="G292" i="37"/>
  <c r="E292" i="37"/>
  <c r="M771" i="37"/>
  <c r="U785" i="37"/>
  <c r="O785" i="37"/>
  <c r="K785" i="37"/>
  <c r="I819" i="37"/>
  <c r="I813" i="37"/>
  <c r="I807" i="37"/>
  <c r="E790" i="37"/>
  <c r="AA782" i="37"/>
  <c r="AA785" i="37" s="1"/>
  <c r="Y782" i="37"/>
  <c r="Y785" i="37" s="1"/>
  <c r="W782" i="37"/>
  <c r="W785" i="37" s="1"/>
  <c r="U782" i="37"/>
  <c r="S782" i="37"/>
  <c r="S785" i="37" s="1"/>
  <c r="Q782" i="37"/>
  <c r="Q785" i="37" s="1"/>
  <c r="O782" i="37"/>
  <c r="M782" i="37"/>
  <c r="M785" i="37" s="1"/>
  <c r="K782" i="37"/>
  <c r="I782" i="37"/>
  <c r="I785" i="37" s="1"/>
  <c r="G782" i="37"/>
  <c r="G785" i="37" s="1"/>
  <c r="E782" i="37"/>
  <c r="E785" i="37" s="1"/>
  <c r="AA788" i="37"/>
  <c r="AA790" i="37" s="1"/>
  <c r="Y788" i="37"/>
  <c r="Y790" i="37" s="1"/>
  <c r="W788" i="37"/>
  <c r="W790" i="37" s="1"/>
  <c r="U788" i="37"/>
  <c r="U790" i="37" s="1"/>
  <c r="S788" i="37"/>
  <c r="S790" i="37" s="1"/>
  <c r="Q788" i="37"/>
  <c r="Q790" i="37" s="1"/>
  <c r="O788" i="37"/>
  <c r="O790" i="37" s="1"/>
  <c r="M788" i="37"/>
  <c r="M790" i="37" s="1"/>
  <c r="K788" i="37"/>
  <c r="K790" i="37" s="1"/>
  <c r="I788" i="37"/>
  <c r="I790" i="37" s="1"/>
  <c r="G788" i="37"/>
  <c r="G790" i="37" s="1"/>
  <c r="E788" i="37"/>
  <c r="AA794" i="37"/>
  <c r="AA797" i="37" s="1"/>
  <c r="Y794" i="37"/>
  <c r="Y797" i="37" s="1"/>
  <c r="W794" i="37"/>
  <c r="W797" i="37" s="1"/>
  <c r="U794" i="37"/>
  <c r="U797" i="37" s="1"/>
  <c r="S794" i="37"/>
  <c r="S797" i="37" s="1"/>
  <c r="Q794" i="37"/>
  <c r="Q797" i="37" s="1"/>
  <c r="O794" i="37"/>
  <c r="O797" i="37" s="1"/>
  <c r="M794" i="37"/>
  <c r="M797" i="37" s="1"/>
  <c r="K794" i="37"/>
  <c r="K797" i="37" s="1"/>
  <c r="I794" i="37"/>
  <c r="I797" i="37" s="1"/>
  <c r="G794" i="37"/>
  <c r="G797" i="37" s="1"/>
  <c r="E794" i="37"/>
  <c r="E797" i="37" s="1"/>
  <c r="AA800" i="37"/>
  <c r="AA802" i="37" s="1"/>
  <c r="Y800" i="37"/>
  <c r="Y802" i="37" s="1"/>
  <c r="W800" i="37"/>
  <c r="W802" i="37" s="1"/>
  <c r="U800" i="37"/>
  <c r="U802" i="37" s="1"/>
  <c r="S800" i="37"/>
  <c r="S802" i="37" s="1"/>
  <c r="Q800" i="37"/>
  <c r="Q802" i="37" s="1"/>
  <c r="O800" i="37"/>
  <c r="O802" i="37" s="1"/>
  <c r="M800" i="37"/>
  <c r="M802" i="37" s="1"/>
  <c r="K800" i="37"/>
  <c r="K802" i="37" s="1"/>
  <c r="I800" i="37"/>
  <c r="I802" i="37" s="1"/>
  <c r="G800" i="37"/>
  <c r="G802" i="37" s="1"/>
  <c r="E800" i="37"/>
  <c r="E802" i="37" s="1"/>
  <c r="AA805" i="37"/>
  <c r="AA807" i="37" s="1"/>
  <c r="Y805" i="37"/>
  <c r="Y807" i="37" s="1"/>
  <c r="W805" i="37"/>
  <c r="W807" i="37" s="1"/>
  <c r="U805" i="37"/>
  <c r="U807" i="37" s="1"/>
  <c r="S805" i="37"/>
  <c r="S807" i="37" s="1"/>
  <c r="Q805" i="37"/>
  <c r="Q807" i="37" s="1"/>
  <c r="O805" i="37"/>
  <c r="O807" i="37" s="1"/>
  <c r="M805" i="37"/>
  <c r="M807" i="37" s="1"/>
  <c r="K805" i="37"/>
  <c r="K807" i="37" s="1"/>
  <c r="I805" i="37"/>
  <c r="G805" i="37"/>
  <c r="G807" i="37" s="1"/>
  <c r="E805" i="37"/>
  <c r="E807" i="37" s="1"/>
  <c r="AA811" i="37"/>
  <c r="AA813" i="37" s="1"/>
  <c r="Y811" i="37"/>
  <c r="Y813" i="37" s="1"/>
  <c r="W811" i="37"/>
  <c r="W813" i="37" s="1"/>
  <c r="U811" i="37"/>
  <c r="U813" i="37" s="1"/>
  <c r="S811" i="37"/>
  <c r="S813" i="37" s="1"/>
  <c r="Q811" i="37"/>
  <c r="Q813" i="37" s="1"/>
  <c r="O811" i="37"/>
  <c r="O813" i="37" s="1"/>
  <c r="M811" i="37"/>
  <c r="M813" i="37" s="1"/>
  <c r="K811" i="37"/>
  <c r="K813" i="37" s="1"/>
  <c r="I811" i="37"/>
  <c r="G811" i="37"/>
  <c r="G813" i="37" s="1"/>
  <c r="E811" i="37"/>
  <c r="E813" i="37" s="1"/>
  <c r="E814" i="37" s="1"/>
  <c r="AA817" i="37"/>
  <c r="AA819" i="37" s="1"/>
  <c r="Y817" i="37"/>
  <c r="Y819" i="37" s="1"/>
  <c r="W817" i="37"/>
  <c r="W819" i="37" s="1"/>
  <c r="U817" i="37"/>
  <c r="U819" i="37" s="1"/>
  <c r="S817" i="37"/>
  <c r="S819" i="37" s="1"/>
  <c r="Q817" i="37"/>
  <c r="Q819" i="37" s="1"/>
  <c r="O817" i="37"/>
  <c r="O819" i="37" s="1"/>
  <c r="M817" i="37"/>
  <c r="M819" i="37" s="1"/>
  <c r="K817" i="37"/>
  <c r="K819" i="37" s="1"/>
  <c r="I817" i="37"/>
  <c r="G817" i="37"/>
  <c r="G819" i="37" s="1"/>
  <c r="E817" i="37"/>
  <c r="E819" i="37" s="1"/>
  <c r="AA823" i="37"/>
  <c r="Y823" i="37"/>
  <c r="W823" i="37"/>
  <c r="W825" i="37" s="1"/>
  <c r="U823" i="37"/>
  <c r="U825" i="37" s="1"/>
  <c r="S823" i="37"/>
  <c r="S825" i="37" s="1"/>
  <c r="Q823" i="37"/>
  <c r="Q825" i="37" s="1"/>
  <c r="O823" i="37"/>
  <c r="O825" i="37" s="1"/>
  <c r="M823" i="37"/>
  <c r="M825" i="37" s="1"/>
  <c r="K823" i="37"/>
  <c r="K825" i="37" s="1"/>
  <c r="I823" i="37"/>
  <c r="I825" i="37" s="1"/>
  <c r="G823" i="37"/>
  <c r="G825" i="37" s="1"/>
  <c r="E823" i="37"/>
  <c r="E825" i="37" s="1"/>
  <c r="AA777" i="37"/>
  <c r="Y777" i="37"/>
  <c r="Y779" i="37" s="1"/>
  <c r="W777" i="37"/>
  <c r="U777" i="37"/>
  <c r="U779" i="37" s="1"/>
  <c r="S777" i="37"/>
  <c r="S779" i="37" s="1"/>
  <c r="Q777" i="37"/>
  <c r="O777" i="37"/>
  <c r="O779" i="37" s="1"/>
  <c r="M777" i="37"/>
  <c r="M779" i="37" s="1"/>
  <c r="K777" i="37"/>
  <c r="K779" i="37" s="1"/>
  <c r="I777" i="37"/>
  <c r="I779" i="37" s="1"/>
  <c r="G777" i="37"/>
  <c r="G779" i="37" s="1"/>
  <c r="E777" i="37"/>
  <c r="AA771" i="37"/>
  <c r="Y771" i="37"/>
  <c r="W771" i="37"/>
  <c r="U771" i="37"/>
  <c r="S771" i="37"/>
  <c r="Q771" i="37"/>
  <c r="O771" i="37"/>
  <c r="K771" i="37"/>
  <c r="I771" i="37"/>
  <c r="G771" i="37"/>
  <c r="E771" i="37"/>
  <c r="AA770" i="37"/>
  <c r="Y770" i="37"/>
  <c r="W770" i="37"/>
  <c r="U770" i="37"/>
  <c r="S770" i="37"/>
  <c r="Q770" i="37"/>
  <c r="O770" i="37"/>
  <c r="M770" i="37"/>
  <c r="K770" i="37"/>
  <c r="I770" i="37"/>
  <c r="G770" i="37"/>
  <c r="E770" i="37"/>
  <c r="AA769" i="37"/>
  <c r="Y769" i="37"/>
  <c r="W769" i="37"/>
  <c r="U769" i="37"/>
  <c r="S769" i="37"/>
  <c r="Q769" i="37"/>
  <c r="O769" i="37"/>
  <c r="M769" i="37"/>
  <c r="K769" i="37"/>
  <c r="I769" i="37"/>
  <c r="G769" i="37"/>
  <c r="E769" i="37"/>
  <c r="AA768" i="37"/>
  <c r="Y768" i="37"/>
  <c r="W768" i="37"/>
  <c r="U768" i="37"/>
  <c r="S768" i="37"/>
  <c r="Q768" i="37"/>
  <c r="O768" i="37"/>
  <c r="M768" i="37"/>
  <c r="K768" i="37"/>
  <c r="I768" i="37"/>
  <c r="G768" i="37"/>
  <c r="E768" i="37"/>
  <c r="AA767" i="37"/>
  <c r="Y767" i="37"/>
  <c r="W767" i="37"/>
  <c r="U767" i="37"/>
  <c r="S767" i="37"/>
  <c r="Q767" i="37"/>
  <c r="O767" i="37"/>
  <c r="M767" i="37"/>
  <c r="K767" i="37"/>
  <c r="I767" i="37"/>
  <c r="G767" i="37"/>
  <c r="E767" i="37"/>
  <c r="AA765" i="37"/>
  <c r="Y765" i="37"/>
  <c r="W765" i="37"/>
  <c r="U765" i="37"/>
  <c r="S765" i="37"/>
  <c r="Q765" i="37"/>
  <c r="O765" i="37"/>
  <c r="M765" i="37"/>
  <c r="K765" i="37"/>
  <c r="I765" i="37"/>
  <c r="G765" i="37"/>
  <c r="E765" i="37"/>
  <c r="AA764" i="37"/>
  <c r="Y764" i="37"/>
  <c r="W764" i="37"/>
  <c r="U764" i="37"/>
  <c r="S764" i="37"/>
  <c r="Q764" i="37"/>
  <c r="O764" i="37"/>
  <c r="M764" i="37"/>
  <c r="K764" i="37"/>
  <c r="I764" i="37"/>
  <c r="G764" i="37"/>
  <c r="E764" i="37"/>
  <c r="AA763" i="37"/>
  <c r="Y763" i="37"/>
  <c r="W763" i="37"/>
  <c r="U763" i="37"/>
  <c r="S763" i="37"/>
  <c r="Q763" i="37"/>
  <c r="O763" i="37"/>
  <c r="M763" i="37"/>
  <c r="K763" i="37"/>
  <c r="I763" i="37"/>
  <c r="G763" i="37"/>
  <c r="E763" i="37"/>
  <c r="AA762" i="37"/>
  <c r="Y762" i="37"/>
  <c r="W762" i="37"/>
  <c r="U762" i="37"/>
  <c r="S762" i="37"/>
  <c r="Q762" i="37"/>
  <c r="O762" i="37"/>
  <c r="M762" i="37"/>
  <c r="K762" i="37"/>
  <c r="I762" i="37"/>
  <c r="G762" i="37"/>
  <c r="E762" i="37"/>
  <c r="AA760" i="37"/>
  <c r="Y760" i="37"/>
  <c r="W760" i="37"/>
  <c r="U760" i="37"/>
  <c r="S760" i="37"/>
  <c r="Q760" i="37"/>
  <c r="O760" i="37"/>
  <c r="M760" i="37"/>
  <c r="K760" i="37"/>
  <c r="I760" i="37"/>
  <c r="G760" i="37"/>
  <c r="E760" i="37"/>
  <c r="AA759" i="37"/>
  <c r="Y759" i="37"/>
  <c r="W759" i="37"/>
  <c r="U759" i="37"/>
  <c r="S759" i="37"/>
  <c r="Q759" i="37"/>
  <c r="O759" i="37"/>
  <c r="M759" i="37"/>
  <c r="K759" i="37"/>
  <c r="I759" i="37"/>
  <c r="G759" i="37"/>
  <c r="E759" i="37"/>
  <c r="AA758" i="37"/>
  <c r="Y758" i="37"/>
  <c r="W758" i="37"/>
  <c r="U758" i="37"/>
  <c r="S758" i="37"/>
  <c r="Q758" i="37"/>
  <c r="O758" i="37"/>
  <c r="M758" i="37"/>
  <c r="K758" i="37"/>
  <c r="I758" i="37"/>
  <c r="G758" i="37"/>
  <c r="E758" i="37"/>
  <c r="AA757" i="37"/>
  <c r="Y757" i="37"/>
  <c r="W757" i="37"/>
  <c r="W773" i="37" s="1"/>
  <c r="W774" i="37" s="1"/>
  <c r="U757" i="37"/>
  <c r="U773" i="37" s="1"/>
  <c r="U774" i="37" s="1"/>
  <c r="S757" i="37"/>
  <c r="Q757" i="37"/>
  <c r="O757" i="37"/>
  <c r="M757" i="37"/>
  <c r="K757" i="37"/>
  <c r="I757" i="37"/>
  <c r="G757" i="37"/>
  <c r="E757" i="37"/>
  <c r="AA751" i="37"/>
  <c r="Y751" i="37"/>
  <c r="W751" i="37"/>
  <c r="U751" i="37"/>
  <c r="S751" i="37"/>
  <c r="Q751" i="37"/>
  <c r="O751" i="37"/>
  <c r="M751" i="37"/>
  <c r="K751" i="37"/>
  <c r="I751" i="37"/>
  <c r="G751" i="37"/>
  <c r="E751" i="37"/>
  <c r="AA750" i="37"/>
  <c r="Y750" i="37"/>
  <c r="W750" i="37"/>
  <c r="U750" i="37"/>
  <c r="S750" i="37"/>
  <c r="Q750" i="37"/>
  <c r="O750" i="37"/>
  <c r="M750" i="37"/>
  <c r="K750" i="37"/>
  <c r="I750" i="37"/>
  <c r="G750" i="37"/>
  <c r="E750" i="37"/>
  <c r="AA749" i="37"/>
  <c r="Y749" i="37"/>
  <c r="W749" i="37"/>
  <c r="U749" i="37"/>
  <c r="S749" i="37"/>
  <c r="Q749" i="37"/>
  <c r="O749" i="37"/>
  <c r="M749" i="37"/>
  <c r="K749" i="37"/>
  <c r="I749" i="37"/>
  <c r="G749" i="37"/>
  <c r="E749" i="37"/>
  <c r="AA748" i="37"/>
  <c r="Y748" i="37"/>
  <c r="W748" i="37"/>
  <c r="U748" i="37"/>
  <c r="S748" i="37"/>
  <c r="Q748" i="37"/>
  <c r="O748" i="37"/>
  <c r="M748" i="37"/>
  <c r="K748" i="37"/>
  <c r="I748" i="37"/>
  <c r="G748" i="37"/>
  <c r="E748" i="37"/>
  <c r="AA746" i="37"/>
  <c r="Y746" i="37"/>
  <c r="W746" i="37"/>
  <c r="U746" i="37"/>
  <c r="S746" i="37"/>
  <c r="Q746" i="37"/>
  <c r="O746" i="37"/>
  <c r="M746" i="37"/>
  <c r="K746" i="37"/>
  <c r="I746" i="37"/>
  <c r="G746" i="37"/>
  <c r="E746" i="37"/>
  <c r="AA745" i="37"/>
  <c r="Y745" i="37"/>
  <c r="W745" i="37"/>
  <c r="U745" i="37"/>
  <c r="S745" i="37"/>
  <c r="Q745" i="37"/>
  <c r="O745" i="37"/>
  <c r="M745" i="37"/>
  <c r="K745" i="37"/>
  <c r="I745" i="37"/>
  <c r="G745" i="37"/>
  <c r="E745" i="37"/>
  <c r="AA744" i="37"/>
  <c r="Y744" i="37"/>
  <c r="W744" i="37"/>
  <c r="U744" i="37"/>
  <c r="S744" i="37"/>
  <c r="Q744" i="37"/>
  <c r="O744" i="37"/>
  <c r="M744" i="37"/>
  <c r="K744" i="37"/>
  <c r="I744" i="37"/>
  <c r="G744" i="37"/>
  <c r="E744" i="37"/>
  <c r="AA743" i="37"/>
  <c r="Y743" i="37"/>
  <c r="W743" i="37"/>
  <c r="W754" i="37" s="1"/>
  <c r="W755" i="37" s="1"/>
  <c r="U743" i="37"/>
  <c r="U754" i="37" s="1"/>
  <c r="U755" i="37" s="1"/>
  <c r="S743" i="37"/>
  <c r="Q743" i="37"/>
  <c r="O743" i="37"/>
  <c r="M743" i="37"/>
  <c r="K743" i="37"/>
  <c r="I743" i="37"/>
  <c r="G743" i="37"/>
  <c r="E743" i="37"/>
  <c r="AA738" i="37"/>
  <c r="Y738" i="37"/>
  <c r="W738" i="37"/>
  <c r="U738" i="37"/>
  <c r="S738" i="37"/>
  <c r="Q738" i="37"/>
  <c r="O738" i="37"/>
  <c r="M738" i="37"/>
  <c r="K738" i="37"/>
  <c r="I738" i="37"/>
  <c r="G738" i="37"/>
  <c r="E738" i="37"/>
  <c r="AA737" i="37"/>
  <c r="Y737" i="37"/>
  <c r="W737" i="37"/>
  <c r="U737" i="37"/>
  <c r="S737" i="37"/>
  <c r="Q737" i="37"/>
  <c r="O737" i="37"/>
  <c r="M737" i="37"/>
  <c r="K737" i="37"/>
  <c r="I737" i="37"/>
  <c r="G737" i="37"/>
  <c r="E737" i="37"/>
  <c r="AA736" i="37"/>
  <c r="Y736" i="37"/>
  <c r="W736" i="37"/>
  <c r="U736" i="37"/>
  <c r="S736" i="37"/>
  <c r="Q736" i="37"/>
  <c r="O736" i="37"/>
  <c r="M736" i="37"/>
  <c r="K736" i="37"/>
  <c r="I736" i="37"/>
  <c r="G736" i="37"/>
  <c r="E736" i="37"/>
  <c r="AA735" i="37"/>
  <c r="Y735" i="37"/>
  <c r="W735" i="37"/>
  <c r="U735" i="37"/>
  <c r="S735" i="37"/>
  <c r="Q735" i="37"/>
  <c r="O735" i="37"/>
  <c r="M735" i="37"/>
  <c r="K735" i="37"/>
  <c r="I735" i="37"/>
  <c r="G735" i="37"/>
  <c r="E735" i="37"/>
  <c r="AA734" i="37"/>
  <c r="Y734" i="37"/>
  <c r="W734" i="37"/>
  <c r="U734" i="37"/>
  <c r="S734" i="37"/>
  <c r="Q734" i="37"/>
  <c r="O734" i="37"/>
  <c r="M734" i="37"/>
  <c r="K734" i="37"/>
  <c r="I734" i="37"/>
  <c r="G734" i="37"/>
  <c r="E734" i="37"/>
  <c r="AA732" i="37"/>
  <c r="Y732" i="37"/>
  <c r="W732" i="37"/>
  <c r="U732" i="37"/>
  <c r="S732" i="37"/>
  <c r="Q732" i="37"/>
  <c r="O732" i="37"/>
  <c r="M732" i="37"/>
  <c r="K732" i="37"/>
  <c r="I732" i="37"/>
  <c r="G732" i="37"/>
  <c r="E732" i="37"/>
  <c r="AA731" i="37"/>
  <c r="Y731" i="37"/>
  <c r="W731" i="37"/>
  <c r="U731" i="37"/>
  <c r="S731" i="37"/>
  <c r="Q731" i="37"/>
  <c r="O731" i="37"/>
  <c r="M731" i="37"/>
  <c r="K731" i="37"/>
  <c r="I731" i="37"/>
  <c r="G731" i="37"/>
  <c r="E731" i="37"/>
  <c r="AA730" i="37"/>
  <c r="Y730" i="37"/>
  <c r="W730" i="37"/>
  <c r="U730" i="37"/>
  <c r="S730" i="37"/>
  <c r="Q730" i="37"/>
  <c r="O730" i="37"/>
  <c r="M730" i="37"/>
  <c r="K730" i="37"/>
  <c r="I730" i="37"/>
  <c r="G730" i="37"/>
  <c r="E730" i="37"/>
  <c r="AA729" i="37"/>
  <c r="Y729" i="37"/>
  <c r="W729" i="37"/>
  <c r="U729" i="37"/>
  <c r="S729" i="37"/>
  <c r="Q729" i="37"/>
  <c r="O729" i="37"/>
  <c r="M729" i="37"/>
  <c r="K729" i="37"/>
  <c r="I729" i="37"/>
  <c r="G729" i="37"/>
  <c r="E729" i="37"/>
  <c r="AA728" i="37"/>
  <c r="Y728" i="37"/>
  <c r="W728" i="37"/>
  <c r="U728" i="37"/>
  <c r="S728" i="37"/>
  <c r="Q728" i="37"/>
  <c r="O728" i="37"/>
  <c r="M728" i="37"/>
  <c r="K728" i="37"/>
  <c r="I728" i="37"/>
  <c r="G728" i="37"/>
  <c r="E728" i="37"/>
  <c r="AA726" i="37"/>
  <c r="Y726" i="37"/>
  <c r="W726" i="37"/>
  <c r="U726" i="37"/>
  <c r="S726" i="37"/>
  <c r="Q726" i="37"/>
  <c r="O726" i="37"/>
  <c r="M726" i="37"/>
  <c r="K726" i="37"/>
  <c r="I726" i="37"/>
  <c r="G726" i="37"/>
  <c r="E726" i="37"/>
  <c r="AA725" i="37"/>
  <c r="Y725" i="37"/>
  <c r="W725" i="37"/>
  <c r="U725" i="37"/>
  <c r="S725" i="37"/>
  <c r="Q725" i="37"/>
  <c r="O725" i="37"/>
  <c r="M725" i="37"/>
  <c r="K725" i="37"/>
  <c r="I725" i="37"/>
  <c r="G725" i="37"/>
  <c r="E725" i="37"/>
  <c r="AA724" i="37"/>
  <c r="Y724" i="37"/>
  <c r="W724" i="37"/>
  <c r="U724" i="37"/>
  <c r="S724" i="37"/>
  <c r="Q724" i="37"/>
  <c r="O724" i="37"/>
  <c r="M724" i="37"/>
  <c r="K724" i="37"/>
  <c r="I724" i="37"/>
  <c r="G724" i="37"/>
  <c r="E724" i="37"/>
  <c r="AA723" i="37"/>
  <c r="Y723" i="37"/>
  <c r="W723" i="37"/>
  <c r="U723" i="37"/>
  <c r="S723" i="37"/>
  <c r="Q723" i="37"/>
  <c r="O723" i="37"/>
  <c r="M723" i="37"/>
  <c r="K723" i="37"/>
  <c r="I723" i="37"/>
  <c r="G723" i="37"/>
  <c r="E723" i="37"/>
  <c r="AA721" i="37"/>
  <c r="Y721" i="37"/>
  <c r="W721" i="37"/>
  <c r="U721" i="37"/>
  <c r="S721" i="37"/>
  <c r="Q721" i="37"/>
  <c r="O721" i="37"/>
  <c r="M721" i="37"/>
  <c r="K721" i="37"/>
  <c r="I721" i="37"/>
  <c r="G721" i="37"/>
  <c r="E721" i="37"/>
  <c r="AA720" i="37"/>
  <c r="Y720" i="37"/>
  <c r="W720" i="37"/>
  <c r="U720" i="37"/>
  <c r="S720" i="37"/>
  <c r="Q720" i="37"/>
  <c r="O720" i="37"/>
  <c r="M720" i="37"/>
  <c r="K720" i="37"/>
  <c r="I720" i="37"/>
  <c r="G720" i="37"/>
  <c r="E720" i="37"/>
  <c r="AA719" i="37"/>
  <c r="Y719" i="37"/>
  <c r="W719" i="37"/>
  <c r="U719" i="37"/>
  <c r="S719" i="37"/>
  <c r="Q719" i="37"/>
  <c r="O719" i="37"/>
  <c r="M719" i="37"/>
  <c r="K719" i="37"/>
  <c r="I719" i="37"/>
  <c r="G719" i="37"/>
  <c r="E719" i="37"/>
  <c r="AA718" i="37"/>
  <c r="Y718" i="37"/>
  <c r="W718" i="37"/>
  <c r="U718" i="37"/>
  <c r="S718" i="37"/>
  <c r="Q718" i="37"/>
  <c r="O718" i="37"/>
  <c r="M718" i="37"/>
  <c r="K718" i="37"/>
  <c r="I718" i="37"/>
  <c r="G718" i="37"/>
  <c r="E718" i="37"/>
  <c r="AA713" i="37"/>
  <c r="Y713" i="37"/>
  <c r="W713" i="37"/>
  <c r="U713" i="37"/>
  <c r="S713" i="37"/>
  <c r="Q713" i="37"/>
  <c r="O713" i="37"/>
  <c r="M713" i="37"/>
  <c r="K713" i="37"/>
  <c r="I713" i="37"/>
  <c r="G713" i="37"/>
  <c r="E713" i="37"/>
  <c r="AA712" i="37"/>
  <c r="Y712" i="37"/>
  <c r="W712" i="37"/>
  <c r="U712" i="37"/>
  <c r="S712" i="37"/>
  <c r="Q712" i="37"/>
  <c r="O712" i="37"/>
  <c r="M712" i="37"/>
  <c r="K712" i="37"/>
  <c r="I712" i="37"/>
  <c r="G712" i="37"/>
  <c r="E712" i="37"/>
  <c r="AA711" i="37"/>
  <c r="Y711" i="37"/>
  <c r="W711" i="37"/>
  <c r="U711" i="37"/>
  <c r="S711" i="37"/>
  <c r="Q711" i="37"/>
  <c r="O711" i="37"/>
  <c r="M711" i="37"/>
  <c r="K711" i="37"/>
  <c r="I711" i="37"/>
  <c r="G711" i="37"/>
  <c r="E711" i="37"/>
  <c r="AA710" i="37"/>
  <c r="Y710" i="37"/>
  <c r="W710" i="37"/>
  <c r="U710" i="37"/>
  <c r="S710" i="37"/>
  <c r="Q710" i="37"/>
  <c r="O710" i="37"/>
  <c r="M710" i="37"/>
  <c r="K710" i="37"/>
  <c r="I710" i="37"/>
  <c r="G710" i="37"/>
  <c r="E710" i="37"/>
  <c r="AA709" i="37"/>
  <c r="Y709" i="37"/>
  <c r="W709" i="37"/>
  <c r="U709" i="37"/>
  <c r="S709" i="37"/>
  <c r="Q709" i="37"/>
  <c r="O709" i="37"/>
  <c r="M709" i="37"/>
  <c r="K709" i="37"/>
  <c r="I709" i="37"/>
  <c r="G709" i="37"/>
  <c r="E709" i="37"/>
  <c r="AA707" i="37"/>
  <c r="Y707" i="37"/>
  <c r="W707" i="37"/>
  <c r="U707" i="37"/>
  <c r="S707" i="37"/>
  <c r="Q707" i="37"/>
  <c r="O707" i="37"/>
  <c r="M707" i="37"/>
  <c r="K707" i="37"/>
  <c r="I707" i="37"/>
  <c r="G707" i="37"/>
  <c r="E707" i="37"/>
  <c r="AA706" i="37"/>
  <c r="Y706" i="37"/>
  <c r="W706" i="37"/>
  <c r="U706" i="37"/>
  <c r="S706" i="37"/>
  <c r="Q706" i="37"/>
  <c r="O706" i="37"/>
  <c r="M706" i="37"/>
  <c r="K706" i="37"/>
  <c r="I706" i="37"/>
  <c r="G706" i="37"/>
  <c r="E706" i="37"/>
  <c r="AA705" i="37"/>
  <c r="Y705" i="37"/>
  <c r="W705" i="37"/>
  <c r="U705" i="37"/>
  <c r="S705" i="37"/>
  <c r="Q705" i="37"/>
  <c r="O705" i="37"/>
  <c r="M705" i="37"/>
  <c r="K705" i="37"/>
  <c r="I705" i="37"/>
  <c r="G705" i="37"/>
  <c r="E705" i="37"/>
  <c r="AA704" i="37"/>
  <c r="Y704" i="37"/>
  <c r="W704" i="37"/>
  <c r="U704" i="37"/>
  <c r="S704" i="37"/>
  <c r="Q704" i="37"/>
  <c r="O704" i="37"/>
  <c r="M704" i="37"/>
  <c r="K704" i="37"/>
  <c r="I704" i="37"/>
  <c r="G704" i="37"/>
  <c r="E704" i="37"/>
  <c r="AA703" i="37"/>
  <c r="Y703" i="37"/>
  <c r="W703" i="37"/>
  <c r="U703" i="37"/>
  <c r="S703" i="37"/>
  <c r="Q703" i="37"/>
  <c r="O703" i="37"/>
  <c r="M703" i="37"/>
  <c r="K703" i="37"/>
  <c r="I703" i="37"/>
  <c r="G703" i="37"/>
  <c r="E703" i="37"/>
  <c r="AA701" i="37"/>
  <c r="Y701" i="37"/>
  <c r="W701" i="37"/>
  <c r="U701" i="37"/>
  <c r="S701" i="37"/>
  <c r="Q701" i="37"/>
  <c r="O701" i="37"/>
  <c r="M701" i="37"/>
  <c r="K701" i="37"/>
  <c r="I701" i="37"/>
  <c r="G701" i="37"/>
  <c r="E701" i="37"/>
  <c r="AA700" i="37"/>
  <c r="Y700" i="37"/>
  <c r="W700" i="37"/>
  <c r="U700" i="37"/>
  <c r="S700" i="37"/>
  <c r="Q700" i="37"/>
  <c r="O700" i="37"/>
  <c r="M700" i="37"/>
  <c r="K700" i="37"/>
  <c r="I700" i="37"/>
  <c r="G700" i="37"/>
  <c r="E700" i="37"/>
  <c r="AA699" i="37"/>
  <c r="Y699" i="37"/>
  <c r="W699" i="37"/>
  <c r="U699" i="37"/>
  <c r="S699" i="37"/>
  <c r="Q699" i="37"/>
  <c r="O699" i="37"/>
  <c r="M699" i="37"/>
  <c r="K699" i="37"/>
  <c r="I699" i="37"/>
  <c r="G699" i="37"/>
  <c r="E699" i="37"/>
  <c r="AA698" i="37"/>
  <c r="Y698" i="37"/>
  <c r="W698" i="37"/>
  <c r="U698" i="37"/>
  <c r="S698" i="37"/>
  <c r="Q698" i="37"/>
  <c r="O698" i="37"/>
  <c r="M698" i="37"/>
  <c r="K698" i="37"/>
  <c r="I698" i="37"/>
  <c r="G698" i="37"/>
  <c r="E698" i="37"/>
  <c r="AA696" i="37"/>
  <c r="Y696" i="37"/>
  <c r="W696" i="37"/>
  <c r="U696" i="37"/>
  <c r="S696" i="37"/>
  <c r="Q696" i="37"/>
  <c r="O696" i="37"/>
  <c r="M696" i="37"/>
  <c r="K696" i="37"/>
  <c r="I696" i="37"/>
  <c r="G696" i="37"/>
  <c r="E696" i="37"/>
  <c r="AA695" i="37"/>
  <c r="Y695" i="37"/>
  <c r="W695" i="37"/>
  <c r="U695" i="37"/>
  <c r="S695" i="37"/>
  <c r="Q695" i="37"/>
  <c r="O695" i="37"/>
  <c r="M695" i="37"/>
  <c r="K695" i="37"/>
  <c r="I695" i="37"/>
  <c r="G695" i="37"/>
  <c r="E695" i="37"/>
  <c r="AA694" i="37"/>
  <c r="Y694" i="37"/>
  <c r="W694" i="37"/>
  <c r="U694" i="37"/>
  <c r="S694" i="37"/>
  <c r="Q694" i="37"/>
  <c r="O694" i="37"/>
  <c r="M694" i="37"/>
  <c r="K694" i="37"/>
  <c r="I694" i="37"/>
  <c r="G694" i="37"/>
  <c r="E694" i="37"/>
  <c r="AA693" i="37"/>
  <c r="Y693" i="37"/>
  <c r="W693" i="37"/>
  <c r="U693" i="37"/>
  <c r="S693" i="37"/>
  <c r="Q693" i="37"/>
  <c r="O693" i="37"/>
  <c r="M693" i="37"/>
  <c r="K693" i="37"/>
  <c r="I693" i="37"/>
  <c r="G693" i="37"/>
  <c r="E693" i="37"/>
  <c r="AA688" i="37"/>
  <c r="Y688" i="37"/>
  <c r="W688" i="37"/>
  <c r="U688" i="37"/>
  <c r="S688" i="37"/>
  <c r="Q688" i="37"/>
  <c r="O688" i="37"/>
  <c r="M688" i="37"/>
  <c r="K688" i="37"/>
  <c r="I688" i="37"/>
  <c r="G688" i="37"/>
  <c r="E688" i="37"/>
  <c r="AA687" i="37"/>
  <c r="Y687" i="37"/>
  <c r="W687" i="37"/>
  <c r="U687" i="37"/>
  <c r="S687" i="37"/>
  <c r="Q687" i="37"/>
  <c r="O687" i="37"/>
  <c r="M687" i="37"/>
  <c r="K687" i="37"/>
  <c r="I687" i="37"/>
  <c r="G687" i="37"/>
  <c r="E687" i="37"/>
  <c r="AA686" i="37"/>
  <c r="Y686" i="37"/>
  <c r="W686" i="37"/>
  <c r="U686" i="37"/>
  <c r="S686" i="37"/>
  <c r="Q686" i="37"/>
  <c r="O686" i="37"/>
  <c r="M686" i="37"/>
  <c r="K686" i="37"/>
  <c r="I686" i="37"/>
  <c r="G686" i="37"/>
  <c r="E686" i="37"/>
  <c r="AA685" i="37"/>
  <c r="Y685" i="37"/>
  <c r="W685" i="37"/>
  <c r="U685" i="37"/>
  <c r="S685" i="37"/>
  <c r="Q685" i="37"/>
  <c r="O685" i="37"/>
  <c r="M685" i="37"/>
  <c r="K685" i="37"/>
  <c r="I685" i="37"/>
  <c r="G685" i="37"/>
  <c r="E685" i="37"/>
  <c r="AA684" i="37"/>
  <c r="Y684" i="37"/>
  <c r="W684" i="37"/>
  <c r="U684" i="37"/>
  <c r="S684" i="37"/>
  <c r="Q684" i="37"/>
  <c r="O684" i="37"/>
  <c r="M684" i="37"/>
  <c r="K684" i="37"/>
  <c r="I684" i="37"/>
  <c r="G684" i="37"/>
  <c r="E684" i="37"/>
  <c r="AA682" i="37"/>
  <c r="Y682" i="37"/>
  <c r="W682" i="37"/>
  <c r="U682" i="37"/>
  <c r="S682" i="37"/>
  <c r="Q682" i="37"/>
  <c r="O682" i="37"/>
  <c r="M682" i="37"/>
  <c r="K682" i="37"/>
  <c r="I682" i="37"/>
  <c r="G682" i="37"/>
  <c r="E682" i="37"/>
  <c r="AA681" i="37"/>
  <c r="Y681" i="37"/>
  <c r="W681" i="37"/>
  <c r="U681" i="37"/>
  <c r="S681" i="37"/>
  <c r="Q681" i="37"/>
  <c r="O681" i="37"/>
  <c r="M681" i="37"/>
  <c r="K681" i="37"/>
  <c r="I681" i="37"/>
  <c r="G681" i="37"/>
  <c r="E681" i="37"/>
  <c r="AA680" i="37"/>
  <c r="Y680" i="37"/>
  <c r="W680" i="37"/>
  <c r="U680" i="37"/>
  <c r="S680" i="37"/>
  <c r="Q680" i="37"/>
  <c r="O680" i="37"/>
  <c r="M680" i="37"/>
  <c r="K680" i="37"/>
  <c r="I680" i="37"/>
  <c r="G680" i="37"/>
  <c r="E680" i="37"/>
  <c r="AA679" i="37"/>
  <c r="Y679" i="37"/>
  <c r="W679" i="37"/>
  <c r="U679" i="37"/>
  <c r="S679" i="37"/>
  <c r="Q679" i="37"/>
  <c r="O679" i="37"/>
  <c r="M679" i="37"/>
  <c r="K679" i="37"/>
  <c r="I679" i="37"/>
  <c r="G679" i="37"/>
  <c r="E679" i="37"/>
  <c r="AA678" i="37"/>
  <c r="Y678" i="37"/>
  <c r="W678" i="37"/>
  <c r="U678" i="37"/>
  <c r="S678" i="37"/>
  <c r="Q678" i="37"/>
  <c r="O678" i="37"/>
  <c r="M678" i="37"/>
  <c r="K678" i="37"/>
  <c r="I678" i="37"/>
  <c r="G678" i="37"/>
  <c r="E678" i="37"/>
  <c r="AA676" i="37"/>
  <c r="Y676" i="37"/>
  <c r="W676" i="37"/>
  <c r="U676" i="37"/>
  <c r="S676" i="37"/>
  <c r="Q676" i="37"/>
  <c r="O676" i="37"/>
  <c r="M676" i="37"/>
  <c r="K676" i="37"/>
  <c r="I676" i="37"/>
  <c r="G676" i="37"/>
  <c r="E676" i="37"/>
  <c r="AA675" i="37"/>
  <c r="Y675" i="37"/>
  <c r="W675" i="37"/>
  <c r="U675" i="37"/>
  <c r="S675" i="37"/>
  <c r="Q675" i="37"/>
  <c r="O675" i="37"/>
  <c r="M675" i="37"/>
  <c r="K675" i="37"/>
  <c r="I675" i="37"/>
  <c r="G675" i="37"/>
  <c r="E675" i="37"/>
  <c r="AA674" i="37"/>
  <c r="Y674" i="37"/>
  <c r="W674" i="37"/>
  <c r="U674" i="37"/>
  <c r="S674" i="37"/>
  <c r="Q674" i="37"/>
  <c r="O674" i="37"/>
  <c r="M674" i="37"/>
  <c r="K674" i="37"/>
  <c r="I674" i="37"/>
  <c r="G674" i="37"/>
  <c r="E674" i="37"/>
  <c r="AA673" i="37"/>
  <c r="Y673" i="37"/>
  <c r="W673" i="37"/>
  <c r="U673" i="37"/>
  <c r="S673" i="37"/>
  <c r="Q673" i="37"/>
  <c r="O673" i="37"/>
  <c r="M673" i="37"/>
  <c r="K673" i="37"/>
  <c r="I673" i="37"/>
  <c r="G673" i="37"/>
  <c r="E673" i="37"/>
  <c r="AA671" i="37"/>
  <c r="Y671" i="37"/>
  <c r="W671" i="37"/>
  <c r="U671" i="37"/>
  <c r="S671" i="37"/>
  <c r="Q671" i="37"/>
  <c r="O671" i="37"/>
  <c r="M671" i="37"/>
  <c r="K671" i="37"/>
  <c r="I671" i="37"/>
  <c r="G671" i="37"/>
  <c r="E671" i="37"/>
  <c r="AA670" i="37"/>
  <c r="Y670" i="37"/>
  <c r="W670" i="37"/>
  <c r="U670" i="37"/>
  <c r="S670" i="37"/>
  <c r="Q670" i="37"/>
  <c r="O670" i="37"/>
  <c r="M670" i="37"/>
  <c r="K670" i="37"/>
  <c r="I670" i="37"/>
  <c r="G670" i="37"/>
  <c r="E670" i="37"/>
  <c r="AA669" i="37"/>
  <c r="Y669" i="37"/>
  <c r="W669" i="37"/>
  <c r="U669" i="37"/>
  <c r="S669" i="37"/>
  <c r="Q669" i="37"/>
  <c r="O669" i="37"/>
  <c r="M669" i="37"/>
  <c r="K669" i="37"/>
  <c r="I669" i="37"/>
  <c r="G669" i="37"/>
  <c r="E669" i="37"/>
  <c r="AA668" i="37"/>
  <c r="Y668" i="37"/>
  <c r="W668" i="37"/>
  <c r="U668" i="37"/>
  <c r="S668" i="37"/>
  <c r="Q668" i="37"/>
  <c r="O668" i="37"/>
  <c r="M668" i="37"/>
  <c r="K668" i="37"/>
  <c r="I668" i="37"/>
  <c r="G668" i="37"/>
  <c r="E668" i="37"/>
  <c r="AA663" i="37"/>
  <c r="Y663" i="37"/>
  <c r="W663" i="37"/>
  <c r="U663" i="37"/>
  <c r="S663" i="37"/>
  <c r="Q663" i="37"/>
  <c r="O663" i="37"/>
  <c r="M663" i="37"/>
  <c r="K663" i="37"/>
  <c r="I663" i="37"/>
  <c r="G663" i="37"/>
  <c r="E663" i="37"/>
  <c r="AA662" i="37"/>
  <c r="Y662" i="37"/>
  <c r="W662" i="37"/>
  <c r="U662" i="37"/>
  <c r="S662" i="37"/>
  <c r="Q662" i="37"/>
  <c r="O662" i="37"/>
  <c r="M662" i="37"/>
  <c r="K662" i="37"/>
  <c r="I662" i="37"/>
  <c r="G662" i="37"/>
  <c r="E662" i="37"/>
  <c r="AA661" i="37"/>
  <c r="Y661" i="37"/>
  <c r="W661" i="37"/>
  <c r="U661" i="37"/>
  <c r="S661" i="37"/>
  <c r="Q661" i="37"/>
  <c r="O661" i="37"/>
  <c r="M661" i="37"/>
  <c r="K661" i="37"/>
  <c r="I661" i="37"/>
  <c r="G661" i="37"/>
  <c r="E661" i="37"/>
  <c r="AA660" i="37"/>
  <c r="Y660" i="37"/>
  <c r="W660" i="37"/>
  <c r="U660" i="37"/>
  <c r="S660" i="37"/>
  <c r="Q660" i="37"/>
  <c r="O660" i="37"/>
  <c r="M660" i="37"/>
  <c r="K660" i="37"/>
  <c r="I660" i="37"/>
  <c r="G660" i="37"/>
  <c r="E660" i="37"/>
  <c r="AA659" i="37"/>
  <c r="Y659" i="37"/>
  <c r="W659" i="37"/>
  <c r="U659" i="37"/>
  <c r="S659" i="37"/>
  <c r="Q659" i="37"/>
  <c r="O659" i="37"/>
  <c r="M659" i="37"/>
  <c r="K659" i="37"/>
  <c r="I659" i="37"/>
  <c r="G659" i="37"/>
  <c r="E659" i="37"/>
  <c r="AA657" i="37"/>
  <c r="Y657" i="37"/>
  <c r="W657" i="37"/>
  <c r="U657" i="37"/>
  <c r="S657" i="37"/>
  <c r="Q657" i="37"/>
  <c r="O657" i="37"/>
  <c r="M657" i="37"/>
  <c r="K657" i="37"/>
  <c r="I657" i="37"/>
  <c r="G657" i="37"/>
  <c r="E657" i="37"/>
  <c r="AA656" i="37"/>
  <c r="Y656" i="37"/>
  <c r="W656" i="37"/>
  <c r="U656" i="37"/>
  <c r="S656" i="37"/>
  <c r="Q656" i="37"/>
  <c r="O656" i="37"/>
  <c r="M656" i="37"/>
  <c r="K656" i="37"/>
  <c r="I656" i="37"/>
  <c r="G656" i="37"/>
  <c r="E656" i="37"/>
  <c r="AA655" i="37"/>
  <c r="Y655" i="37"/>
  <c r="W655" i="37"/>
  <c r="U655" i="37"/>
  <c r="S655" i="37"/>
  <c r="Q655" i="37"/>
  <c r="O655" i="37"/>
  <c r="M655" i="37"/>
  <c r="K655" i="37"/>
  <c r="I655" i="37"/>
  <c r="G655" i="37"/>
  <c r="E655" i="37"/>
  <c r="AA654" i="37"/>
  <c r="Y654" i="37"/>
  <c r="W654" i="37"/>
  <c r="U654" i="37"/>
  <c r="S654" i="37"/>
  <c r="Q654" i="37"/>
  <c r="O654" i="37"/>
  <c r="M654" i="37"/>
  <c r="K654" i="37"/>
  <c r="I654" i="37"/>
  <c r="G654" i="37"/>
  <c r="E654" i="37"/>
  <c r="AA653" i="37"/>
  <c r="Y653" i="37"/>
  <c r="W653" i="37"/>
  <c r="U653" i="37"/>
  <c r="S653" i="37"/>
  <c r="Q653" i="37"/>
  <c r="O653" i="37"/>
  <c r="M653" i="37"/>
  <c r="K653" i="37"/>
  <c r="I653" i="37"/>
  <c r="G653" i="37"/>
  <c r="E653" i="37"/>
  <c r="AA651" i="37"/>
  <c r="Y651" i="37"/>
  <c r="W651" i="37"/>
  <c r="U651" i="37"/>
  <c r="S651" i="37"/>
  <c r="Q651" i="37"/>
  <c r="O651" i="37"/>
  <c r="M651" i="37"/>
  <c r="K651" i="37"/>
  <c r="I651" i="37"/>
  <c r="G651" i="37"/>
  <c r="E651" i="37"/>
  <c r="AA650" i="37"/>
  <c r="Y650" i="37"/>
  <c r="W650" i="37"/>
  <c r="U650" i="37"/>
  <c r="S650" i="37"/>
  <c r="Q650" i="37"/>
  <c r="O650" i="37"/>
  <c r="M650" i="37"/>
  <c r="K650" i="37"/>
  <c r="I650" i="37"/>
  <c r="G650" i="37"/>
  <c r="E650" i="37"/>
  <c r="AA649" i="37"/>
  <c r="Y649" i="37"/>
  <c r="W649" i="37"/>
  <c r="U649" i="37"/>
  <c r="S649" i="37"/>
  <c r="Q649" i="37"/>
  <c r="O649" i="37"/>
  <c r="M649" i="37"/>
  <c r="K649" i="37"/>
  <c r="I649" i="37"/>
  <c r="G649" i="37"/>
  <c r="E649" i="37"/>
  <c r="AA648" i="37"/>
  <c r="Y648" i="37"/>
  <c r="W648" i="37"/>
  <c r="U648" i="37"/>
  <c r="S648" i="37"/>
  <c r="Q648" i="37"/>
  <c r="O648" i="37"/>
  <c r="M648" i="37"/>
  <c r="K648" i="37"/>
  <c r="I648" i="37"/>
  <c r="G648" i="37"/>
  <c r="E648" i="37"/>
  <c r="AA646" i="37"/>
  <c r="Y646" i="37"/>
  <c r="W646" i="37"/>
  <c r="U646" i="37"/>
  <c r="S646" i="37"/>
  <c r="Q646" i="37"/>
  <c r="O646" i="37"/>
  <c r="M646" i="37"/>
  <c r="K646" i="37"/>
  <c r="I646" i="37"/>
  <c r="G646" i="37"/>
  <c r="E646" i="37"/>
  <c r="AA645" i="37"/>
  <c r="Y645" i="37"/>
  <c r="W645" i="37"/>
  <c r="U645" i="37"/>
  <c r="S645" i="37"/>
  <c r="Q645" i="37"/>
  <c r="O645" i="37"/>
  <c r="M645" i="37"/>
  <c r="K645" i="37"/>
  <c r="I645" i="37"/>
  <c r="G645" i="37"/>
  <c r="E645" i="37"/>
  <c r="AA644" i="37"/>
  <c r="Y644" i="37"/>
  <c r="W644" i="37"/>
  <c r="U644" i="37"/>
  <c r="S644" i="37"/>
  <c r="Q644" i="37"/>
  <c r="O644" i="37"/>
  <c r="M644" i="37"/>
  <c r="K644" i="37"/>
  <c r="I644" i="37"/>
  <c r="G644" i="37"/>
  <c r="E644" i="37"/>
  <c r="AA643" i="37"/>
  <c r="Y643" i="37"/>
  <c r="W643" i="37"/>
  <c r="U643" i="37"/>
  <c r="U665" i="37" s="1"/>
  <c r="U666" i="37" s="1"/>
  <c r="S643" i="37"/>
  <c r="Q643" i="37"/>
  <c r="O643" i="37"/>
  <c r="M643" i="37"/>
  <c r="K643" i="37"/>
  <c r="I643" i="37"/>
  <c r="G643" i="37"/>
  <c r="E643" i="37"/>
  <c r="AA638" i="37"/>
  <c r="AA637" i="37"/>
  <c r="AA636" i="37"/>
  <c r="AA635" i="37"/>
  <c r="AA634" i="37"/>
  <c r="AA632" i="37"/>
  <c r="AA631" i="37"/>
  <c r="AA630" i="37"/>
  <c r="AA629" i="37"/>
  <c r="AA628" i="37"/>
  <c r="AA626" i="37"/>
  <c r="AA625" i="37"/>
  <c r="AA624" i="37"/>
  <c r="AA623" i="37"/>
  <c r="AA621" i="37"/>
  <c r="AA620" i="37"/>
  <c r="AA619" i="37"/>
  <c r="AA618" i="37"/>
  <c r="Y638" i="37"/>
  <c r="Y637" i="37"/>
  <c r="Y636" i="37"/>
  <c r="Y635" i="37"/>
  <c r="Y634" i="37"/>
  <c r="Y632" i="37"/>
  <c r="Y631" i="37"/>
  <c r="Y630" i="37"/>
  <c r="Y629" i="37"/>
  <c r="Y628" i="37"/>
  <c r="Y626" i="37"/>
  <c r="Y625" i="37"/>
  <c r="Y624" i="37"/>
  <c r="Y623" i="37"/>
  <c r="Y621" i="37"/>
  <c r="Y620" i="37"/>
  <c r="Y619" i="37"/>
  <c r="Y618" i="37"/>
  <c r="W638" i="37"/>
  <c r="W637" i="37"/>
  <c r="W636" i="37"/>
  <c r="W635" i="37"/>
  <c r="W634" i="37"/>
  <c r="W632" i="37"/>
  <c r="W631" i="37"/>
  <c r="W630" i="37"/>
  <c r="W629" i="37"/>
  <c r="W628" i="37"/>
  <c r="W626" i="37"/>
  <c r="W625" i="37"/>
  <c r="W624" i="37"/>
  <c r="W623" i="37"/>
  <c r="W621" i="37"/>
  <c r="W620" i="37"/>
  <c r="W619" i="37"/>
  <c r="W618" i="37"/>
  <c r="U638" i="37"/>
  <c r="U637" i="37"/>
  <c r="U636" i="37"/>
  <c r="U635" i="37"/>
  <c r="U634" i="37"/>
  <c r="U632" i="37"/>
  <c r="U631" i="37"/>
  <c r="U630" i="37"/>
  <c r="U629" i="37"/>
  <c r="U628" i="37"/>
  <c r="U626" i="37"/>
  <c r="U625" i="37"/>
  <c r="U624" i="37"/>
  <c r="U623" i="37"/>
  <c r="U621" i="37"/>
  <c r="U620" i="37"/>
  <c r="U619" i="37"/>
  <c r="U618" i="37"/>
  <c r="S638" i="37"/>
  <c r="S637" i="37"/>
  <c r="S636" i="37"/>
  <c r="S635" i="37"/>
  <c r="S634" i="37"/>
  <c r="S632" i="37"/>
  <c r="S631" i="37"/>
  <c r="S630" i="37"/>
  <c r="S629" i="37"/>
  <c r="S628" i="37"/>
  <c r="S626" i="37"/>
  <c r="S625" i="37"/>
  <c r="S624" i="37"/>
  <c r="S623" i="37"/>
  <c r="S621" i="37"/>
  <c r="S620" i="37"/>
  <c r="S618" i="37"/>
  <c r="S619" i="37"/>
  <c r="Q638" i="37"/>
  <c r="Q637" i="37"/>
  <c r="Q636" i="37"/>
  <c r="Q635" i="37"/>
  <c r="Q634" i="37"/>
  <c r="Q632" i="37"/>
  <c r="Q631" i="37"/>
  <c r="Q630" i="37"/>
  <c r="Q629" i="37"/>
  <c r="Q628" i="37"/>
  <c r="Q626" i="37"/>
  <c r="Q625" i="37"/>
  <c r="Q624" i="37"/>
  <c r="Q623" i="37"/>
  <c r="Q621" i="37"/>
  <c r="Q620" i="37"/>
  <c r="Q619" i="37"/>
  <c r="Q618" i="37"/>
  <c r="O638" i="37"/>
  <c r="O637" i="37"/>
  <c r="O636" i="37"/>
  <c r="O635" i="37"/>
  <c r="O634" i="37"/>
  <c r="O632" i="37"/>
  <c r="O631" i="37"/>
  <c r="O630" i="37"/>
  <c r="O629" i="37"/>
  <c r="O628" i="37"/>
  <c r="O626" i="37"/>
  <c r="O625" i="37"/>
  <c r="O624" i="37"/>
  <c r="O623" i="37"/>
  <c r="O621" i="37"/>
  <c r="O620" i="37"/>
  <c r="O619" i="37"/>
  <c r="O618" i="37"/>
  <c r="M638" i="37"/>
  <c r="M637" i="37"/>
  <c r="M636" i="37"/>
  <c r="M635" i="37"/>
  <c r="M634" i="37"/>
  <c r="M632" i="37"/>
  <c r="M631" i="37"/>
  <c r="M630" i="37"/>
  <c r="M629" i="37"/>
  <c r="M628" i="37"/>
  <c r="M626" i="37"/>
  <c r="M625" i="37"/>
  <c r="M624" i="37"/>
  <c r="M623" i="37"/>
  <c r="M621" i="37"/>
  <c r="M620" i="37"/>
  <c r="M619" i="37"/>
  <c r="M618" i="37"/>
  <c r="K638" i="37"/>
  <c r="K637" i="37"/>
  <c r="K636" i="37"/>
  <c r="K635" i="37"/>
  <c r="K634" i="37"/>
  <c r="K632" i="37"/>
  <c r="K631" i="37"/>
  <c r="K630" i="37"/>
  <c r="K629" i="37"/>
  <c r="K628" i="37"/>
  <c r="K626" i="37"/>
  <c r="K625" i="37"/>
  <c r="K624" i="37"/>
  <c r="K623" i="37"/>
  <c r="K621" i="37"/>
  <c r="K620" i="37"/>
  <c r="K619" i="37"/>
  <c r="K618" i="37"/>
  <c r="I638" i="37"/>
  <c r="I637" i="37"/>
  <c r="I636" i="37"/>
  <c r="I635" i="37"/>
  <c r="I634" i="37"/>
  <c r="I632" i="37"/>
  <c r="I631" i="37"/>
  <c r="I630" i="37"/>
  <c r="I629" i="37"/>
  <c r="I628" i="37"/>
  <c r="I626" i="37"/>
  <c r="I625" i="37"/>
  <c r="I624" i="37"/>
  <c r="I623" i="37"/>
  <c r="I621" i="37"/>
  <c r="I620" i="37"/>
  <c r="I619" i="37"/>
  <c r="I618" i="37"/>
  <c r="G620" i="37"/>
  <c r="G619" i="37"/>
  <c r="G618" i="37"/>
  <c r="G638" i="37"/>
  <c r="G637" i="37"/>
  <c r="G636" i="37"/>
  <c r="G635" i="37"/>
  <c r="G634" i="37"/>
  <c r="G632" i="37"/>
  <c r="G631" i="37"/>
  <c r="G630" i="37"/>
  <c r="G629" i="37"/>
  <c r="G628" i="37"/>
  <c r="G626" i="37"/>
  <c r="G625" i="37"/>
  <c r="G624" i="37"/>
  <c r="G623" i="37"/>
  <c r="G621" i="37"/>
  <c r="E638" i="37"/>
  <c r="E637" i="37"/>
  <c r="E636" i="37"/>
  <c r="E635" i="37"/>
  <c r="E634" i="37"/>
  <c r="E632" i="37"/>
  <c r="E631" i="37"/>
  <c r="E630" i="37"/>
  <c r="E629" i="37"/>
  <c r="E628" i="37"/>
  <c r="E626" i="37"/>
  <c r="E625" i="37"/>
  <c r="E624" i="37"/>
  <c r="E623" i="37"/>
  <c r="E620" i="37"/>
  <c r="E621" i="37"/>
  <c r="E619" i="37"/>
  <c r="E61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S569" i="37"/>
  <c r="S570" i="37"/>
  <c r="S571" i="37"/>
  <c r="S572" i="37"/>
  <c r="S573" i="37"/>
  <c r="S574" i="37"/>
  <c r="S575" i="37"/>
  <c r="S576" i="37"/>
  <c r="S577" i="37"/>
  <c r="S578" i="37"/>
  <c r="S579" i="37"/>
  <c r="S580" i="37"/>
  <c r="S581" i="37"/>
  <c r="S582" i="37"/>
  <c r="S583" i="37"/>
  <c r="S584" i="37"/>
  <c r="S585" i="37"/>
  <c r="S586" i="37"/>
  <c r="S587" i="37"/>
  <c r="S588" i="37"/>
  <c r="S592" i="37"/>
  <c r="S593" i="37"/>
  <c r="S594" i="37"/>
  <c r="S595" i="37"/>
  <c r="S596" i="37"/>
  <c r="S597" i="37"/>
  <c r="S598" i="37"/>
  <c r="S599" i="37"/>
  <c r="S600" i="37"/>
  <c r="S601" i="37"/>
  <c r="S602" i="37"/>
  <c r="S603" i="37"/>
  <c r="S604" i="37"/>
  <c r="S605" i="37"/>
  <c r="S606" i="37"/>
  <c r="S607" i="37"/>
  <c r="S608" i="37"/>
  <c r="S609" i="37"/>
  <c r="S610" i="37"/>
  <c r="S611" i="37"/>
  <c r="S612" i="37"/>
  <c r="S613" i="37"/>
  <c r="U569" i="37"/>
  <c r="U570" i="37"/>
  <c r="U571" i="37"/>
  <c r="U572" i="37"/>
  <c r="U573" i="37"/>
  <c r="U574" i="37"/>
  <c r="U575" i="37"/>
  <c r="U576" i="37"/>
  <c r="U577" i="37"/>
  <c r="U578" i="37"/>
  <c r="U579" i="37"/>
  <c r="U580" i="37"/>
  <c r="U581" i="37"/>
  <c r="U582" i="37"/>
  <c r="U583" i="37"/>
  <c r="U584" i="37"/>
  <c r="U585" i="37"/>
  <c r="U586" i="37"/>
  <c r="U587" i="37"/>
  <c r="U588" i="37"/>
  <c r="U592" i="37"/>
  <c r="U593" i="37"/>
  <c r="U594" i="37"/>
  <c r="U595" i="37"/>
  <c r="U596" i="37"/>
  <c r="U597" i="37"/>
  <c r="U598" i="37"/>
  <c r="U599" i="37"/>
  <c r="U600" i="37"/>
  <c r="U601" i="37"/>
  <c r="U602" i="37"/>
  <c r="U603" i="37"/>
  <c r="U604" i="37"/>
  <c r="U605" i="37"/>
  <c r="U606" i="37"/>
  <c r="U607" i="37"/>
  <c r="U608" i="37"/>
  <c r="U609" i="37"/>
  <c r="U610" i="37"/>
  <c r="U611" i="37"/>
  <c r="U612" i="37"/>
  <c r="U613" i="37"/>
  <c r="W569" i="37"/>
  <c r="W570" i="37"/>
  <c r="W571" i="37"/>
  <c r="W572" i="37"/>
  <c r="W573" i="37"/>
  <c r="W574" i="37"/>
  <c r="W575" i="37"/>
  <c r="W576" i="37"/>
  <c r="W577" i="37"/>
  <c r="W578" i="37"/>
  <c r="W579" i="37"/>
  <c r="W580" i="37"/>
  <c r="W581" i="37"/>
  <c r="W582" i="37"/>
  <c r="W583" i="37"/>
  <c r="W584" i="37"/>
  <c r="W585" i="37"/>
  <c r="W586" i="37"/>
  <c r="W587" i="37"/>
  <c r="W588" i="37"/>
  <c r="W592" i="37"/>
  <c r="W593" i="37"/>
  <c r="W594" i="37"/>
  <c r="W595" i="37"/>
  <c r="W596" i="37"/>
  <c r="W597" i="37"/>
  <c r="W598" i="37"/>
  <c r="W599" i="37"/>
  <c r="W600" i="37"/>
  <c r="W601" i="37"/>
  <c r="W602" i="37"/>
  <c r="W603" i="37"/>
  <c r="W604" i="37"/>
  <c r="W605" i="37"/>
  <c r="W606" i="37"/>
  <c r="W607" i="37"/>
  <c r="W608" i="37"/>
  <c r="W609" i="37"/>
  <c r="W610" i="37"/>
  <c r="W611" i="37"/>
  <c r="W612" i="37"/>
  <c r="W613" i="37"/>
  <c r="Y569" i="37"/>
  <c r="Y570" i="37"/>
  <c r="Y571" i="37"/>
  <c r="Y572" i="37"/>
  <c r="Y573" i="37"/>
  <c r="Y574" i="37"/>
  <c r="Y575" i="37"/>
  <c r="Y576" i="37"/>
  <c r="Y577" i="37"/>
  <c r="Y578" i="37"/>
  <c r="Y579" i="37"/>
  <c r="Y580" i="37"/>
  <c r="Y581" i="37"/>
  <c r="Y582" i="37"/>
  <c r="Y583" i="37"/>
  <c r="Y584" i="37"/>
  <c r="Y585" i="37"/>
  <c r="Y586" i="37"/>
  <c r="Y587" i="37"/>
  <c r="Y588" i="37"/>
  <c r="Y592" i="37"/>
  <c r="Y593" i="37"/>
  <c r="Y594" i="37"/>
  <c r="Y595" i="37"/>
  <c r="Y596" i="37"/>
  <c r="Y597" i="37"/>
  <c r="Y598" i="37"/>
  <c r="Y599" i="37"/>
  <c r="Y600" i="37"/>
  <c r="Y601" i="37"/>
  <c r="Y602" i="37"/>
  <c r="Y603" i="37"/>
  <c r="Y604" i="37"/>
  <c r="Y605" i="37"/>
  <c r="Y606" i="37"/>
  <c r="Y607" i="37"/>
  <c r="Y608" i="37"/>
  <c r="Y609" i="37"/>
  <c r="Y610" i="37"/>
  <c r="Y611" i="37"/>
  <c r="Y612" i="37"/>
  <c r="Y613" i="37"/>
  <c r="AA569" i="37"/>
  <c r="AA570" i="37"/>
  <c r="AA571" i="37"/>
  <c r="AA572" i="37"/>
  <c r="AA573" i="37"/>
  <c r="AA574" i="37"/>
  <c r="AA575" i="37"/>
  <c r="AA576" i="37"/>
  <c r="AA577" i="37"/>
  <c r="AA578" i="37"/>
  <c r="AA579" i="37"/>
  <c r="AA580" i="37"/>
  <c r="AA581" i="37"/>
  <c r="AA582" i="37"/>
  <c r="AA583" i="37"/>
  <c r="AA584" i="37"/>
  <c r="AA585" i="37"/>
  <c r="AA586" i="37"/>
  <c r="AA587" i="37"/>
  <c r="AA588" i="37"/>
  <c r="AA592" i="37"/>
  <c r="AA593" i="37"/>
  <c r="AA594" i="37"/>
  <c r="AA595" i="37"/>
  <c r="AA596" i="37"/>
  <c r="AA597" i="37"/>
  <c r="AA598" i="37"/>
  <c r="AA599" i="37"/>
  <c r="AA600" i="37"/>
  <c r="AA601" i="37"/>
  <c r="AA602" i="37"/>
  <c r="AA603" i="37"/>
  <c r="AA604" i="37"/>
  <c r="AA605" i="37"/>
  <c r="AA606" i="37"/>
  <c r="AA607" i="37"/>
  <c r="AA608" i="37"/>
  <c r="AA609" i="37"/>
  <c r="AA610" i="37"/>
  <c r="AA611" i="37"/>
  <c r="AA612" i="37"/>
  <c r="AA613" i="37"/>
  <c r="AA568" i="37"/>
  <c r="Y568" i="37"/>
  <c r="W568" i="37"/>
  <c r="U568" i="37"/>
  <c r="S568" i="37"/>
  <c r="Q568" i="37"/>
  <c r="O568" i="37"/>
  <c r="M569" i="37"/>
  <c r="M570" i="37"/>
  <c r="M571" i="37"/>
  <c r="M572" i="37"/>
  <c r="M573" i="37"/>
  <c r="M574" i="37"/>
  <c r="M575" i="37"/>
  <c r="M576" i="37"/>
  <c r="M577" i="37"/>
  <c r="M578" i="37"/>
  <c r="M579" i="37"/>
  <c r="M580" i="37"/>
  <c r="M581" i="37"/>
  <c r="M582" i="37"/>
  <c r="M583" i="37"/>
  <c r="M584" i="37"/>
  <c r="M585" i="37"/>
  <c r="M586" i="37"/>
  <c r="M587" i="37"/>
  <c r="M588" i="37"/>
  <c r="M592" i="37"/>
  <c r="M593" i="37"/>
  <c r="M594" i="37"/>
  <c r="M595" i="37"/>
  <c r="M596" i="37"/>
  <c r="M597" i="37"/>
  <c r="M598" i="37"/>
  <c r="M599" i="37"/>
  <c r="M600" i="37"/>
  <c r="M601" i="37"/>
  <c r="M602" i="37"/>
  <c r="M603" i="37"/>
  <c r="M604" i="37"/>
  <c r="M605" i="37"/>
  <c r="M606" i="37"/>
  <c r="M607" i="37"/>
  <c r="M608" i="37"/>
  <c r="M609" i="37"/>
  <c r="M610" i="37"/>
  <c r="M611" i="37"/>
  <c r="M612" i="37"/>
  <c r="M613" i="37"/>
  <c r="M568" i="37"/>
  <c r="K569" i="37"/>
  <c r="K570" i="37"/>
  <c r="K571" i="37"/>
  <c r="K572" i="37"/>
  <c r="K573" i="37"/>
  <c r="K574" i="37"/>
  <c r="K575" i="37"/>
  <c r="K576" i="37"/>
  <c r="K577" i="37"/>
  <c r="K578" i="37"/>
  <c r="K579" i="37"/>
  <c r="K580" i="37"/>
  <c r="K581" i="37"/>
  <c r="K582" i="37"/>
  <c r="K583" i="37"/>
  <c r="K584" i="37"/>
  <c r="K585" i="37"/>
  <c r="K586" i="37"/>
  <c r="K587" i="37"/>
  <c r="K588" i="37"/>
  <c r="K592" i="37"/>
  <c r="K593" i="37"/>
  <c r="K594" i="37"/>
  <c r="K595" i="37"/>
  <c r="K596" i="37"/>
  <c r="K597" i="37"/>
  <c r="K598" i="37"/>
  <c r="K599" i="37"/>
  <c r="K600" i="37"/>
  <c r="K601" i="37"/>
  <c r="K602" i="37"/>
  <c r="K603" i="37"/>
  <c r="K604" i="37"/>
  <c r="K605" i="37"/>
  <c r="K606" i="37"/>
  <c r="K607" i="37"/>
  <c r="K608" i="37"/>
  <c r="K609" i="37"/>
  <c r="K610" i="37"/>
  <c r="K611" i="37"/>
  <c r="K612" i="37"/>
  <c r="K613" i="37"/>
  <c r="K568" i="37"/>
  <c r="I569" i="37"/>
  <c r="I570" i="37"/>
  <c r="I571" i="37"/>
  <c r="I573" i="37"/>
  <c r="I574" i="37"/>
  <c r="I575" i="37"/>
  <c r="I576" i="37"/>
  <c r="I578" i="37"/>
  <c r="I579" i="37"/>
  <c r="I580" i="37"/>
  <c r="I581" i="37"/>
  <c r="I582" i="37"/>
  <c r="I584" i="37"/>
  <c r="I585" i="37"/>
  <c r="I586" i="37"/>
  <c r="I587" i="37"/>
  <c r="I588" i="37"/>
  <c r="I593" i="37"/>
  <c r="I594" i="37"/>
  <c r="I595" i="37"/>
  <c r="I596" i="37"/>
  <c r="I598" i="37"/>
  <c r="I599" i="37"/>
  <c r="I600" i="37"/>
  <c r="I601" i="37"/>
  <c r="I603" i="37"/>
  <c r="I604" i="37"/>
  <c r="I605" i="37"/>
  <c r="I606" i="37"/>
  <c r="I607" i="37"/>
  <c r="I609" i="37"/>
  <c r="I610" i="37"/>
  <c r="I611" i="37"/>
  <c r="I612" i="37"/>
  <c r="I613" i="37"/>
  <c r="I568" i="37"/>
  <c r="G569" i="37"/>
  <c r="G570" i="37"/>
  <c r="G571" i="37"/>
  <c r="G573" i="37"/>
  <c r="G574" i="37"/>
  <c r="G575" i="37"/>
  <c r="G576" i="37"/>
  <c r="G578" i="37"/>
  <c r="G579" i="37"/>
  <c r="G580" i="37"/>
  <c r="G581" i="37"/>
  <c r="G582" i="37"/>
  <c r="G584" i="37"/>
  <c r="G585" i="37"/>
  <c r="G586" i="37"/>
  <c r="G587" i="37"/>
  <c r="G588" i="37"/>
  <c r="G593" i="37"/>
  <c r="G594" i="37"/>
  <c r="G595" i="37"/>
  <c r="G596" i="37"/>
  <c r="G598" i="37"/>
  <c r="G599" i="37"/>
  <c r="G600" i="37"/>
  <c r="G601" i="37"/>
  <c r="G603" i="37"/>
  <c r="G604" i="37"/>
  <c r="G605" i="37"/>
  <c r="G606" i="37"/>
  <c r="G607" i="37"/>
  <c r="G609" i="37"/>
  <c r="G610" i="37"/>
  <c r="G611" i="37"/>
  <c r="G612" i="37"/>
  <c r="G613" i="37"/>
  <c r="G568" i="37"/>
  <c r="E613" i="37"/>
  <c r="E612" i="37"/>
  <c r="E611" i="37"/>
  <c r="E610" i="37"/>
  <c r="E609" i="37"/>
  <c r="E607" i="37"/>
  <c r="E606" i="37"/>
  <c r="E605" i="37"/>
  <c r="E604" i="37"/>
  <c r="E603" i="37"/>
  <c r="E601" i="37"/>
  <c r="E600" i="37"/>
  <c r="E599" i="37"/>
  <c r="E598" i="37"/>
  <c r="E596" i="37"/>
  <c r="E595" i="37"/>
  <c r="E594" i="37"/>
  <c r="E593" i="37"/>
  <c r="E588" i="37"/>
  <c r="E587" i="37"/>
  <c r="E586" i="37"/>
  <c r="E585" i="37"/>
  <c r="E584" i="37"/>
  <c r="E582" i="37"/>
  <c r="E581" i="37"/>
  <c r="E580" i="37"/>
  <c r="E579" i="37"/>
  <c r="E578" i="37"/>
  <c r="E576" i="37"/>
  <c r="E575" i="37"/>
  <c r="E574" i="37"/>
  <c r="E573" i="37"/>
  <c r="E571" i="37"/>
  <c r="E570" i="37"/>
  <c r="E569" i="37"/>
  <c r="E568" i="37"/>
  <c r="W665" i="37" l="1"/>
  <c r="W666" i="37" s="1"/>
  <c r="Y665" i="37"/>
  <c r="Y666" i="37" s="1"/>
  <c r="E182" i="37"/>
  <c r="E183" i="37" s="1"/>
  <c r="AA665" i="37"/>
  <c r="AA666" i="37" s="1"/>
  <c r="G182" i="37"/>
  <c r="G183" i="37" s="1"/>
  <c r="E339" i="37"/>
  <c r="E340" i="37" s="1"/>
  <c r="I182" i="37"/>
  <c r="I183" i="37" s="1"/>
  <c r="Y196" i="37"/>
  <c r="Y197" i="37" s="1"/>
  <c r="K182" i="37"/>
  <c r="K183" i="37" s="1"/>
  <c r="AA196" i="37"/>
  <c r="AA197" i="37" s="1"/>
  <c r="AA215" i="37"/>
  <c r="AA216" i="37" s="1"/>
  <c r="Y107" i="37"/>
  <c r="Y108" i="37" s="1"/>
  <c r="M182" i="37"/>
  <c r="M183" i="37" s="1"/>
  <c r="E314" i="37"/>
  <c r="E315" i="37" s="1"/>
  <c r="W439" i="37"/>
  <c r="W440" i="37" s="1"/>
  <c r="Q182" i="37"/>
  <c r="Q183" i="37" s="1"/>
  <c r="K414" i="37"/>
  <c r="K415" i="37" s="1"/>
  <c r="O82" i="37"/>
  <c r="O83" i="37" s="1"/>
  <c r="AA740" i="37"/>
  <c r="AA741" i="37" s="1"/>
  <c r="Q82" i="37"/>
  <c r="Q83" i="37" s="1"/>
  <c r="Y754" i="37"/>
  <c r="Y755" i="37" s="1"/>
  <c r="Y773" i="37"/>
  <c r="Y774" i="37" s="1"/>
  <c r="K439" i="37"/>
  <c r="K440" i="37" s="1"/>
  <c r="AA464" i="37"/>
  <c r="AA465" i="37" s="1"/>
  <c r="Q107" i="37"/>
  <c r="Q108" i="37" s="1"/>
  <c r="AA754" i="37"/>
  <c r="AA755" i="37" s="1"/>
  <c r="AA773" i="37"/>
  <c r="AA774" i="37" s="1"/>
  <c r="M439" i="37"/>
  <c r="M440" i="37" s="1"/>
  <c r="Y215" i="37"/>
  <c r="Y216" i="37" s="1"/>
  <c r="E82" i="37"/>
  <c r="E83" i="37" s="1"/>
  <c r="G82" i="37"/>
  <c r="G83" i="37" s="1"/>
  <c r="E414" i="37"/>
  <c r="E415" i="37" s="1"/>
  <c r="U439" i="37"/>
  <c r="U440" i="37" s="1"/>
  <c r="I82" i="37"/>
  <c r="I83" i="37" s="1"/>
  <c r="AA107" i="37"/>
  <c r="AA108" i="37" s="1"/>
  <c r="O182" i="37"/>
  <c r="O183" i="37" s="1"/>
  <c r="U740" i="37"/>
  <c r="U741" i="37" s="1"/>
  <c r="K82" i="37"/>
  <c r="K83" i="37" s="1"/>
  <c r="W740" i="37"/>
  <c r="W741" i="37" s="1"/>
  <c r="M82" i="37"/>
  <c r="M83" i="37" s="1"/>
  <c r="Y740" i="37"/>
  <c r="Y741" i="37" s="1"/>
  <c r="E157" i="37"/>
  <c r="E158" i="37" s="1"/>
  <c r="U182" i="37"/>
  <c r="U183" i="37" s="1"/>
  <c r="M414" i="37"/>
  <c r="M415" i="37" s="1"/>
  <c r="G157" i="37"/>
  <c r="G158" i="37" s="1"/>
  <c r="O414" i="37"/>
  <c r="O415" i="37" s="1"/>
  <c r="I157" i="37"/>
  <c r="I158" i="37" s="1"/>
  <c r="K157" i="37"/>
  <c r="K158" i="37" s="1"/>
  <c r="AA182" i="37"/>
  <c r="AA183" i="37" s="1"/>
  <c r="S414" i="37"/>
  <c r="S415" i="37" s="1"/>
  <c r="M157" i="37"/>
  <c r="M158" i="37" s="1"/>
  <c r="K389" i="37"/>
  <c r="K390" i="37" s="1"/>
  <c r="K478" i="37"/>
  <c r="K479" i="37" s="1"/>
  <c r="AA715" i="37"/>
  <c r="AA716" i="37" s="1"/>
  <c r="M497" i="37"/>
  <c r="M498" i="37" s="1"/>
  <c r="E132" i="37"/>
  <c r="E133" i="37" s="1"/>
  <c r="G132" i="37"/>
  <c r="G133" i="37" s="1"/>
  <c r="Q478" i="37"/>
  <c r="Q479" i="37" s="1"/>
  <c r="U478" i="37"/>
  <c r="U479" i="37" s="1"/>
  <c r="S132" i="37"/>
  <c r="S133" i="37" s="1"/>
  <c r="E196" i="37"/>
  <c r="E197" i="37" s="1"/>
  <c r="AA690" i="37"/>
  <c r="AA691" i="37" s="1"/>
  <c r="M464" i="37"/>
  <c r="M465" i="37" s="1"/>
  <c r="G196" i="37"/>
  <c r="G197" i="37" s="1"/>
  <c r="G215" i="37"/>
  <c r="G216" i="37" s="1"/>
  <c r="I215" i="37"/>
  <c r="I216" i="37" s="1"/>
  <c r="I107" i="37"/>
  <c r="I108" i="37" s="1"/>
  <c r="E389" i="37"/>
  <c r="E390" i="37" s="1"/>
  <c r="Y82" i="37"/>
  <c r="Y83" i="37" s="1"/>
  <c r="O157" i="37"/>
  <c r="O158" i="37" s="1"/>
  <c r="U715" i="37"/>
  <c r="U716" i="37" s="1"/>
  <c r="G389" i="37"/>
  <c r="G390" i="37" s="1"/>
  <c r="W414" i="37"/>
  <c r="W415" i="37" s="1"/>
  <c r="G478" i="37"/>
  <c r="G479" i="37" s="1"/>
  <c r="AA82" i="37"/>
  <c r="AA83" i="37" s="1"/>
  <c r="Q157" i="37"/>
  <c r="Q158" i="37" s="1"/>
  <c r="W715" i="37"/>
  <c r="W716" i="37" s="1"/>
  <c r="I389" i="37"/>
  <c r="I390" i="37" s="1"/>
  <c r="I478" i="37"/>
  <c r="I479" i="37" s="1"/>
  <c r="I497" i="37"/>
  <c r="I498" i="37" s="1"/>
  <c r="S157" i="37"/>
  <c r="S158" i="37" s="1"/>
  <c r="Y715" i="37"/>
  <c r="Y716" i="37" s="1"/>
  <c r="M389" i="37"/>
  <c r="M390" i="37" s="1"/>
  <c r="M478" i="37"/>
  <c r="M479" i="37" s="1"/>
  <c r="O478" i="37"/>
  <c r="O479" i="37" s="1"/>
  <c r="O497" i="37"/>
  <c r="O498" i="37" s="1"/>
  <c r="Q497" i="37"/>
  <c r="Q498" i="37" s="1"/>
  <c r="I132" i="37"/>
  <c r="I133" i="37" s="1"/>
  <c r="AA157" i="37"/>
  <c r="AA158" i="37" s="1"/>
  <c r="S478" i="37"/>
  <c r="S479" i="37" s="1"/>
  <c r="S497" i="37"/>
  <c r="S498" i="37" s="1"/>
  <c r="K132" i="37"/>
  <c r="K133" i="37" s="1"/>
  <c r="E364" i="37"/>
  <c r="E365" i="37" s="1"/>
  <c r="U389" i="37"/>
  <c r="U390" i="37" s="1"/>
  <c r="E464" i="37"/>
  <c r="E465" i="37" s="1"/>
  <c r="M132" i="37"/>
  <c r="M133" i="37" s="1"/>
  <c r="U690" i="37"/>
  <c r="U691" i="37" s="1"/>
  <c r="G364" i="37"/>
  <c r="G365" i="37" s="1"/>
  <c r="W389" i="37"/>
  <c r="W390" i="37" s="1"/>
  <c r="W478" i="37"/>
  <c r="W479" i="37" s="1"/>
  <c r="W497" i="37"/>
  <c r="W498" i="37" s="1"/>
  <c r="O132" i="37"/>
  <c r="O133" i="37" s="1"/>
  <c r="W690" i="37"/>
  <c r="W691" i="37" s="1"/>
  <c r="I364" i="37"/>
  <c r="I365" i="37" s="1"/>
  <c r="I464" i="37"/>
  <c r="I465" i="37" s="1"/>
  <c r="Y478" i="37"/>
  <c r="Y479" i="37" s="1"/>
  <c r="Y497" i="37"/>
  <c r="Y498" i="37" s="1"/>
  <c r="Q132" i="37"/>
  <c r="Q133" i="37" s="1"/>
  <c r="Y690" i="37"/>
  <c r="Y691" i="37" s="1"/>
  <c r="K464" i="37"/>
  <c r="K465" i="37" s="1"/>
  <c r="M773" i="37"/>
  <c r="E107" i="37"/>
  <c r="E108" i="37" s="1"/>
  <c r="O773" i="37"/>
  <c r="O774" i="37" s="1"/>
  <c r="G107" i="37"/>
  <c r="G108" i="37" s="1"/>
  <c r="K196" i="37"/>
  <c r="K197" i="37" s="1"/>
  <c r="K215" i="37"/>
  <c r="K216" i="37" s="1"/>
  <c r="M215" i="37"/>
  <c r="M216" i="37" s="1"/>
  <c r="O196" i="37"/>
  <c r="O197" i="37" s="1"/>
  <c r="Q196" i="37"/>
  <c r="Q197" i="37" s="1"/>
  <c r="W132" i="37"/>
  <c r="W133" i="37" s="1"/>
  <c r="W215" i="37"/>
  <c r="W216" i="37" s="1"/>
  <c r="Y57" i="37"/>
  <c r="Y58" i="37" s="1"/>
  <c r="Y132" i="37"/>
  <c r="Y133" i="37" s="1"/>
  <c r="E32" i="37"/>
  <c r="E33" i="37" s="1"/>
  <c r="S773" i="37"/>
  <c r="S774" i="37" s="1"/>
  <c r="W196" i="37"/>
  <c r="W197" i="37" s="1"/>
  <c r="Y414" i="37"/>
  <c r="Y415" i="37" s="1"/>
  <c r="W157" i="37"/>
  <c r="W158" i="37" s="1"/>
  <c r="R66" i="32"/>
  <c r="AB53" i="33"/>
  <c r="AB36" i="33"/>
  <c r="AB18" i="33"/>
  <c r="AA57" i="37"/>
  <c r="AA58" i="37" s="1"/>
  <c r="AA389" i="37"/>
  <c r="AA390" i="37" s="1"/>
  <c r="AA439" i="37"/>
  <c r="AA440" i="37" s="1"/>
  <c r="AA314" i="37"/>
  <c r="AA315" i="37" s="1"/>
  <c r="AA339" i="37"/>
  <c r="AA340" i="37" s="1"/>
  <c r="Y157" i="37"/>
  <c r="Y158" i="37" s="1"/>
  <c r="Y182" i="37"/>
  <c r="Y183" i="37" s="1"/>
  <c r="W550" i="37"/>
  <c r="U464" i="37"/>
  <c r="U465" i="37" s="1"/>
  <c r="U497" i="37"/>
  <c r="U498" i="37" s="1"/>
  <c r="U414" i="37"/>
  <c r="U415" i="37" s="1"/>
  <c r="S82" i="37"/>
  <c r="S83" i="37" s="1"/>
  <c r="S107" i="37"/>
  <c r="S108" i="37" s="1"/>
  <c r="S464" i="37"/>
  <c r="S465" i="37" s="1"/>
  <c r="S364" i="37"/>
  <c r="S365" i="37" s="1"/>
  <c r="S389" i="37"/>
  <c r="S390" i="37" s="1"/>
  <c r="S439" i="37"/>
  <c r="S440" i="37" s="1"/>
  <c r="AA478" i="37"/>
  <c r="AA479" i="37" s="1"/>
  <c r="AA414" i="37"/>
  <c r="AA415" i="37" s="1"/>
  <c r="AA497" i="37"/>
  <c r="AA498" i="37" s="1"/>
  <c r="AA364" i="37"/>
  <c r="AA365" i="37" s="1"/>
  <c r="Y389" i="37"/>
  <c r="Y390" i="37" s="1"/>
  <c r="Y439" i="37"/>
  <c r="Y440" i="37" s="1"/>
  <c r="Y364" i="37"/>
  <c r="Y365" i="37" s="1"/>
  <c r="Y314" i="37"/>
  <c r="Y315" i="37" s="1"/>
  <c r="Y339" i="37"/>
  <c r="Y340" i="37" s="1"/>
  <c r="W314" i="37"/>
  <c r="W315" i="37" s="1"/>
  <c r="W339" i="37"/>
  <c r="W340" i="37" s="1"/>
  <c r="U339" i="37"/>
  <c r="U340" i="37" s="1"/>
  <c r="U314" i="37"/>
  <c r="U315" i="37" s="1"/>
  <c r="M364" i="37"/>
  <c r="M365" i="37" s="1"/>
  <c r="I439" i="37"/>
  <c r="I440" i="37" s="1"/>
  <c r="E497" i="37"/>
  <c r="E498" i="37" s="1"/>
  <c r="E478" i="37"/>
  <c r="E479" i="37" s="1"/>
  <c r="S339" i="37"/>
  <c r="S340" i="37" s="1"/>
  <c r="S314" i="37"/>
  <c r="S315" i="37" s="1"/>
  <c r="K497" i="37"/>
  <c r="K498" i="37" s="1"/>
  <c r="K364" i="37"/>
  <c r="K365" i="37" s="1"/>
  <c r="I314" i="37"/>
  <c r="I315" i="37" s="1"/>
  <c r="I414" i="37"/>
  <c r="I415" i="37" s="1"/>
  <c r="G439" i="37"/>
  <c r="G440" i="37" s="1"/>
  <c r="G497" i="37"/>
  <c r="G498" i="37" s="1"/>
  <c r="G414" i="37"/>
  <c r="G415" i="37" s="1"/>
  <c r="G464" i="37"/>
  <c r="G465" i="37" s="1"/>
  <c r="G339" i="37"/>
  <c r="G340" i="37" s="1"/>
  <c r="U196" i="37"/>
  <c r="U197" i="37" s="1"/>
  <c r="S215" i="37"/>
  <c r="S216" i="37" s="1"/>
  <c r="Q215" i="37"/>
  <c r="Q216" i="37" s="1"/>
  <c r="O215" i="37"/>
  <c r="O216" i="37" s="1"/>
  <c r="I196" i="37"/>
  <c r="I197" i="37" s="1"/>
  <c r="E215" i="37"/>
  <c r="E216" i="37" s="1"/>
  <c r="Q464" i="37"/>
  <c r="Q465" i="37" s="1"/>
  <c r="Q439" i="37"/>
  <c r="Q440" i="37" s="1"/>
  <c r="O464" i="37"/>
  <c r="O465" i="37" s="1"/>
  <c r="O439" i="37"/>
  <c r="O440" i="37" s="1"/>
  <c r="Q414" i="37"/>
  <c r="Q415" i="37" s="1"/>
  <c r="Q389" i="37"/>
  <c r="Q390" i="37" s="1"/>
  <c r="O389" i="37"/>
  <c r="O390" i="37" s="1"/>
  <c r="I339" i="37"/>
  <c r="I340" i="37" s="1"/>
  <c r="K339" i="37"/>
  <c r="K340" i="37" s="1"/>
  <c r="M339" i="37"/>
  <c r="M340" i="37" s="1"/>
  <c r="O339" i="37"/>
  <c r="O340" i="37" s="1"/>
  <c r="O364" i="37"/>
  <c r="O365" i="37" s="1"/>
  <c r="Q364" i="37"/>
  <c r="Q365" i="37" s="1"/>
  <c r="Q339" i="37"/>
  <c r="Q340" i="37" s="1"/>
  <c r="Q314" i="37"/>
  <c r="Q315" i="37" s="1"/>
  <c r="O314" i="37"/>
  <c r="O315" i="37" s="1"/>
  <c r="M314" i="37"/>
  <c r="M315" i="37" s="1"/>
  <c r="K314" i="37"/>
  <c r="K315" i="37" s="1"/>
  <c r="G314" i="37"/>
  <c r="G315" i="37" s="1"/>
  <c r="G57" i="37"/>
  <c r="G58" i="37" s="1"/>
  <c r="E57" i="37"/>
  <c r="E58" i="37" s="1"/>
  <c r="I57" i="37"/>
  <c r="I58" i="37" s="1"/>
  <c r="K57" i="37"/>
  <c r="K58" i="37" s="1"/>
  <c r="M57" i="37"/>
  <c r="M58" i="37" s="1"/>
  <c r="S182" i="37"/>
  <c r="S183" i="37" s="1"/>
  <c r="W182" i="37"/>
  <c r="W183" i="37" s="1"/>
  <c r="U157" i="37"/>
  <c r="U158" i="37" s="1"/>
  <c r="U132" i="37"/>
  <c r="U133" i="37" s="1"/>
  <c r="W107" i="37"/>
  <c r="W108" i="37" s="1"/>
  <c r="U107" i="37"/>
  <c r="U108" i="37" s="1"/>
  <c r="U82" i="37"/>
  <c r="U83" i="37" s="1"/>
  <c r="W82" i="37"/>
  <c r="W83" i="37" s="1"/>
  <c r="W57" i="37"/>
  <c r="W58" i="37" s="1"/>
  <c r="U57" i="37"/>
  <c r="U58" i="37" s="1"/>
  <c r="O57" i="37"/>
  <c r="O58" i="37" s="1"/>
  <c r="O279" i="37" s="1"/>
  <c r="S57" i="37"/>
  <c r="S58" i="37" s="1"/>
  <c r="Q57" i="37"/>
  <c r="Q58" i="37" s="1"/>
  <c r="AA32" i="37"/>
  <c r="AA33" i="37" s="1"/>
  <c r="Y32" i="37"/>
  <c r="Y33" i="37" s="1"/>
  <c r="W32" i="37"/>
  <c r="W33" i="37" s="1"/>
  <c r="U32" i="37"/>
  <c r="U33" i="37" s="1"/>
  <c r="S32" i="37"/>
  <c r="S33" i="37" s="1"/>
  <c r="Q32" i="37"/>
  <c r="Q33" i="37" s="1"/>
  <c r="O32" i="37"/>
  <c r="O33" i="37" s="1"/>
  <c r="M32" i="37"/>
  <c r="M33" i="37" s="1"/>
  <c r="K32" i="37"/>
  <c r="K33" i="37" s="1"/>
  <c r="I32" i="37"/>
  <c r="I33" i="37" s="1"/>
  <c r="G32" i="37"/>
  <c r="G33" i="37" s="1"/>
  <c r="AB228" i="37"/>
  <c r="AA222" i="37"/>
  <c r="AA267" i="37" s="1"/>
  <c r="AA268" i="37" s="1"/>
  <c r="AB233" i="37"/>
  <c r="AB240" i="37"/>
  <c r="AB245" i="37"/>
  <c r="AB250" i="37"/>
  <c r="Y222" i="37"/>
  <c r="Y267" i="37" s="1"/>
  <c r="Y268" i="37" s="1"/>
  <c r="AB256" i="37"/>
  <c r="AB262" i="37"/>
  <c r="AB510" i="37"/>
  <c r="AB515" i="37"/>
  <c r="AB522" i="37"/>
  <c r="AB527" i="37"/>
  <c r="AB532" i="37"/>
  <c r="AA504" i="37"/>
  <c r="AA550" i="37" s="1"/>
  <c r="AB538" i="37"/>
  <c r="Y504" i="37"/>
  <c r="AB544" i="37"/>
  <c r="AA779" i="37"/>
  <c r="AA780" i="37" s="1"/>
  <c r="AA825" i="37" s="1"/>
  <c r="AA826" i="37" s="1"/>
  <c r="Y780" i="37"/>
  <c r="Y825" i="37" s="1"/>
  <c r="Y826" i="37" s="1"/>
  <c r="W779" i="37"/>
  <c r="W780" i="37" s="1"/>
  <c r="Q779" i="37"/>
  <c r="Q780" i="37" s="1"/>
  <c r="U780" i="37"/>
  <c r="S690" i="37"/>
  <c r="S691" i="37" s="1"/>
  <c r="U786" i="37"/>
  <c r="W786" i="37"/>
  <c r="Q740" i="37"/>
  <c r="Q741" i="37" s="1"/>
  <c r="Q773" i="37"/>
  <c r="Q774" i="37" s="1"/>
  <c r="Y786" i="37"/>
  <c r="AA786" i="37"/>
  <c r="Q786" i="37"/>
  <c r="O786" i="37"/>
  <c r="Q754" i="37"/>
  <c r="Q755" i="37" s="1"/>
  <c r="S740" i="37"/>
  <c r="S741" i="37" s="1"/>
  <c r="S754" i="37"/>
  <c r="S755" i="37" s="1"/>
  <c r="W791" i="37"/>
  <c r="O740" i="37"/>
  <c r="O741" i="37" s="1"/>
  <c r="K754" i="37"/>
  <c r="K755" i="37" s="1"/>
  <c r="M740" i="37"/>
  <c r="M741" i="37" s="1"/>
  <c r="O754" i="37"/>
  <c r="O755" i="37" s="1"/>
  <c r="S665" i="37"/>
  <c r="S666" i="37" s="1"/>
  <c r="U826" i="37"/>
  <c r="W826" i="37"/>
  <c r="Q826" i="37"/>
  <c r="S780" i="37"/>
  <c r="O780" i="37"/>
  <c r="E779" i="37"/>
  <c r="E780" i="37" s="1"/>
  <c r="M774" i="37"/>
  <c r="I773" i="37"/>
  <c r="I774" i="37" s="1"/>
  <c r="G773" i="37"/>
  <c r="G774" i="37" s="1"/>
  <c r="E773" i="37"/>
  <c r="E774" i="37" s="1"/>
  <c r="G754" i="37"/>
  <c r="G755" i="37" s="1"/>
  <c r="E754" i="37"/>
  <c r="E755" i="37" s="1"/>
  <c r="I754" i="37"/>
  <c r="I755" i="37" s="1"/>
  <c r="K773" i="37"/>
  <c r="K774" i="37" s="1"/>
  <c r="I740" i="37"/>
  <c r="I741" i="37" s="1"/>
  <c r="K780" i="37"/>
  <c r="M754" i="37"/>
  <c r="M755" i="37" s="1"/>
  <c r="K740" i="37"/>
  <c r="K741" i="37" s="1"/>
  <c r="G740" i="37"/>
  <c r="G741" i="37" s="1"/>
  <c r="E740" i="37"/>
  <c r="E741" i="37" s="1"/>
  <c r="O690" i="37"/>
  <c r="O691" i="37" s="1"/>
  <c r="S615" i="37"/>
  <c r="S616" i="37" s="1"/>
  <c r="Q590" i="37"/>
  <c r="Q591" i="37" s="1"/>
  <c r="S715" i="37"/>
  <c r="S716" i="37" s="1"/>
  <c r="Q715" i="37"/>
  <c r="Q716" i="37" s="1"/>
  <c r="O715" i="37"/>
  <c r="O716" i="37" s="1"/>
  <c r="M715" i="37"/>
  <c r="M716" i="37" s="1"/>
  <c r="G715" i="37"/>
  <c r="G716" i="37" s="1"/>
  <c r="I715" i="37"/>
  <c r="I716" i="37" s="1"/>
  <c r="K715" i="37"/>
  <c r="K716" i="37" s="1"/>
  <c r="E715" i="37"/>
  <c r="E716" i="37" s="1"/>
  <c r="K690" i="37"/>
  <c r="K691" i="37" s="1"/>
  <c r="M690" i="37"/>
  <c r="M691" i="37" s="1"/>
  <c r="G690" i="37"/>
  <c r="G691" i="37" s="1"/>
  <c r="Q690" i="37"/>
  <c r="Q691" i="37" s="1"/>
  <c r="I690" i="37"/>
  <c r="I691" i="37" s="1"/>
  <c r="E690" i="37"/>
  <c r="E691" i="37" s="1"/>
  <c r="U590" i="37"/>
  <c r="U591" i="37" s="1"/>
  <c r="I615" i="37"/>
  <c r="I616" i="37" s="1"/>
  <c r="AA590" i="37"/>
  <c r="AA591" i="37" s="1"/>
  <c r="O615" i="37"/>
  <c r="O616" i="37" s="1"/>
  <c r="S590" i="37"/>
  <c r="S591" i="37" s="1"/>
  <c r="K615" i="37"/>
  <c r="K616" i="37" s="1"/>
  <c r="Q615" i="37"/>
  <c r="Q616" i="37" s="1"/>
  <c r="G590" i="37"/>
  <c r="G591" i="37" s="1"/>
  <c r="I590" i="37"/>
  <c r="I591" i="37" s="1"/>
  <c r="K590" i="37"/>
  <c r="K591" i="37" s="1"/>
  <c r="Y615" i="37"/>
  <c r="Y616" i="37" s="1"/>
  <c r="M615" i="37"/>
  <c r="M616" i="37" s="1"/>
  <c r="E615" i="37"/>
  <c r="E616" i="37" s="1"/>
  <c r="W590" i="37"/>
  <c r="W591" i="37" s="1"/>
  <c r="M590" i="37"/>
  <c r="M591" i="37" s="1"/>
  <c r="W615" i="37"/>
  <c r="W616" i="37" s="1"/>
  <c r="AA615" i="37"/>
  <c r="AA616" i="37" s="1"/>
  <c r="G615" i="37"/>
  <c r="G616" i="37" s="1"/>
  <c r="Y590" i="37"/>
  <c r="Y591" i="37" s="1"/>
  <c r="E590" i="37"/>
  <c r="E591" i="37" s="1"/>
  <c r="O590" i="37"/>
  <c r="O591" i="37" s="1"/>
  <c r="U615" i="37"/>
  <c r="U616" i="37" s="1"/>
  <c r="O665" i="37"/>
  <c r="O666" i="37" s="1"/>
  <c r="M665" i="37"/>
  <c r="M666" i="37" s="1"/>
  <c r="I665" i="37"/>
  <c r="I666" i="37" s="1"/>
  <c r="G665" i="37"/>
  <c r="G666" i="37" s="1"/>
  <c r="E665" i="37"/>
  <c r="E666" i="37" s="1"/>
  <c r="Q665" i="37"/>
  <c r="Q666" i="37" s="1"/>
  <c r="K665" i="37"/>
  <c r="K666" i="37" s="1"/>
  <c r="O640" i="37"/>
  <c r="O641" i="37" s="1"/>
  <c r="G640" i="37"/>
  <c r="G641" i="37" s="1"/>
  <c r="I640" i="37"/>
  <c r="I641" i="37" s="1"/>
  <c r="Y640" i="37"/>
  <c r="Y641" i="37" s="1"/>
  <c r="S640" i="37"/>
  <c r="S641" i="37" s="1"/>
  <c r="E640" i="37"/>
  <c r="E641" i="37" s="1"/>
  <c r="W640" i="37"/>
  <c r="W641" i="37" s="1"/>
  <c r="M640" i="37"/>
  <c r="M641" i="37" s="1"/>
  <c r="U640" i="37"/>
  <c r="U641" i="37" s="1"/>
  <c r="K640" i="37"/>
  <c r="K641" i="37" s="1"/>
  <c r="Q640" i="37"/>
  <c r="Q641" i="37" s="1"/>
  <c r="C31" i="39"/>
  <c r="S279" i="37" l="1"/>
  <c r="S561" i="37"/>
  <c r="E279" i="37"/>
  <c r="W279" i="37"/>
  <c r="I279" i="37"/>
  <c r="M279" i="37"/>
  <c r="Q279" i="37"/>
  <c r="Q561" i="37"/>
  <c r="AB158" i="37"/>
  <c r="K279" i="37"/>
  <c r="Y279" i="37"/>
  <c r="AB197" i="37"/>
  <c r="AB133" i="37"/>
  <c r="Y561" i="37"/>
  <c r="AA279" i="37"/>
  <c r="O561" i="37"/>
  <c r="U279" i="37"/>
  <c r="AB183" i="37"/>
  <c r="AA561" i="37"/>
  <c r="AB390" i="37"/>
  <c r="AB83" i="37"/>
  <c r="W561" i="37"/>
  <c r="U561" i="37"/>
  <c r="AB108" i="37"/>
  <c r="AB479" i="37"/>
  <c r="AB550" i="37"/>
  <c r="AB498" i="37"/>
  <c r="E561" i="37"/>
  <c r="K561" i="37"/>
  <c r="I561" i="37"/>
  <c r="AB415" i="37"/>
  <c r="AB465" i="37"/>
  <c r="G561" i="37"/>
  <c r="AB365" i="37"/>
  <c r="M561" i="37"/>
  <c r="AB340" i="37"/>
  <c r="AB440" i="37"/>
  <c r="AB216" i="37"/>
  <c r="AB315" i="37"/>
  <c r="AB58" i="37"/>
  <c r="AB33" i="37"/>
  <c r="G279" i="37"/>
  <c r="AB268" i="37"/>
  <c r="AB222" i="37"/>
  <c r="AB504" i="37"/>
  <c r="U791" i="37"/>
  <c r="O791" i="37"/>
  <c r="Y791" i="37"/>
  <c r="E786" i="37"/>
  <c r="K786" i="37"/>
  <c r="AA791" i="37"/>
  <c r="Q791" i="37"/>
  <c r="Q798" i="37" s="1"/>
  <c r="E791" i="37"/>
  <c r="U798" i="37"/>
  <c r="W798" i="37"/>
  <c r="G780" i="37"/>
  <c r="G826" i="37" s="1"/>
  <c r="Y798" i="37"/>
  <c r="M780" i="37"/>
  <c r="M786" i="37" s="1"/>
  <c r="K791" i="37"/>
  <c r="K798" i="37" s="1"/>
  <c r="O798" i="37"/>
  <c r="I780" i="37"/>
  <c r="I786" i="37" s="1"/>
  <c r="S826" i="37"/>
  <c r="K826" i="37"/>
  <c r="O826" i="37"/>
  <c r="M826" i="37"/>
  <c r="E826" i="37"/>
  <c r="AB774" i="37"/>
  <c r="AB755" i="37"/>
  <c r="AB741" i="37"/>
  <c r="AB591" i="37"/>
  <c r="AB716" i="37"/>
  <c r="AB691" i="37"/>
  <c r="AB666" i="37"/>
  <c r="AA640" i="37"/>
  <c r="AA641" i="37" s="1"/>
  <c r="AB641" i="37" s="1"/>
  <c r="AB616" i="37"/>
  <c r="D31" i="34"/>
  <c r="I28" i="28" s="1"/>
  <c r="I52" i="28" s="1"/>
  <c r="C31" i="34"/>
  <c r="H28" i="28" s="1"/>
  <c r="H52" i="28" s="1"/>
  <c r="B31" i="34"/>
  <c r="G28" i="28" s="1"/>
  <c r="G52" i="28" s="1"/>
  <c r="AQ58" i="28"/>
  <c r="AQ56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G61" i="28"/>
  <c r="C56" i="33"/>
  <c r="H57" i="28" s="1"/>
  <c r="D56" i="33"/>
  <c r="I57" i="28" s="1"/>
  <c r="E56" i="33"/>
  <c r="J57" i="28" s="1"/>
  <c r="F56" i="33"/>
  <c r="K57" i="28" s="1"/>
  <c r="G56" i="33"/>
  <c r="L57" i="28" s="1"/>
  <c r="H56" i="33"/>
  <c r="M57" i="28" s="1"/>
  <c r="I56" i="33"/>
  <c r="N57" i="28" s="1"/>
  <c r="J56" i="33"/>
  <c r="O57" i="28" s="1"/>
  <c r="K56" i="33"/>
  <c r="P57" i="28" s="1"/>
  <c r="L56" i="33"/>
  <c r="Q57" i="28" s="1"/>
  <c r="M56" i="33"/>
  <c r="R57" i="28" s="1"/>
  <c r="C57" i="33"/>
  <c r="T57" i="28" s="1"/>
  <c r="D57" i="33"/>
  <c r="U57" i="28" s="1"/>
  <c r="E57" i="33"/>
  <c r="V57" i="28" s="1"/>
  <c r="F57" i="33"/>
  <c r="W57" i="28" s="1"/>
  <c r="G57" i="33"/>
  <c r="X57" i="28" s="1"/>
  <c r="H57" i="33"/>
  <c r="Y57" i="28" s="1"/>
  <c r="I57" i="33"/>
  <c r="Z57" i="28" s="1"/>
  <c r="J57" i="33"/>
  <c r="AA57" i="28" s="1"/>
  <c r="K57" i="33"/>
  <c r="AB57" i="28" s="1"/>
  <c r="L57" i="33"/>
  <c r="AC57" i="28" s="1"/>
  <c r="M57" i="33"/>
  <c r="AD57" i="28" s="1"/>
  <c r="C58" i="33"/>
  <c r="AF57" i="28" s="1"/>
  <c r="D58" i="33"/>
  <c r="AG57" i="28" s="1"/>
  <c r="E58" i="33"/>
  <c r="AH57" i="28" s="1"/>
  <c r="F58" i="33"/>
  <c r="AI57" i="28" s="1"/>
  <c r="G58" i="33"/>
  <c r="AJ57" i="28" s="1"/>
  <c r="H58" i="33"/>
  <c r="AK57" i="28" s="1"/>
  <c r="I58" i="33"/>
  <c r="AL57" i="28" s="1"/>
  <c r="J58" i="33"/>
  <c r="AM57" i="28" s="1"/>
  <c r="K58" i="33"/>
  <c r="AN57" i="28" s="1"/>
  <c r="L58" i="33"/>
  <c r="AO57" i="28" s="1"/>
  <c r="M58" i="33"/>
  <c r="AP57" i="28" s="1"/>
  <c r="B58" i="33"/>
  <c r="AE57" i="28" s="1"/>
  <c r="S57" i="28"/>
  <c r="B56" i="33"/>
  <c r="G57" i="28" s="1"/>
  <c r="L32" i="40"/>
  <c r="Q59" i="28" s="1"/>
  <c r="M32" i="40"/>
  <c r="R59" i="28" s="1"/>
  <c r="L33" i="40"/>
  <c r="AC59" i="28" s="1"/>
  <c r="M33" i="40"/>
  <c r="AD59" i="28" s="1"/>
  <c r="L34" i="40"/>
  <c r="AO59" i="28" s="1"/>
  <c r="M34" i="40"/>
  <c r="AP59" i="28" s="1"/>
  <c r="C32" i="40"/>
  <c r="H59" i="28" s="1"/>
  <c r="D32" i="40"/>
  <c r="I59" i="28" s="1"/>
  <c r="E32" i="40"/>
  <c r="J59" i="28" s="1"/>
  <c r="F32" i="40"/>
  <c r="K59" i="28" s="1"/>
  <c r="G32" i="40"/>
  <c r="L59" i="28" s="1"/>
  <c r="H32" i="40"/>
  <c r="M59" i="28" s="1"/>
  <c r="I32" i="40"/>
  <c r="N59" i="28" s="1"/>
  <c r="J32" i="40"/>
  <c r="O59" i="28" s="1"/>
  <c r="K32" i="40"/>
  <c r="P59" i="28" s="1"/>
  <c r="C33" i="40"/>
  <c r="T59" i="28" s="1"/>
  <c r="D33" i="40"/>
  <c r="U59" i="28" s="1"/>
  <c r="E33" i="40"/>
  <c r="V59" i="28" s="1"/>
  <c r="F33" i="40"/>
  <c r="W59" i="28" s="1"/>
  <c r="G33" i="40"/>
  <c r="X59" i="28" s="1"/>
  <c r="H33" i="40"/>
  <c r="Y59" i="28" s="1"/>
  <c r="I33" i="40"/>
  <c r="Z59" i="28" s="1"/>
  <c r="J33" i="40"/>
  <c r="AA59" i="28" s="1"/>
  <c r="K33" i="40"/>
  <c r="AB59" i="28" s="1"/>
  <c r="C34" i="40"/>
  <c r="AF59" i="28" s="1"/>
  <c r="D34" i="40"/>
  <c r="AG59" i="28" s="1"/>
  <c r="E34" i="40"/>
  <c r="AH59" i="28" s="1"/>
  <c r="F34" i="40"/>
  <c r="AI59" i="28" s="1"/>
  <c r="G34" i="40"/>
  <c r="AJ59" i="28" s="1"/>
  <c r="H34" i="40"/>
  <c r="AK59" i="28" s="1"/>
  <c r="I34" i="40"/>
  <c r="AL59" i="28" s="1"/>
  <c r="J34" i="40"/>
  <c r="AM59" i="28" s="1"/>
  <c r="K34" i="40"/>
  <c r="AN59" i="28" s="1"/>
  <c r="B34" i="40"/>
  <c r="AE59" i="28" s="1"/>
  <c r="B33" i="40"/>
  <c r="S59" i="28" s="1"/>
  <c r="B32" i="40"/>
  <c r="G59" i="28" s="1"/>
  <c r="AQ36" i="28"/>
  <c r="AQ38" i="28"/>
  <c r="AQ39" i="28"/>
  <c r="AQ40" i="28"/>
  <c r="AQ41" i="28"/>
  <c r="AQ42" i="28"/>
  <c r="AQ43" i="28"/>
  <c r="AQ44" i="28"/>
  <c r="AQ47" i="28"/>
  <c r="AQ48" i="28"/>
  <c r="G46" i="28"/>
  <c r="C16" i="43"/>
  <c r="F35" i="28"/>
  <c r="F34" i="28"/>
  <c r="F33" i="28"/>
  <c r="F32" i="28"/>
  <c r="F31" i="28"/>
  <c r="F30" i="28"/>
  <c r="AN25" i="28"/>
  <c r="AM25" i="28"/>
  <c r="AL25" i="28"/>
  <c r="AJ25" i="28"/>
  <c r="AB25" i="28"/>
  <c r="Q25" i="28"/>
  <c r="P25" i="28"/>
  <c r="O25" i="28"/>
  <c r="N25" i="28"/>
  <c r="M25" i="28"/>
  <c r="L25" i="28"/>
  <c r="AK24" i="28"/>
  <c r="Y24" i="28"/>
  <c r="X24" i="28"/>
  <c r="W24" i="28"/>
  <c r="O24" i="28"/>
  <c r="G11" i="28"/>
  <c r="H11" i="28" s="1"/>
  <c r="I11" i="28" s="1"/>
  <c r="J11" i="28" s="1"/>
  <c r="K11" i="28" s="1"/>
  <c r="L11" i="28" s="1"/>
  <c r="M11" i="28" s="1"/>
  <c r="N11" i="28" s="1"/>
  <c r="O11" i="28" s="1"/>
  <c r="P11" i="28" s="1"/>
  <c r="Q11" i="28" s="1"/>
  <c r="R11" i="28" s="1"/>
  <c r="S11" i="28" s="1"/>
  <c r="T11" i="28" s="1"/>
  <c r="U11" i="28" s="1"/>
  <c r="V11" i="28" s="1"/>
  <c r="W11" i="28" s="1"/>
  <c r="X11" i="28" s="1"/>
  <c r="Y11" i="28" s="1"/>
  <c r="Z11" i="28" s="1"/>
  <c r="AA11" i="28" s="1"/>
  <c r="AB11" i="28" s="1"/>
  <c r="AC11" i="28" s="1"/>
  <c r="AD11" i="28" s="1"/>
  <c r="AE11" i="28" s="1"/>
  <c r="AF11" i="28" s="1"/>
  <c r="AG11" i="28" s="1"/>
  <c r="AH11" i="28" s="1"/>
  <c r="AI11" i="28" s="1"/>
  <c r="AJ11" i="28" s="1"/>
  <c r="AK11" i="28" s="1"/>
  <c r="AL11" i="28" s="1"/>
  <c r="AM11" i="28" s="1"/>
  <c r="AN11" i="28" s="1"/>
  <c r="AO11" i="28" s="1"/>
  <c r="AP11" i="28" s="1"/>
  <c r="AP25" i="28" s="1"/>
  <c r="G9" i="28"/>
  <c r="H9" i="28" s="1"/>
  <c r="I9" i="28" s="1"/>
  <c r="J9" i="28" s="1"/>
  <c r="K9" i="28" s="1"/>
  <c r="L9" i="28" s="1"/>
  <c r="M9" i="28" s="1"/>
  <c r="N9" i="28" s="1"/>
  <c r="O9" i="28" s="1"/>
  <c r="P9" i="28" s="1"/>
  <c r="Q9" i="28" s="1"/>
  <c r="R9" i="28" s="1"/>
  <c r="S9" i="28" s="1"/>
  <c r="T9" i="28" s="1"/>
  <c r="U9" i="28" s="1"/>
  <c r="V9" i="28" s="1"/>
  <c r="W9" i="28" s="1"/>
  <c r="X9" i="28" s="1"/>
  <c r="Y9" i="28" s="1"/>
  <c r="Z9" i="28" s="1"/>
  <c r="AA9" i="28" s="1"/>
  <c r="AB9" i="28" s="1"/>
  <c r="AC9" i="28" s="1"/>
  <c r="AD9" i="28" s="1"/>
  <c r="AE9" i="28" s="1"/>
  <c r="AF9" i="28" s="1"/>
  <c r="AG9" i="28" s="1"/>
  <c r="AH9" i="28" s="1"/>
  <c r="AI9" i="28" s="1"/>
  <c r="AJ9" i="28" s="1"/>
  <c r="AK9" i="28" s="1"/>
  <c r="AL9" i="28" s="1"/>
  <c r="AM9" i="28" s="1"/>
  <c r="AN9" i="28" s="1"/>
  <c r="AO9" i="28" s="1"/>
  <c r="AP9" i="28" s="1"/>
  <c r="AP24" i="28" s="1"/>
  <c r="G7" i="28"/>
  <c r="G23" i="28" s="1"/>
  <c r="AQ27" i="28"/>
  <c r="AQ26" i="28"/>
  <c r="AK25" i="28" l="1"/>
  <c r="K24" i="28"/>
  <c r="M24" i="28"/>
  <c r="N24" i="28"/>
  <c r="Z24" i="28"/>
  <c r="X25" i="28"/>
  <c r="AA24" i="28"/>
  <c r="Y25" i="28"/>
  <c r="AI24" i="28"/>
  <c r="Z25" i="28"/>
  <c r="AJ24" i="28"/>
  <c r="AA25" i="28"/>
  <c r="L24" i="28"/>
  <c r="AL24" i="28"/>
  <c r="AC25" i="28"/>
  <c r="AB561" i="37"/>
  <c r="AB279" i="37"/>
  <c r="Q803" i="37"/>
  <c r="M791" i="37"/>
  <c r="M798" i="37" s="1"/>
  <c r="U803" i="37"/>
  <c r="U808" i="37" s="1"/>
  <c r="E798" i="37"/>
  <c r="S786" i="37"/>
  <c r="S791" i="37"/>
  <c r="Y803" i="37"/>
  <c r="W803" i="37"/>
  <c r="I791" i="37"/>
  <c r="E803" i="37"/>
  <c r="AB780" i="37"/>
  <c r="I826" i="37"/>
  <c r="K803" i="37"/>
  <c r="O803" i="37"/>
  <c r="K808" i="37"/>
  <c r="AB837" i="37"/>
  <c r="AB24" i="28"/>
  <c r="Q24" i="28"/>
  <c r="AD25" i="28"/>
  <c r="G24" i="28"/>
  <c r="G22" i="28" s="1"/>
  <c r="G51" i="28" s="1"/>
  <c r="AQ57" i="28"/>
  <c r="T25" i="28"/>
  <c r="AO24" i="28"/>
  <c r="AD24" i="28"/>
  <c r="AE25" i="28"/>
  <c r="H25" i="28"/>
  <c r="H24" i="28"/>
  <c r="T24" i="28"/>
  <c r="AF24" i="28"/>
  <c r="I25" i="28"/>
  <c r="U25" i="28"/>
  <c r="AG25" i="28"/>
  <c r="AM24" i="28"/>
  <c r="S25" i="28"/>
  <c r="S24" i="28"/>
  <c r="I24" i="28"/>
  <c r="U24" i="28"/>
  <c r="AG24" i="28"/>
  <c r="J25" i="28"/>
  <c r="V25" i="28"/>
  <c r="AH25" i="28"/>
  <c r="H7" i="28"/>
  <c r="P24" i="28"/>
  <c r="AN24" i="28"/>
  <c r="AO25" i="28"/>
  <c r="AC24" i="28"/>
  <c r="R25" i="28"/>
  <c r="R24" i="28"/>
  <c r="G25" i="28"/>
  <c r="AE24" i="28"/>
  <c r="AF25" i="28"/>
  <c r="J24" i="28"/>
  <c r="V24" i="28"/>
  <c r="AH24" i="28"/>
  <c r="K25" i="28"/>
  <c r="W25" i="28"/>
  <c r="AI25" i="28"/>
  <c r="AQ60" i="28"/>
  <c r="AQ61" i="28"/>
  <c r="M33" i="34"/>
  <c r="L33" i="34"/>
  <c r="K33" i="34"/>
  <c r="J33" i="34"/>
  <c r="I33" i="34"/>
  <c r="H33" i="34"/>
  <c r="G33" i="34"/>
  <c r="F33" i="34"/>
  <c r="E33" i="34"/>
  <c r="D33" i="34"/>
  <c r="C33" i="34"/>
  <c r="B33" i="34"/>
  <c r="M32" i="34"/>
  <c r="AD28" i="28" s="1"/>
  <c r="AD52" i="28" s="1"/>
  <c r="L32" i="34"/>
  <c r="AC28" i="28" s="1"/>
  <c r="AC52" i="28" s="1"/>
  <c r="K32" i="34"/>
  <c r="AB28" i="28" s="1"/>
  <c r="AB52" i="28" s="1"/>
  <c r="J32" i="34"/>
  <c r="AA28" i="28" s="1"/>
  <c r="AA52" i="28" s="1"/>
  <c r="I32" i="34"/>
  <c r="Z28" i="28" s="1"/>
  <c r="Z52" i="28" s="1"/>
  <c r="H32" i="34"/>
  <c r="Y28" i="28" s="1"/>
  <c r="Y52" i="28" s="1"/>
  <c r="G32" i="34"/>
  <c r="X28" i="28" s="1"/>
  <c r="X52" i="28" s="1"/>
  <c r="F32" i="34"/>
  <c r="W28" i="28" s="1"/>
  <c r="W52" i="28" s="1"/>
  <c r="E32" i="34"/>
  <c r="V28" i="28" s="1"/>
  <c r="V52" i="28" s="1"/>
  <c r="D32" i="34"/>
  <c r="U28" i="28" s="1"/>
  <c r="U52" i="28" s="1"/>
  <c r="C32" i="34"/>
  <c r="T28" i="28" s="1"/>
  <c r="T52" i="28" s="1"/>
  <c r="B32" i="34"/>
  <c r="S28" i="28" s="1"/>
  <c r="S52" i="28" s="1"/>
  <c r="M31" i="34"/>
  <c r="R28" i="28" s="1"/>
  <c r="R52" i="28" s="1"/>
  <c r="L31" i="34"/>
  <c r="Q28" i="28" s="1"/>
  <c r="Q52" i="28" s="1"/>
  <c r="K31" i="34"/>
  <c r="P28" i="28" s="1"/>
  <c r="P52" i="28" s="1"/>
  <c r="J31" i="34"/>
  <c r="O28" i="28" s="1"/>
  <c r="O52" i="28" s="1"/>
  <c r="I31" i="34"/>
  <c r="N28" i="28" s="1"/>
  <c r="N52" i="28" s="1"/>
  <c r="H31" i="34"/>
  <c r="M28" i="28" s="1"/>
  <c r="M52" i="28" s="1"/>
  <c r="G31" i="34"/>
  <c r="L28" i="28" s="1"/>
  <c r="L52" i="28" s="1"/>
  <c r="F31" i="34"/>
  <c r="K28" i="28" s="1"/>
  <c r="K52" i="28" s="1"/>
  <c r="E31" i="34"/>
  <c r="J28" i="28" s="1"/>
  <c r="J52" i="28" s="1"/>
  <c r="N33" i="39"/>
  <c r="M33" i="39"/>
  <c r="L33" i="39"/>
  <c r="K33" i="39"/>
  <c r="J33" i="39"/>
  <c r="I33" i="39"/>
  <c r="H33" i="39"/>
  <c r="G33" i="39"/>
  <c r="F33" i="39"/>
  <c r="E33" i="39"/>
  <c r="D33" i="39"/>
  <c r="C33" i="39"/>
  <c r="N32" i="39"/>
  <c r="AD46" i="28" s="1"/>
  <c r="M32" i="39"/>
  <c r="AC46" i="28" s="1"/>
  <c r="L32" i="39"/>
  <c r="AB46" i="28" s="1"/>
  <c r="K32" i="39"/>
  <c r="AA46" i="28" s="1"/>
  <c r="J32" i="39"/>
  <c r="Z46" i="28" s="1"/>
  <c r="I32" i="39"/>
  <c r="Y46" i="28" s="1"/>
  <c r="H32" i="39"/>
  <c r="X46" i="28" s="1"/>
  <c r="G32" i="39"/>
  <c r="W46" i="28" s="1"/>
  <c r="F32" i="39"/>
  <c r="V46" i="28" s="1"/>
  <c r="E32" i="39"/>
  <c r="U46" i="28" s="1"/>
  <c r="D32" i="39"/>
  <c r="T46" i="28" s="1"/>
  <c r="C32" i="39"/>
  <c r="S46" i="28" s="1"/>
  <c r="N31" i="39"/>
  <c r="R46" i="28" s="1"/>
  <c r="M31" i="39"/>
  <c r="Q46" i="28" s="1"/>
  <c r="L31" i="39"/>
  <c r="P46" i="28" s="1"/>
  <c r="K31" i="39"/>
  <c r="O46" i="28" s="1"/>
  <c r="J31" i="39"/>
  <c r="N46" i="28" s="1"/>
  <c r="I31" i="39"/>
  <c r="M46" i="28" s="1"/>
  <c r="H31" i="39"/>
  <c r="L46" i="28" s="1"/>
  <c r="G31" i="39"/>
  <c r="K46" i="28" s="1"/>
  <c r="F31" i="39"/>
  <c r="J46" i="28" s="1"/>
  <c r="E31" i="39"/>
  <c r="I46" i="28" s="1"/>
  <c r="D31" i="39"/>
  <c r="H46" i="28" s="1"/>
  <c r="AF55" i="28"/>
  <c r="AF54" i="28" s="1"/>
  <c r="AG55" i="28"/>
  <c r="AG54" i="28" s="1"/>
  <c r="AH55" i="28"/>
  <c r="AH54" i="28" s="1"/>
  <c r="AI55" i="28"/>
  <c r="AI54" i="28" s="1"/>
  <c r="AJ55" i="28"/>
  <c r="AJ54" i="28" s="1"/>
  <c r="AK55" i="28"/>
  <c r="AK54" i="28" s="1"/>
  <c r="AL55" i="28"/>
  <c r="AL54" i="28" s="1"/>
  <c r="AM55" i="28"/>
  <c r="AM54" i="28" s="1"/>
  <c r="AN55" i="28"/>
  <c r="AN54" i="28" s="1"/>
  <c r="AO55" i="28"/>
  <c r="AO54" i="28" s="1"/>
  <c r="AP55" i="28"/>
  <c r="AP54" i="28" s="1"/>
  <c r="AE55" i="28"/>
  <c r="AE54" i="28" s="1"/>
  <c r="T55" i="28"/>
  <c r="T54" i="28" s="1"/>
  <c r="U55" i="28"/>
  <c r="U54" i="28" s="1"/>
  <c r="V55" i="28"/>
  <c r="V54" i="28" s="1"/>
  <c r="W55" i="28"/>
  <c r="W54" i="28" s="1"/>
  <c r="X55" i="28"/>
  <c r="X54" i="28" s="1"/>
  <c r="Y55" i="28"/>
  <c r="Y54" i="28" s="1"/>
  <c r="Z55" i="28"/>
  <c r="Z54" i="28" s="1"/>
  <c r="AA55" i="28"/>
  <c r="AA54" i="28" s="1"/>
  <c r="AB55" i="28"/>
  <c r="AB54" i="28" s="1"/>
  <c r="AC55" i="28"/>
  <c r="AC54" i="28" s="1"/>
  <c r="AD55" i="28"/>
  <c r="AD54" i="28" s="1"/>
  <c r="S55" i="28"/>
  <c r="S54" i="28" s="1"/>
  <c r="H55" i="28"/>
  <c r="H54" i="28" s="1"/>
  <c r="I55" i="28"/>
  <c r="I54" i="28" s="1"/>
  <c r="J55" i="28"/>
  <c r="J54" i="28" s="1"/>
  <c r="K55" i="28"/>
  <c r="K54" i="28" s="1"/>
  <c r="L55" i="28"/>
  <c r="L54" i="28" s="1"/>
  <c r="M55" i="28"/>
  <c r="M54" i="28" s="1"/>
  <c r="N55" i="28"/>
  <c r="N54" i="28" s="1"/>
  <c r="O55" i="28"/>
  <c r="O54" i="28" s="1"/>
  <c r="P55" i="28"/>
  <c r="P54" i="28" s="1"/>
  <c r="Q55" i="28"/>
  <c r="Q54" i="28" s="1"/>
  <c r="R55" i="28"/>
  <c r="R54" i="28" s="1"/>
  <c r="B3" i="43"/>
  <c r="C3" i="43"/>
  <c r="D3" i="43"/>
  <c r="E3" i="43"/>
  <c r="B4" i="43"/>
  <c r="C4" i="43"/>
  <c r="D4" i="43"/>
  <c r="E4" i="43"/>
  <c r="B5" i="43"/>
  <c r="C5" i="43"/>
  <c r="D5" i="43"/>
  <c r="E5" i="43"/>
  <c r="AB826" i="37" l="1"/>
  <c r="Y808" i="37"/>
  <c r="Q808" i="37"/>
  <c r="M803" i="37"/>
  <c r="AA798" i="37"/>
  <c r="AA803" i="37"/>
  <c r="I798" i="37"/>
  <c r="E808" i="37"/>
  <c r="G786" i="37"/>
  <c r="AB786" i="37" s="1"/>
  <c r="G791" i="37"/>
  <c r="W808" i="37"/>
  <c r="K814" i="37"/>
  <c r="U814" i="37"/>
  <c r="U820" i="37" s="1"/>
  <c r="O808" i="37"/>
  <c r="AM28" i="28"/>
  <c r="AM52" i="28" s="1"/>
  <c r="AM46" i="28"/>
  <c r="AJ46" i="28"/>
  <c r="AJ28" i="28"/>
  <c r="AJ52" i="28" s="1"/>
  <c r="AN46" i="28"/>
  <c r="AN28" i="28"/>
  <c r="AN52" i="28" s="1"/>
  <c r="AI28" i="28"/>
  <c r="AI52" i="28" s="1"/>
  <c r="AI46" i="28"/>
  <c r="AO28" i="28"/>
  <c r="AO52" i="28" s="1"/>
  <c r="AO46" i="28"/>
  <c r="AK28" i="28"/>
  <c r="AK52" i="28" s="1"/>
  <c r="AK46" i="28"/>
  <c r="AP46" i="28"/>
  <c r="AP28" i="28"/>
  <c r="AP52" i="28" s="1"/>
  <c r="H23" i="28"/>
  <c r="I7" i="28"/>
  <c r="AE28" i="28"/>
  <c r="AE52" i="28" s="1"/>
  <c r="AE46" i="28"/>
  <c r="AL46" i="28"/>
  <c r="AL28" i="28"/>
  <c r="AL52" i="28" s="1"/>
  <c r="AF46" i="28"/>
  <c r="AF28" i="28"/>
  <c r="AF52" i="28" s="1"/>
  <c r="AG28" i="28"/>
  <c r="AG52" i="28" s="1"/>
  <c r="AG46" i="28"/>
  <c r="AQ24" i="28"/>
  <c r="AH46" i="28"/>
  <c r="AH28" i="28"/>
  <c r="AH52" i="28" s="1"/>
  <c r="AQ25" i="28"/>
  <c r="AQ59" i="28"/>
  <c r="G55" i="28"/>
  <c r="AQ65" i="28"/>
  <c r="AQ66" i="28"/>
  <c r="AQ67" i="28"/>
  <c r="AQ68" i="28"/>
  <c r="AQ52" i="28" l="1"/>
  <c r="AQ46" i="28"/>
  <c r="Y814" i="37"/>
  <c r="Q814" i="37"/>
  <c r="M808" i="37"/>
  <c r="I803" i="37"/>
  <c r="W814" i="37"/>
  <c r="W820" i="37" s="1"/>
  <c r="S798" i="37"/>
  <c r="AB791" i="37"/>
  <c r="S803" i="37"/>
  <c r="K820" i="37"/>
  <c r="K837" i="37" s="1"/>
  <c r="O814" i="37"/>
  <c r="J7" i="28"/>
  <c r="I23" i="28"/>
  <c r="I22" i="28" s="1"/>
  <c r="H22" i="28"/>
  <c r="AQ55" i="28"/>
  <c r="G54" i="28"/>
  <c r="AQ21" i="28"/>
  <c r="Y820" i="37" l="1"/>
  <c r="Q820" i="37"/>
  <c r="I808" i="37"/>
  <c r="I814" i="37" s="1"/>
  <c r="E820" i="37"/>
  <c r="E837" i="37" s="1"/>
  <c r="AA808" i="37"/>
  <c r="AA820" i="37" s="1"/>
  <c r="AA814" i="37"/>
  <c r="G798" i="37"/>
  <c r="G803" i="37" s="1"/>
  <c r="G808" i="37"/>
  <c r="S808" i="37"/>
  <c r="AB803" i="37"/>
  <c r="S814" i="37"/>
  <c r="G814" i="37"/>
  <c r="M814" i="37"/>
  <c r="M820" i="37" s="1"/>
  <c r="M837" i="37" s="1"/>
  <c r="O820" i="37"/>
  <c r="O837" i="37" s="1"/>
  <c r="K7" i="28"/>
  <c r="J23" i="28"/>
  <c r="H51" i="28"/>
  <c r="H50" i="28" s="1"/>
  <c r="G50" i="28"/>
  <c r="I51" i="28"/>
  <c r="I50" i="28" s="1"/>
  <c r="G80" i="28"/>
  <c r="H80" i="28"/>
  <c r="I80" i="28"/>
  <c r="AB798" i="37" l="1"/>
  <c r="AB814" i="37"/>
  <c r="S820" i="37"/>
  <c r="G820" i="37"/>
  <c r="G837" i="37" s="1"/>
  <c r="AB808" i="37"/>
  <c r="I820" i="37"/>
  <c r="I837" i="37" s="1"/>
  <c r="J22" i="28"/>
  <c r="L7" i="28"/>
  <c r="K23" i="28"/>
  <c r="K22" i="28" s="1"/>
  <c r="I81" i="28"/>
  <c r="H81" i="28"/>
  <c r="G20" i="28"/>
  <c r="G53" i="28" s="1"/>
  <c r="S81" i="28"/>
  <c r="H20" i="28"/>
  <c r="R81" i="28"/>
  <c r="T81" i="28"/>
  <c r="I20" i="28"/>
  <c r="AB820" i="37" l="1"/>
  <c r="M7" i="28"/>
  <c r="L23" i="28"/>
  <c r="L22" i="28" s="1"/>
  <c r="J51" i="28"/>
  <c r="J50" i="28" s="1"/>
  <c r="K51" i="28"/>
  <c r="K50" i="28" s="1"/>
  <c r="B35" i="43"/>
  <c r="B33" i="43"/>
  <c r="B32" i="43"/>
  <c r="B31" i="43"/>
  <c r="B30" i="43"/>
  <c r="B29" i="43"/>
  <c r="B21" i="43"/>
  <c r="B20" i="43"/>
  <c r="B19" i="43"/>
  <c r="B18" i="43"/>
  <c r="B17" i="43"/>
  <c r="B16" i="43"/>
  <c r="B9" i="43"/>
  <c r="B15" i="43"/>
  <c r="B11" i="43"/>
  <c r="N7" i="28" l="1"/>
  <c r="M23" i="28"/>
  <c r="K81" i="28"/>
  <c r="J81" i="28"/>
  <c r="J20" i="28"/>
  <c r="U81" i="28"/>
  <c r="K20" i="28"/>
  <c r="V81" i="28"/>
  <c r="L51" i="28"/>
  <c r="L50" i="28" s="1"/>
  <c r="G87" i="28"/>
  <c r="M22" i="28" l="1"/>
  <c r="O7" i="28"/>
  <c r="N23" i="28"/>
  <c r="N22" i="28" s="1"/>
  <c r="W81" i="28"/>
  <c r="L20" i="28"/>
  <c r="L81" i="28"/>
  <c r="P7" i="28" l="1"/>
  <c r="O23" i="28"/>
  <c r="O22" i="28" s="1"/>
  <c r="M51" i="28"/>
  <c r="M50" i="28" s="1"/>
  <c r="N51" i="28"/>
  <c r="N50" i="28" s="1"/>
  <c r="J80" i="28"/>
  <c r="K80" i="28"/>
  <c r="L80" i="28"/>
  <c r="M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AP80" i="28"/>
  <c r="Q7" i="28" l="1"/>
  <c r="P23" i="28"/>
  <c r="P22" i="28" s="1"/>
  <c r="X81" i="28"/>
  <c r="N20" i="28"/>
  <c r="M81" i="28"/>
  <c r="M20" i="28"/>
  <c r="N81" i="28"/>
  <c r="Y81" i="28"/>
  <c r="O51" i="28"/>
  <c r="O50" i="28" s="1"/>
  <c r="I90" i="28"/>
  <c r="J90" i="28"/>
  <c r="K90" i="28"/>
  <c r="L90" i="28"/>
  <c r="M90" i="28"/>
  <c r="N90" i="28"/>
  <c r="O90" i="28"/>
  <c r="P90" i="28"/>
  <c r="Q90" i="28"/>
  <c r="R90" i="28"/>
  <c r="S90" i="28"/>
  <c r="H90" i="28"/>
  <c r="AQ94" i="28"/>
  <c r="AQ87" i="28"/>
  <c r="AQ95" i="28"/>
  <c r="R7" i="28" l="1"/>
  <c r="Q23" i="28"/>
  <c r="Q22" i="28" s="1"/>
  <c r="Z81" i="28"/>
  <c r="O20" i="28"/>
  <c r="O81" i="28"/>
  <c r="P51" i="28"/>
  <c r="P50" i="28" s="1"/>
  <c r="AB90" i="28"/>
  <c r="I91" i="28"/>
  <c r="L91" i="28"/>
  <c r="H91" i="28"/>
  <c r="P91" i="28"/>
  <c r="M91" i="28"/>
  <c r="AA90" i="28"/>
  <c r="Z90" i="28"/>
  <c r="O91" i="28"/>
  <c r="K91" i="28"/>
  <c r="X90" i="28"/>
  <c r="Q91" i="28"/>
  <c r="AE90" i="28"/>
  <c r="AI90" i="28"/>
  <c r="Y90" i="28"/>
  <c r="G91" i="28"/>
  <c r="N91" i="28"/>
  <c r="J91" i="28"/>
  <c r="R91" i="28"/>
  <c r="T90" i="28"/>
  <c r="S85" i="28"/>
  <c r="W90" i="28"/>
  <c r="AD90" i="28"/>
  <c r="V90" i="28"/>
  <c r="AC90" i="28"/>
  <c r="U90" i="28"/>
  <c r="H85" i="28"/>
  <c r="I85" i="28"/>
  <c r="J85" i="28"/>
  <c r="K85" i="28"/>
  <c r="L85" i="28"/>
  <c r="M85" i="28"/>
  <c r="N85" i="28"/>
  <c r="O85" i="28"/>
  <c r="P85" i="28"/>
  <c r="Q85" i="28"/>
  <c r="R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AP85" i="28"/>
  <c r="G85" i="28"/>
  <c r="AQ86" i="28"/>
  <c r="S7" i="28" l="1"/>
  <c r="R23" i="28"/>
  <c r="R22" i="28" s="1"/>
  <c r="P81" i="28"/>
  <c r="P20" i="28"/>
  <c r="AA81" i="28"/>
  <c r="Q51" i="28"/>
  <c r="Q50" i="28" s="1"/>
  <c r="G88" i="28"/>
  <c r="AK91" i="28"/>
  <c r="AC91" i="28"/>
  <c r="AH91" i="28"/>
  <c r="E30" i="43"/>
  <c r="AD91" i="28"/>
  <c r="AF91" i="28"/>
  <c r="C30" i="43"/>
  <c r="S91" i="28"/>
  <c r="D30" i="43"/>
  <c r="V91" i="28"/>
  <c r="U91" i="28"/>
  <c r="X91" i="28"/>
  <c r="Z91" i="28"/>
  <c r="Y91" i="28"/>
  <c r="AM90" i="28"/>
  <c r="AK90" i="28"/>
  <c r="AG90" i="28"/>
  <c r="AP90" i="28"/>
  <c r="AO90" i="28"/>
  <c r="AI91" i="28"/>
  <c r="AO91" i="28"/>
  <c r="AH90" i="28"/>
  <c r="AJ90" i="28"/>
  <c r="AJ91" i="28"/>
  <c r="AL90" i="28"/>
  <c r="AN90" i="28"/>
  <c r="AN91" i="28"/>
  <c r="T7" i="28" l="1"/>
  <c r="S23" i="28"/>
  <c r="S22" i="28" s="1"/>
  <c r="Q81" i="28"/>
  <c r="AB81" i="28"/>
  <c r="Q20" i="28"/>
  <c r="AF90" i="28"/>
  <c r="AQ90" i="28" s="1"/>
  <c r="AE91" i="28"/>
  <c r="T91" i="28"/>
  <c r="W91" i="28"/>
  <c r="AA91" i="28"/>
  <c r="AB91" i="28"/>
  <c r="AP91" i="28"/>
  <c r="AG91" i="28"/>
  <c r="AL91" i="28"/>
  <c r="AM91" i="28"/>
  <c r="F30" i="43"/>
  <c r="AQ37" i="28"/>
  <c r="U7" i="28" l="1"/>
  <c r="T23" i="28"/>
  <c r="T22" i="28" s="1"/>
  <c r="T51" i="28"/>
  <c r="T50" i="28" s="1"/>
  <c r="R51" i="28"/>
  <c r="R50" i="28" s="1"/>
  <c r="AQ91" i="28"/>
  <c r="AQ49" i="28"/>
  <c r="AQ45" i="28"/>
  <c r="V7" i="28" l="1"/>
  <c r="U23" i="28"/>
  <c r="U22" i="28" s="1"/>
  <c r="T20" i="28"/>
  <c r="AE81" i="28"/>
  <c r="U51" i="28"/>
  <c r="U50" i="28" s="1"/>
  <c r="S51" i="28"/>
  <c r="S50" i="28" s="1"/>
  <c r="AC81" i="28"/>
  <c r="R20" i="28"/>
  <c r="W7" i="28" l="1"/>
  <c r="V23" i="28"/>
  <c r="V22" i="28" s="1"/>
  <c r="U20" i="28"/>
  <c r="AF81" i="28"/>
  <c r="AD81" i="28"/>
  <c r="S20" i="28"/>
  <c r="X7" i="28" l="1"/>
  <c r="W23" i="28"/>
  <c r="W22" i="28" s="1"/>
  <c r="V51" i="28"/>
  <c r="V50" i="28" s="1"/>
  <c r="Y7" i="28" l="1"/>
  <c r="X23" i="28"/>
  <c r="X22" i="28" s="1"/>
  <c r="V20" i="28"/>
  <c r="AG81" i="28"/>
  <c r="X51" i="28"/>
  <c r="X50" i="28" s="1"/>
  <c r="W51" i="28"/>
  <c r="W50" i="28" s="1"/>
  <c r="Z7" i="28" l="1"/>
  <c r="Y23" i="28"/>
  <c r="Y22" i="28" s="1"/>
  <c r="W20" i="28"/>
  <c r="AI81" i="28"/>
  <c r="X20" i="28"/>
  <c r="AH81" i="28"/>
  <c r="AA7" i="28" l="1"/>
  <c r="Z23" i="28"/>
  <c r="Z22" i="28" s="1"/>
  <c r="Z51" i="28" s="1"/>
  <c r="Z50" i="28" s="1"/>
  <c r="Y51" i="28"/>
  <c r="Y50" i="28" s="1"/>
  <c r="AB7" i="28" l="1"/>
  <c r="AA23" i="28"/>
  <c r="AA22" i="28" s="1"/>
  <c r="AA51" i="28"/>
  <c r="AA50" i="28" s="1"/>
  <c r="AK81" i="28"/>
  <c r="Z20" i="28"/>
  <c r="AJ81" i="28"/>
  <c r="Y20" i="28"/>
  <c r="AC7" i="28" l="1"/>
  <c r="AB23" i="28"/>
  <c r="AB22" i="28" s="1"/>
  <c r="AL81" i="28"/>
  <c r="AA20" i="28"/>
  <c r="AB51" i="28"/>
  <c r="AB50" i="28" s="1"/>
  <c r="AD7" i="28" l="1"/>
  <c r="AC23" i="28"/>
  <c r="AC22" i="28" s="1"/>
  <c r="AB20" i="28"/>
  <c r="AC51" i="28"/>
  <c r="AC50" i="28" s="1"/>
  <c r="AM81" i="28"/>
  <c r="AE7" i="28" l="1"/>
  <c r="AD23" i="28"/>
  <c r="AD22" i="28" s="1"/>
  <c r="AN81" i="28"/>
  <c r="AC20" i="28"/>
  <c r="AF7" i="28" l="1"/>
  <c r="AE23" i="28"/>
  <c r="AE22" i="28" s="1"/>
  <c r="AG7" i="28" l="1"/>
  <c r="AF23" i="28"/>
  <c r="AF22" i="28" s="1"/>
  <c r="AF51" i="28" s="1"/>
  <c r="AF50" i="28" s="1"/>
  <c r="AF20" i="28"/>
  <c r="AE51" i="28"/>
  <c r="AE50" i="28" s="1"/>
  <c r="AD51" i="28"/>
  <c r="AD50" i="28" s="1"/>
  <c r="AH7" i="28" l="1"/>
  <c r="AG23" i="28"/>
  <c r="AG22" i="28" s="1"/>
  <c r="AE20" i="28"/>
  <c r="AP81" i="28"/>
  <c r="AO81" i="28"/>
  <c r="AD20" i="28"/>
  <c r="AI7" i="28" l="1"/>
  <c r="AH23" i="28"/>
  <c r="AH22" i="28" s="1"/>
  <c r="D16" i="43"/>
  <c r="AJ7" i="28" l="1"/>
  <c r="AI23" i="28"/>
  <c r="AI22" i="28" s="1"/>
  <c r="E16" i="43"/>
  <c r="F16" i="43" s="1"/>
  <c r="AK7" i="28" l="1"/>
  <c r="AJ23" i="28"/>
  <c r="AJ22" i="28" s="1"/>
  <c r="G79" i="28"/>
  <c r="G2" i="28"/>
  <c r="H2" i="28"/>
  <c r="I2" i="28"/>
  <c r="J2" i="28"/>
  <c r="K2" i="28"/>
  <c r="L2" i="28"/>
  <c r="M2" i="28"/>
  <c r="N2" i="28"/>
  <c r="O2" i="28"/>
  <c r="P2" i="28"/>
  <c r="Q2" i="28"/>
  <c r="R2" i="28"/>
  <c r="AL7" i="28" l="1"/>
  <c r="AK23" i="28"/>
  <c r="AK22" i="28" s="1"/>
  <c r="H89" i="28"/>
  <c r="AM7" i="28" l="1"/>
  <c r="AL23" i="28"/>
  <c r="AL22" i="28" s="1"/>
  <c r="C20" i="43"/>
  <c r="I93" i="28"/>
  <c r="Q93" i="28"/>
  <c r="R93" i="28"/>
  <c r="J93" i="28"/>
  <c r="O93" i="28"/>
  <c r="K93" i="28"/>
  <c r="M93" i="28"/>
  <c r="H93" i="28"/>
  <c r="L93" i="28"/>
  <c r="P93" i="28"/>
  <c r="N93" i="28"/>
  <c r="G93" i="28"/>
  <c r="I89" i="28"/>
  <c r="I88" i="28" s="1"/>
  <c r="H88" i="28"/>
  <c r="AN7" i="28" l="1"/>
  <c r="AM23" i="28"/>
  <c r="AM22" i="28" s="1"/>
  <c r="G83" i="28"/>
  <c r="C34" i="43"/>
  <c r="C33" i="43" s="1"/>
  <c r="J89" i="28"/>
  <c r="H84" i="28"/>
  <c r="I84" i="28"/>
  <c r="AO7" i="28" l="1"/>
  <c r="AN23" i="28"/>
  <c r="AN22" i="28" s="1"/>
  <c r="J88" i="28"/>
  <c r="G84" i="28"/>
  <c r="I79" i="28"/>
  <c r="H79" i="28"/>
  <c r="I92" i="28"/>
  <c r="I83" i="28" s="1"/>
  <c r="G96" i="28"/>
  <c r="AP7" i="28" l="1"/>
  <c r="AP23" i="28" s="1"/>
  <c r="AO23" i="28"/>
  <c r="AO22" i="28" s="1"/>
  <c r="L89" i="28"/>
  <c r="L88" i="28" s="1"/>
  <c r="K89" i="28"/>
  <c r="H92" i="28"/>
  <c r="J79" i="28"/>
  <c r="H53" i="28"/>
  <c r="G70" i="28"/>
  <c r="J92" i="28"/>
  <c r="J83" i="28" s="1"/>
  <c r="I96" i="28"/>
  <c r="K79" i="28"/>
  <c r="G98" i="28"/>
  <c r="H97" i="28" s="1"/>
  <c r="AP22" i="28" l="1"/>
  <c r="AQ23" i="28"/>
  <c r="H83" i="28"/>
  <c r="H70" i="28"/>
  <c r="H74" i="28" s="1"/>
  <c r="H76" i="28" s="1"/>
  <c r="H77" i="28" s="1"/>
  <c r="K88" i="28"/>
  <c r="K84" i="28" s="1"/>
  <c r="M89" i="28"/>
  <c r="M88" i="28" s="1"/>
  <c r="J96" i="28"/>
  <c r="G74" i="28"/>
  <c r="G76" i="28" s="1"/>
  <c r="I53" i="28"/>
  <c r="I70" i="28" l="1"/>
  <c r="I74" i="28" s="1"/>
  <c r="I76" i="28" s="1"/>
  <c r="N89" i="28"/>
  <c r="J84" i="28"/>
  <c r="H96" i="28"/>
  <c r="G77" i="28"/>
  <c r="K92" i="28"/>
  <c r="L79" i="28"/>
  <c r="J53" i="28"/>
  <c r="J70" i="28" s="1"/>
  <c r="L92" i="28"/>
  <c r="L83" i="28" s="1"/>
  <c r="M79" i="28"/>
  <c r="K83" i="28" l="1"/>
  <c r="N88" i="28"/>
  <c r="O89" i="28"/>
  <c r="O88" i="28" s="1"/>
  <c r="M84" i="28"/>
  <c r="H98" i="28"/>
  <c r="I97" i="28" s="1"/>
  <c r="I98" i="28" s="1"/>
  <c r="J97" i="28" s="1"/>
  <c r="J98" i="28" s="1"/>
  <c r="K97" i="28" s="1"/>
  <c r="C11" i="43"/>
  <c r="I77" i="28"/>
  <c r="K53" i="28"/>
  <c r="K70" i="28" s="1"/>
  <c r="J74" i="28"/>
  <c r="M92" i="28"/>
  <c r="M83" i="28" s="1"/>
  <c r="P89" i="28" l="1"/>
  <c r="M96" i="28"/>
  <c r="L84" i="28"/>
  <c r="L96" i="28"/>
  <c r="K96" i="28"/>
  <c r="K74" i="28"/>
  <c r="K76" i="28" s="1"/>
  <c r="O79" i="28"/>
  <c r="L53" i="28"/>
  <c r="L70" i="28" s="1"/>
  <c r="J76" i="28"/>
  <c r="N92" i="28"/>
  <c r="N83" i="28" s="1"/>
  <c r="P88" i="28" l="1"/>
  <c r="Q89" i="28"/>
  <c r="Q88" i="28" s="1"/>
  <c r="N84" i="28"/>
  <c r="O84" i="28"/>
  <c r="K98" i="28"/>
  <c r="L97" i="28" s="1"/>
  <c r="L98" i="28" s="1"/>
  <c r="M97" i="28" s="1"/>
  <c r="M98" i="28" s="1"/>
  <c r="N97" i="28" s="1"/>
  <c r="L74" i="28"/>
  <c r="L76" i="28" s="1"/>
  <c r="J77" i="28"/>
  <c r="P79" i="28"/>
  <c r="M53" i="28"/>
  <c r="M70" i="28" s="1"/>
  <c r="R89" i="28" l="1"/>
  <c r="R88" i="28" s="1"/>
  <c r="M74" i="28"/>
  <c r="M76" i="28" s="1"/>
  <c r="O92" i="28"/>
  <c r="K77" i="28"/>
  <c r="L77" i="28" s="1"/>
  <c r="P92" i="28"/>
  <c r="P83" i="28" s="1"/>
  <c r="O83" i="28" l="1"/>
  <c r="C17" i="43"/>
  <c r="S89" i="28"/>
  <c r="S88" i="28" s="1"/>
  <c r="P96" i="28"/>
  <c r="Q84" i="28"/>
  <c r="P84" i="28"/>
  <c r="M77" i="28"/>
  <c r="C27" i="43"/>
  <c r="Q79" i="28"/>
  <c r="O53" i="28"/>
  <c r="O70" i="28" s="1"/>
  <c r="Q92" i="28"/>
  <c r="Q83" i="28" s="1"/>
  <c r="T89" i="28" l="1"/>
  <c r="T88" i="28" s="1"/>
  <c r="Q96" i="28"/>
  <c r="R79" i="28"/>
  <c r="O96" i="28"/>
  <c r="P53" i="28"/>
  <c r="R92" i="28"/>
  <c r="O74" i="28"/>
  <c r="O76" i="28" s="1"/>
  <c r="R83" i="28" l="1"/>
  <c r="C32" i="43"/>
  <c r="P70" i="28"/>
  <c r="P74" i="28" s="1"/>
  <c r="P76" i="28" s="1"/>
  <c r="U89" i="28"/>
  <c r="U88" i="28" s="1"/>
  <c r="R84" i="28"/>
  <c r="C31" i="43"/>
  <c r="C29" i="43" s="1"/>
  <c r="S79" i="28"/>
  <c r="C9" i="43"/>
  <c r="Q53" i="28"/>
  <c r="Q70" i="28" l="1"/>
  <c r="Q74" i="28" s="1"/>
  <c r="Q76" i="28" s="1"/>
  <c r="V89" i="28"/>
  <c r="V88" i="28" s="1"/>
  <c r="T79" i="28"/>
  <c r="C28" i="43"/>
  <c r="S92" i="28"/>
  <c r="C18" i="43"/>
  <c r="C15" i="43" s="1"/>
  <c r="R53" i="28"/>
  <c r="R70" i="28" s="1"/>
  <c r="W89" i="28" l="1"/>
  <c r="W88" i="28" s="1"/>
  <c r="T84" i="28"/>
  <c r="U84" i="28"/>
  <c r="U79" i="28"/>
  <c r="R74" i="28"/>
  <c r="R76" i="28" s="1"/>
  <c r="T92" i="28"/>
  <c r="R96" i="28"/>
  <c r="U92" i="28"/>
  <c r="R77" i="28" l="1"/>
  <c r="C22" i="43" s="1"/>
  <c r="X89" i="28"/>
  <c r="X88" i="28" s="1"/>
  <c r="V84" i="28"/>
  <c r="V79" i="28"/>
  <c r="T53" i="28"/>
  <c r="W79" i="28" l="1"/>
  <c r="Y89" i="28"/>
  <c r="Y88" i="28" s="1"/>
  <c r="V92" i="28"/>
  <c r="U53" i="28"/>
  <c r="W92" i="28"/>
  <c r="Z89" i="28" l="1"/>
  <c r="Z88" i="28" s="1"/>
  <c r="W84" i="28"/>
  <c r="X84" i="28"/>
  <c r="X79" i="28"/>
  <c r="V53" i="28"/>
  <c r="X92" i="28"/>
  <c r="AA89" i="28" l="1"/>
  <c r="AA88" i="28" s="1"/>
  <c r="Y84" i="28"/>
  <c r="Y79" i="28"/>
  <c r="D11" i="43"/>
  <c r="Z79" i="28"/>
  <c r="W53" i="28"/>
  <c r="Y92" i="28"/>
  <c r="AB89" i="28" l="1"/>
  <c r="AB88" i="28" s="1"/>
  <c r="Z84" i="28"/>
  <c r="X53" i="28"/>
  <c r="Z92" i="28"/>
  <c r="AC89" i="28" l="1"/>
  <c r="AC88" i="28" s="1"/>
  <c r="AA84" i="28"/>
  <c r="AA79" i="28"/>
  <c r="Y53" i="28"/>
  <c r="AA92" i="28"/>
  <c r="AD89" i="28" l="1"/>
  <c r="AD88" i="28" s="1"/>
  <c r="AB79" i="28"/>
  <c r="Z53" i="28"/>
  <c r="AB92" i="28"/>
  <c r="AB84" i="28" l="1"/>
  <c r="AC84" i="28"/>
  <c r="AC79" i="28"/>
  <c r="AA53" i="28"/>
  <c r="AC92" i="28"/>
  <c r="AF89" i="28" l="1"/>
  <c r="AF88" i="28" s="1"/>
  <c r="AE89" i="28"/>
  <c r="AE88" i="28" s="1"/>
  <c r="AD79" i="28"/>
  <c r="D27" i="43"/>
  <c r="AB53" i="28"/>
  <c r="AD92" i="28"/>
  <c r="AG89" i="28" l="1"/>
  <c r="AG88" i="28" s="1"/>
  <c r="AD84" i="28"/>
  <c r="AE79" i="28"/>
  <c r="D9" i="43"/>
  <c r="D32" i="43"/>
  <c r="AC53" i="28"/>
  <c r="AH89" i="28" l="1"/>
  <c r="AH88" i="28" s="1"/>
  <c r="AE84" i="28"/>
  <c r="AF79" i="28"/>
  <c r="AE92" i="28"/>
  <c r="D18" i="43"/>
  <c r="AD53" i="28"/>
  <c r="AI89" i="28" l="1"/>
  <c r="AI88" i="28" s="1"/>
  <c r="AG79" i="28"/>
  <c r="AF84" i="28"/>
  <c r="AF92" i="28"/>
  <c r="AE53" i="28"/>
  <c r="E19" i="43" s="1"/>
  <c r="AG92" i="28"/>
  <c r="AJ89" i="28" l="1"/>
  <c r="AJ88" i="28" s="1"/>
  <c r="AG84" i="28"/>
  <c r="AH84" i="28"/>
  <c r="AH79" i="28"/>
  <c r="AF53" i="28"/>
  <c r="AI79" i="28"/>
  <c r="AK89" i="28" l="1"/>
  <c r="AK88" i="28" s="1"/>
  <c r="AL89" i="28"/>
  <c r="AL88" i="28" s="1"/>
  <c r="AI84" i="28"/>
  <c r="AJ79" i="28"/>
  <c r="AK79" i="28"/>
  <c r="AQ75" i="28"/>
  <c r="AM89" i="28" l="1"/>
  <c r="AM88" i="28" s="1"/>
  <c r="AJ84" i="28"/>
  <c r="AK84" i="28"/>
  <c r="AQ73" i="28"/>
  <c r="AQ72" i="28"/>
  <c r="AQ71" i="28"/>
  <c r="AP2" i="28"/>
  <c r="AO2" i="28"/>
  <c r="AN2" i="28"/>
  <c r="AM2" i="28"/>
  <c r="AL2" i="28"/>
  <c r="AK2" i="28"/>
  <c r="AJ2" i="28"/>
  <c r="AI2" i="28"/>
  <c r="AH2" i="28"/>
  <c r="AG2" i="28"/>
  <c r="AF2" i="28"/>
  <c r="AE2" i="28"/>
  <c r="AD2" i="28"/>
  <c r="AC2" i="28"/>
  <c r="AB2" i="28"/>
  <c r="AA2" i="28"/>
  <c r="Z2" i="28"/>
  <c r="Y2" i="28"/>
  <c r="X2" i="28"/>
  <c r="W2" i="28"/>
  <c r="V2" i="28"/>
  <c r="U2" i="28"/>
  <c r="T2" i="28"/>
  <c r="S2" i="28"/>
  <c r="AN89" i="28" l="1"/>
  <c r="AN88" i="28" s="1"/>
  <c r="AL84" i="28"/>
  <c r="AL79" i="28"/>
  <c r="AM79" i="28"/>
  <c r="AQ62" i="28"/>
  <c r="AQ63" i="28"/>
  <c r="AM84" i="28" l="1"/>
  <c r="AP89" i="28" l="1"/>
  <c r="AO89" i="28"/>
  <c r="AO88" i="28" s="1"/>
  <c r="AN79" i="28"/>
  <c r="AO79" i="28"/>
  <c r="AP88" i="28" l="1"/>
  <c r="AQ89" i="28"/>
  <c r="AN84" i="28"/>
  <c r="AO84" i="28"/>
  <c r="E27" i="43"/>
  <c r="E17" i="43" l="1"/>
  <c r="F27" i="43"/>
  <c r="AP79" i="28"/>
  <c r="AQ82" i="28"/>
  <c r="AP84" i="28" l="1"/>
  <c r="E31" i="43"/>
  <c r="E29" i="43" s="1"/>
  <c r="E20" i="6"/>
  <c r="E19" i="6"/>
  <c r="E18" i="6"/>
  <c r="E21" i="6"/>
  <c r="C20" i="6"/>
  <c r="C21" i="6" s="1"/>
  <c r="F12" i="6"/>
  <c r="G12" i="6" s="1"/>
  <c r="I12" i="6" s="1"/>
  <c r="E13" i="6"/>
  <c r="F13" i="6" s="1"/>
  <c r="G13" i="6" s="1"/>
  <c r="F17" i="6"/>
  <c r="G17" i="6" s="1"/>
  <c r="C18" i="6"/>
  <c r="C19" i="6"/>
  <c r="F19" i="6" s="1"/>
  <c r="G19" i="6" s="1"/>
  <c r="E22" i="6"/>
  <c r="F22" i="6" s="1"/>
  <c r="G22" i="6" s="1"/>
  <c r="E23" i="6"/>
  <c r="F23" i="6" s="1"/>
  <c r="G23" i="6" s="1"/>
  <c r="E24" i="6"/>
  <c r="F24" i="6" s="1"/>
  <c r="G24" i="6" s="1"/>
  <c r="I24" i="6" s="1"/>
  <c r="J24" i="6" s="1"/>
  <c r="E25" i="6"/>
  <c r="F25" i="6" s="1"/>
  <c r="G25" i="6" s="1"/>
  <c r="E26" i="6"/>
  <c r="F26" i="6" s="1"/>
  <c r="G26" i="6" s="1"/>
  <c r="E27" i="6"/>
  <c r="F27" i="6" s="1"/>
  <c r="G27" i="6" s="1"/>
  <c r="F28" i="6"/>
  <c r="G28" i="6" s="1"/>
  <c r="I28" i="6" s="1"/>
  <c r="J28" i="6" s="1"/>
  <c r="E29" i="6"/>
  <c r="F29" i="6" s="1"/>
  <c r="G29" i="6" s="1"/>
  <c r="F30" i="6"/>
  <c r="G30" i="6" s="1"/>
  <c r="I30" i="6" s="1"/>
  <c r="J30" i="6" s="1"/>
  <c r="E31" i="6"/>
  <c r="F31" i="6" s="1"/>
  <c r="G31" i="6" s="1"/>
  <c r="E32" i="6"/>
  <c r="F32" i="6" s="1"/>
  <c r="G32" i="6" s="1"/>
  <c r="F33" i="6"/>
  <c r="G33" i="6" s="1"/>
  <c r="F34" i="6"/>
  <c r="G34" i="6" s="1"/>
  <c r="I34" i="6" s="1"/>
  <c r="J34" i="6" s="1"/>
  <c r="D37" i="6"/>
  <c r="C36" i="6"/>
  <c r="B10" i="6"/>
  <c r="F18" i="6" l="1"/>
  <c r="G18" i="6" s="1"/>
  <c r="I18" i="6" s="1"/>
  <c r="J18" i="6" s="1"/>
  <c r="F21" i="6"/>
  <c r="G21" i="6" s="1"/>
  <c r="I21" i="6" s="1"/>
  <c r="J21" i="6" s="1"/>
  <c r="I27" i="6"/>
  <c r="J27" i="6" s="1"/>
  <c r="I32" i="6"/>
  <c r="J32" i="6" s="1"/>
  <c r="J12" i="6"/>
  <c r="G35" i="6"/>
  <c r="I13" i="6"/>
  <c r="J13" i="6" s="1"/>
  <c r="I31" i="6"/>
  <c r="J31" i="6" s="1"/>
  <c r="I26" i="6"/>
  <c r="J26" i="6" s="1"/>
  <c r="I33" i="6"/>
  <c r="J33" i="6" s="1"/>
  <c r="I22" i="6"/>
  <c r="J22" i="6" s="1"/>
  <c r="I29" i="6"/>
  <c r="J29" i="6" s="1"/>
  <c r="I19" i="6"/>
  <c r="J19" i="6" s="1"/>
  <c r="I17" i="6"/>
  <c r="J17" i="6" s="1"/>
  <c r="I25" i="6"/>
  <c r="J25" i="6" s="1"/>
  <c r="I23" i="6"/>
  <c r="J23" i="6" s="1"/>
  <c r="F20" i="6"/>
  <c r="G20" i="6" s="1"/>
  <c r="AQ32" i="28" l="1"/>
  <c r="I35" i="6"/>
  <c r="J35" i="6"/>
  <c r="AQ31" i="28"/>
  <c r="G5" i="6"/>
  <c r="H20" i="6" s="1"/>
  <c r="I20" i="6"/>
  <c r="J20" i="6" s="1"/>
  <c r="AQ30" i="28" l="1"/>
  <c r="AQ29" i="28"/>
  <c r="H30" i="6"/>
  <c r="H34" i="6"/>
  <c r="H12" i="6"/>
  <c r="H27" i="6"/>
  <c r="H13" i="6"/>
  <c r="H22" i="6"/>
  <c r="H17" i="6"/>
  <c r="H33" i="6"/>
  <c r="H23" i="6"/>
  <c r="H25" i="6"/>
  <c r="H32" i="6"/>
  <c r="H21" i="6"/>
  <c r="H29" i="6"/>
  <c r="H31" i="6"/>
  <c r="H19" i="6"/>
  <c r="H18" i="6"/>
  <c r="H28" i="6"/>
  <c r="H26" i="6"/>
  <c r="H24" i="6"/>
  <c r="H35" i="6"/>
  <c r="F36" i="6"/>
  <c r="F37" i="6" s="1"/>
  <c r="F38" i="6" s="1"/>
  <c r="F39" i="6" s="1"/>
  <c r="I5" i="6"/>
  <c r="AQ85" i="28" l="1"/>
  <c r="S93" i="28" l="1"/>
  <c r="S83" i="28" s="1"/>
  <c r="T70" i="28"/>
  <c r="T93" i="28" l="1"/>
  <c r="T83" i="28" s="1"/>
  <c r="T74" i="28"/>
  <c r="T76" i="28" s="1"/>
  <c r="U70" i="28" l="1"/>
  <c r="U74" i="28" s="1"/>
  <c r="U76" i="28" s="1"/>
  <c r="T96" i="28"/>
  <c r="U93" i="28"/>
  <c r="U83" i="28" s="1"/>
  <c r="V70" i="28"/>
  <c r="U96" i="28" l="1"/>
  <c r="V74" i="28"/>
  <c r="V76" i="28" s="1"/>
  <c r="V93" i="28"/>
  <c r="V83" i="28" s="1"/>
  <c r="W70" i="28" l="1"/>
  <c r="W74" i="28" s="1"/>
  <c r="W76" i="28" s="1"/>
  <c r="W93" i="28"/>
  <c r="W83" i="28" s="1"/>
  <c r="V96" i="28"/>
  <c r="X70" i="28"/>
  <c r="W96" i="28" l="1"/>
  <c r="X93" i="28"/>
  <c r="X83" i="28" s="1"/>
  <c r="X74" i="28"/>
  <c r="X76" i="28" s="1"/>
  <c r="Y70" i="28" l="1"/>
  <c r="Y74" i="28" s="1"/>
  <c r="Y76" i="28" s="1"/>
  <c r="Y93" i="28"/>
  <c r="Y83" i="28" s="1"/>
  <c r="X96" i="28"/>
  <c r="Z70" i="28"/>
  <c r="Y96" i="28" l="1"/>
  <c r="Z93" i="28"/>
  <c r="Z83" i="28" s="1"/>
  <c r="Z74" i="28"/>
  <c r="Z76" i="28" s="1"/>
  <c r="AA70" i="28"/>
  <c r="AA93" i="28" l="1"/>
  <c r="AA83" i="28" s="1"/>
  <c r="Z96" i="28"/>
  <c r="AA74" i="28"/>
  <c r="AA76" i="28" s="1"/>
  <c r="AB70" i="28"/>
  <c r="AA96" i="28" l="1"/>
  <c r="AB93" i="28"/>
  <c r="AB83" i="28" s="1"/>
  <c r="AB74" i="28"/>
  <c r="AB76" i="28" s="1"/>
  <c r="AC70" i="28"/>
  <c r="AB96" i="28" l="1"/>
  <c r="AC93" i="28"/>
  <c r="AC83" i="28" s="1"/>
  <c r="AC74" i="28"/>
  <c r="AC76" i="28" s="1"/>
  <c r="AD70" i="28" l="1"/>
  <c r="AD74" i="28" s="1"/>
  <c r="AD76" i="28" s="1"/>
  <c r="D20" i="43"/>
  <c r="AC96" i="28"/>
  <c r="AD93" i="28"/>
  <c r="AD83" i="28" s="1"/>
  <c r="AE70" i="28" l="1"/>
  <c r="AE74" i="28" s="1"/>
  <c r="AE76" i="28" s="1"/>
  <c r="AD96" i="28"/>
  <c r="D34" i="43"/>
  <c r="AE93" i="28"/>
  <c r="AE83" i="28" s="1"/>
  <c r="AF70" i="28"/>
  <c r="AE96" i="28" l="1"/>
  <c r="D33" i="43"/>
  <c r="AF93" i="28"/>
  <c r="AF83" i="28" s="1"/>
  <c r="AF74" i="28"/>
  <c r="AF76" i="28" s="1"/>
  <c r="AF96" i="28" l="1"/>
  <c r="AG93" i="28"/>
  <c r="AG83" i="28" s="1"/>
  <c r="AG96" i="28" l="1"/>
  <c r="AH93" i="28"/>
  <c r="AI93" i="28" l="1"/>
  <c r="AJ93" i="28" l="1"/>
  <c r="AK93" i="28" l="1"/>
  <c r="AL93" i="28" l="1"/>
  <c r="AM93" i="28" l="1"/>
  <c r="AN93" i="28" l="1"/>
  <c r="E20" i="43" l="1"/>
  <c r="F20" i="43" s="1"/>
  <c r="AP93" i="28"/>
  <c r="AQ54" i="28"/>
  <c r="AO93" i="28"/>
  <c r="E34" i="43" l="1"/>
  <c r="AQ93" i="28"/>
  <c r="E33" i="43" l="1"/>
  <c r="F34" i="43"/>
  <c r="F33" i="43" l="1"/>
  <c r="AQ81" i="28"/>
  <c r="AQ34" i="28" l="1"/>
  <c r="D17" i="43" l="1"/>
  <c r="D15" i="43" s="1"/>
  <c r="AQ33" i="28"/>
  <c r="AQ88" i="28" l="1"/>
  <c r="S84" i="28"/>
  <c r="AQ84" i="28" s="1"/>
  <c r="D31" i="43"/>
  <c r="AQ28" i="28"/>
  <c r="S53" i="28"/>
  <c r="F17" i="43"/>
  <c r="S70" i="28" l="1"/>
  <c r="D19" i="43"/>
  <c r="D29" i="43"/>
  <c r="F31" i="43"/>
  <c r="S96" i="28"/>
  <c r="S74" i="28" l="1"/>
  <c r="D35" i="43"/>
  <c r="D28" i="43"/>
  <c r="F29" i="43"/>
  <c r="S76" i="28" l="1"/>
  <c r="S77" i="28" l="1"/>
  <c r="T77" i="28" s="1"/>
  <c r="U77" i="28" s="1"/>
  <c r="V77" i="28" s="1"/>
  <c r="W77" i="28" s="1"/>
  <c r="X77" i="28" s="1"/>
  <c r="Y77" i="28" s="1"/>
  <c r="Z77" i="28" s="1"/>
  <c r="AA77" i="28" s="1"/>
  <c r="AB77" i="28" s="1"/>
  <c r="AC77" i="28" s="1"/>
  <c r="AD77" i="28" s="1"/>
  <c r="D21" i="43"/>
  <c r="N80" i="28"/>
  <c r="E26" i="43" s="1"/>
  <c r="E25" i="43" s="1"/>
  <c r="AE77" i="28" l="1"/>
  <c r="AF77" i="28" s="1"/>
  <c r="D22" i="43"/>
  <c r="N79" i="28"/>
  <c r="N96" i="28" s="1"/>
  <c r="C26" i="43"/>
  <c r="C25" i="43" s="1"/>
  <c r="N53" i="28"/>
  <c r="AQ80" i="28"/>
  <c r="D26" i="43"/>
  <c r="D25" i="43" s="1"/>
  <c r="C19" i="43" l="1"/>
  <c r="F19" i="43" s="1"/>
  <c r="N70" i="28"/>
  <c r="N74" i="28" s="1"/>
  <c r="AQ79" i="28"/>
  <c r="AR91" i="28" s="1"/>
  <c r="N98" i="28"/>
  <c r="O97" i="28" s="1"/>
  <c r="O98" i="28" s="1"/>
  <c r="P97" i="28" s="1"/>
  <c r="P98" i="28" s="1"/>
  <c r="Q97" i="28" s="1"/>
  <c r="Q98" i="28" s="1"/>
  <c r="R97" i="28" s="1"/>
  <c r="R98" i="28" s="1"/>
  <c r="S97" i="28" s="1"/>
  <c r="S98" i="28" s="1"/>
  <c r="T97" i="28" s="1"/>
  <c r="T98" i="28" s="1"/>
  <c r="U97" i="28" s="1"/>
  <c r="U98" i="28" s="1"/>
  <c r="V97" i="28" s="1"/>
  <c r="V98" i="28" s="1"/>
  <c r="W97" i="28" s="1"/>
  <c r="W98" i="28" s="1"/>
  <c r="X97" i="28" s="1"/>
  <c r="X98" i="28" s="1"/>
  <c r="C35" i="43"/>
  <c r="F25" i="43"/>
  <c r="F26" i="43"/>
  <c r="G27" i="43" l="1"/>
  <c r="AR85" i="28"/>
  <c r="AR93" i="28"/>
  <c r="AR87" i="28"/>
  <c r="AR82" i="28"/>
  <c r="AR86" i="28"/>
  <c r="AR79" i="28"/>
  <c r="AR94" i="28"/>
  <c r="AR95" i="28"/>
  <c r="AR80" i="28"/>
  <c r="AR90" i="28"/>
  <c r="AR89" i="28"/>
  <c r="AR88" i="28"/>
  <c r="AR84" i="28"/>
  <c r="AR81" i="28"/>
  <c r="C36" i="43"/>
  <c r="G31" i="43"/>
  <c r="G33" i="43"/>
  <c r="G29" i="43"/>
  <c r="G30" i="43"/>
  <c r="G25" i="43"/>
  <c r="G26" i="43"/>
  <c r="G34" i="43"/>
  <c r="Y97" i="28"/>
  <c r="Y98" i="28" s="1"/>
  <c r="Z97" i="28" s="1"/>
  <c r="Z98" i="28" s="1"/>
  <c r="AA97" i="28" s="1"/>
  <c r="AA98" i="28" s="1"/>
  <c r="AB97" i="28" s="1"/>
  <c r="AB98" i="28" s="1"/>
  <c r="AC97" i="28" s="1"/>
  <c r="AC98" i="28" s="1"/>
  <c r="AD97" i="28" s="1"/>
  <c r="AD98" i="28" s="1"/>
  <c r="N76" i="28"/>
  <c r="C21" i="43" s="1"/>
  <c r="D36" i="43" l="1"/>
  <c r="AE97" i="28"/>
  <c r="AE98" i="28" s="1"/>
  <c r="AF97" i="28" s="1"/>
  <c r="AF98" i="28" s="1"/>
  <c r="AG97" i="28" s="1"/>
  <c r="AG98" i="28" s="1"/>
  <c r="N77" i="28"/>
  <c r="O77" i="28" s="1"/>
  <c r="P77" i="28" s="1"/>
  <c r="Q77" i="28" s="1"/>
  <c r="AH97" i="28" l="1"/>
  <c r="AH51" i="28" l="1"/>
  <c r="AH50" i="28" s="1"/>
  <c r="AG51" i="28" l="1"/>
  <c r="AG50" i="28" s="1"/>
  <c r="AH20" i="28"/>
  <c r="AI51" i="28"/>
  <c r="AI50" i="28" s="1"/>
  <c r="AG20" i="28" l="1"/>
  <c r="AI20" i="28"/>
  <c r="AI92" i="28"/>
  <c r="AI83" i="28" s="1"/>
  <c r="AI96" i="28" s="1"/>
  <c r="AJ51" i="28"/>
  <c r="AJ50" i="28" s="1"/>
  <c r="AG53" i="28" l="1"/>
  <c r="AG70" i="28" s="1"/>
  <c r="AJ20" i="28"/>
  <c r="AH53" i="28"/>
  <c r="AH70" i="28" s="1"/>
  <c r="AH74" i="28" s="1"/>
  <c r="AH76" i="28" s="1"/>
  <c r="AH92" i="28" l="1"/>
  <c r="AH83" i="28" s="1"/>
  <c r="AH96" i="28" s="1"/>
  <c r="AK51" i="28"/>
  <c r="AK50" i="28" s="1"/>
  <c r="AK92" i="28"/>
  <c r="AK83" i="28" s="1"/>
  <c r="AK96" i="28" s="1"/>
  <c r="AJ92" i="28"/>
  <c r="AI53" i="28"/>
  <c r="AG74" i="28"/>
  <c r="AL51" i="28"/>
  <c r="AL50" i="28" s="1"/>
  <c r="AK20" i="28" l="1"/>
  <c r="AJ53" i="28"/>
  <c r="AJ70" i="28" s="1"/>
  <c r="AJ74" i="28" s="1"/>
  <c r="AJ76" i="28" s="1"/>
  <c r="AJ83" i="28"/>
  <c r="AH98" i="28"/>
  <c r="AI97" i="28" s="1"/>
  <c r="AI98" i="28" s="1"/>
  <c r="AJ97" i="28" s="1"/>
  <c r="AL20" i="28"/>
  <c r="AG76" i="28"/>
  <c r="AI70" i="28"/>
  <c r="AM51" i="28"/>
  <c r="AM50" i="28" s="1"/>
  <c r="AK53" i="28" l="1"/>
  <c r="AK70" i="28" s="1"/>
  <c r="AK74" i="28" s="1"/>
  <c r="AK76" i="28" s="1"/>
  <c r="AM92" i="28"/>
  <c r="AM83" i="28" s="1"/>
  <c r="AM96" i="28" s="1"/>
  <c r="AM20" i="28"/>
  <c r="AG77" i="28"/>
  <c r="AI74" i="28"/>
  <c r="AJ96" i="28"/>
  <c r="AN51" i="28"/>
  <c r="AN50" i="28" s="1"/>
  <c r="AL92" i="28" l="1"/>
  <c r="AL53" i="28"/>
  <c r="AL70" i="28" s="1"/>
  <c r="AL74" i="28" s="1"/>
  <c r="AL76" i="28" s="1"/>
  <c r="AJ98" i="28"/>
  <c r="AK97" i="28" s="1"/>
  <c r="AK98" i="28" s="1"/>
  <c r="AL97" i="28" s="1"/>
  <c r="AN20" i="28"/>
  <c r="AL83" i="28"/>
  <c r="AI76" i="28"/>
  <c r="AH77" i="28"/>
  <c r="AM53" i="28"/>
  <c r="AO51" i="28"/>
  <c r="AO50" i="28" s="1"/>
  <c r="AI77" i="28" l="1"/>
  <c r="AJ77" i="28" s="1"/>
  <c r="AK77" i="28" s="1"/>
  <c r="AL77" i="28" s="1"/>
  <c r="AM70" i="28"/>
  <c r="AO20" i="28"/>
  <c r="AO92" i="28"/>
  <c r="AO83" i="28" s="1"/>
  <c r="AO96" i="28" s="1"/>
  <c r="AL96" i="28"/>
  <c r="AL98" i="28" s="1"/>
  <c r="AN92" i="28"/>
  <c r="AN53" i="28" l="1"/>
  <c r="AN70" i="28" s="1"/>
  <c r="AN74" i="28" s="1"/>
  <c r="AN76" i="28" s="1"/>
  <c r="AO53" i="28"/>
  <c r="AM97" i="28"/>
  <c r="AM98" i="28" s="1"/>
  <c r="AN97" i="28" s="1"/>
  <c r="AM74" i="28"/>
  <c r="AN83" i="28"/>
  <c r="AP51" i="28" l="1"/>
  <c r="AP50" i="28" s="1"/>
  <c r="AO70" i="28"/>
  <c r="AN96" i="28"/>
  <c r="AP92" i="28"/>
  <c r="AM76" i="28"/>
  <c r="E11" i="43" l="1"/>
  <c r="E9" i="43" s="1"/>
  <c r="F9" i="43" s="1"/>
  <c r="G20" i="43" s="1"/>
  <c r="AQ22" i="28"/>
  <c r="AQ35" i="28"/>
  <c r="AP20" i="28"/>
  <c r="AQ20" i="28" s="1"/>
  <c r="AM77" i="28"/>
  <c r="AN77" i="28" s="1"/>
  <c r="AO74" i="28"/>
  <c r="AQ92" i="28"/>
  <c r="AR92" i="28" s="1"/>
  <c r="AP83" i="28"/>
  <c r="E32" i="43"/>
  <c r="AN98" i="28"/>
  <c r="AR41" i="28" l="1"/>
  <c r="AR47" i="28"/>
  <c r="AR39" i="28"/>
  <c r="AR38" i="28"/>
  <c r="AR43" i="28"/>
  <c r="AR40" i="28"/>
  <c r="AR36" i="28"/>
  <c r="AR44" i="28"/>
  <c r="AR57" i="28"/>
  <c r="AR58" i="28"/>
  <c r="AR55" i="28"/>
  <c r="AR46" i="28"/>
  <c r="AR56" i="28"/>
  <c r="AR42" i="28"/>
  <c r="AR48" i="28"/>
  <c r="AR52" i="28"/>
  <c r="AR23" i="28"/>
  <c r="AR24" i="28"/>
  <c r="AR27" i="28"/>
  <c r="AR25" i="28"/>
  <c r="AR26" i="28"/>
  <c r="AR22" i="28"/>
  <c r="AR60" i="28"/>
  <c r="AR61" i="28"/>
  <c r="AR59" i="28"/>
  <c r="F11" i="43"/>
  <c r="G11" i="43" s="1"/>
  <c r="AP53" i="28"/>
  <c r="AQ51" i="28"/>
  <c r="AR51" i="28" s="1"/>
  <c r="AR67" i="28"/>
  <c r="AR29" i="28"/>
  <c r="AR75" i="28"/>
  <c r="AR63" i="28"/>
  <c r="AR73" i="28"/>
  <c r="AR28" i="28"/>
  <c r="AR54" i="28"/>
  <c r="AR34" i="28"/>
  <c r="AR20" i="28"/>
  <c r="AR30" i="28"/>
  <c r="AR71" i="28"/>
  <c r="AR21" i="28"/>
  <c r="AR65" i="28"/>
  <c r="AR68" i="28"/>
  <c r="AR31" i="28"/>
  <c r="AR66" i="28"/>
  <c r="AR72" i="28"/>
  <c r="AR49" i="28"/>
  <c r="AR35" i="28"/>
  <c r="AR33" i="28"/>
  <c r="AR37" i="28"/>
  <c r="AR62" i="28"/>
  <c r="AR32" i="28"/>
  <c r="AR45" i="28"/>
  <c r="G19" i="43"/>
  <c r="G16" i="43"/>
  <c r="G9" i="43"/>
  <c r="G17" i="43"/>
  <c r="AO76" i="28"/>
  <c r="AO77" i="28" s="1"/>
  <c r="AO97" i="28"/>
  <c r="AO98" i="28" s="1"/>
  <c r="AP97" i="28" s="1"/>
  <c r="F32" i="43"/>
  <c r="G32" i="43" s="1"/>
  <c r="E28" i="43"/>
  <c r="F28" i="43" s="1"/>
  <c r="G28" i="43" s="1"/>
  <c r="AP96" i="28"/>
  <c r="AQ83" i="28"/>
  <c r="AR83" i="28" s="1"/>
  <c r="E18" i="43" l="1"/>
  <c r="F18" i="43" s="1"/>
  <c r="G18" i="43" s="1"/>
  <c r="AQ50" i="28"/>
  <c r="AR50" i="28" s="1"/>
  <c r="AP70" i="28"/>
  <c r="AQ53" i="28"/>
  <c r="E35" i="43"/>
  <c r="F35" i="43" s="1"/>
  <c r="G35" i="43" s="1"/>
  <c r="B103" i="28"/>
  <c r="AQ96" i="28"/>
  <c r="B100" i="28" s="1"/>
  <c r="B110" i="28"/>
  <c r="AP98" i="28"/>
  <c r="E15" i="43" l="1"/>
  <c r="F15" i="43" s="1"/>
  <c r="G15" i="43" s="1"/>
  <c r="AR53" i="28"/>
  <c r="AP74" i="28"/>
  <c r="AQ70" i="28"/>
  <c r="AR70" i="28" s="1"/>
  <c r="E36" i="43"/>
  <c r="F36" i="43" s="1"/>
  <c r="B101" i="28"/>
  <c r="B102" i="28" s="1"/>
  <c r="AR96" i="28"/>
  <c r="AP76" i="28" l="1"/>
  <c r="AP77" i="28" s="1"/>
  <c r="AQ74" i="28"/>
  <c r="AR74" i="28" s="1"/>
  <c r="B104" i="28" l="1"/>
  <c r="B105" i="28" s="1"/>
  <c r="AQ76" i="28"/>
  <c r="AR76" i="28" s="1"/>
  <c r="E21" i="43"/>
  <c r="F21" i="43" s="1"/>
  <c r="G21" i="43" s="1"/>
  <c r="B107" i="28" l="1"/>
  <c r="B106" i="28"/>
  <c r="E22" i="43"/>
  <c r="F22" i="43" s="1"/>
  <c r="B108" i="28"/>
  <c r="B109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Amalin H</author>
  </authors>
  <commentList>
    <comment ref="A5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Amalin H:</t>
        </r>
        <r>
          <rPr>
            <sz val="9"/>
            <color indexed="81"/>
            <rFont val="Tahoma"/>
            <family val="2"/>
          </rPr>
          <t xml:space="preserve">
หาก Office อยู่ INET
5,000 บาท/คน/เดือน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5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asus: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รายได้จาก</t>
        </r>
        <r>
          <rPr>
            <sz val="9"/>
            <color rgb="FF000000"/>
            <rFont val="Tahoma"/>
            <family val="2"/>
          </rPr>
          <t xml:space="preserve"> xxx</t>
        </r>
      </text>
    </comment>
    <comment ref="E5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asus: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=</t>
        </r>
        <r>
          <rPr>
            <sz val="9"/>
            <color rgb="FF000000"/>
            <rFont val="Tahoma"/>
            <family val="2"/>
          </rPr>
          <t>จำนวน</t>
        </r>
        <r>
          <rPr>
            <sz val="9"/>
            <color rgb="FF000000"/>
            <rFont val="Tahoma"/>
            <family val="2"/>
          </rPr>
          <t>(Project)*</t>
        </r>
        <r>
          <rPr>
            <sz val="9"/>
            <color rgb="FF000000"/>
            <rFont val="Tahoma"/>
            <family val="2"/>
          </rPr>
          <t>ราคา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Tahoma"/>
            <family val="2"/>
          </rPr>
          <t>ต่องาน</t>
        </r>
        <r>
          <rPr>
            <sz val="9"/>
            <color rgb="FF000000"/>
            <rFont val="Tahoma"/>
            <family val="2"/>
          </rPr>
          <t xml:space="preserve">)
</t>
        </r>
      </text>
    </comment>
    <comment ref="A6" authorId="0" shapeId="0" xr:uid="{00000000-0006-0000-0200-000003000000}">
      <text>
        <r>
          <rPr>
            <b/>
            <sz val="9"/>
            <color rgb="FF000000"/>
            <rFont val="Tahoma"/>
            <family val="2"/>
          </rPr>
          <t>asus: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รายได้จาก</t>
        </r>
        <r>
          <rPr>
            <sz val="9"/>
            <color rgb="FF000000"/>
            <rFont val="Tahoma"/>
            <family val="2"/>
          </rPr>
          <t xml:space="preserve"> xxx</t>
        </r>
      </text>
    </comment>
    <comment ref="E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=จำนวน(Project)*ราคา(ต่องาน)
</t>
        </r>
      </text>
    </comment>
    <comment ref="A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รายได้จาก xxx</t>
        </r>
      </text>
    </comment>
    <comment ref="E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=จำนวน(Project)*ราคา(ต่องาน)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asus:ตำแหน่ง</t>
        </r>
      </text>
    </comment>
    <comment ref="C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=เงินเดือน*จำนวนคน</t>
        </r>
      </text>
    </comment>
    <comment ref="A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asus:ตำแหน่ง</t>
        </r>
      </text>
    </comment>
    <comment ref="C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=เงินเดือน*จำนวนคน</t>
        </r>
      </text>
    </comment>
    <comment ref="A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asus:ตำแหน่ง</t>
        </r>
      </text>
    </comment>
    <comment ref="C7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=เงินเดือน*จำนวนคน</t>
        </r>
      </text>
    </comment>
    <comment ref="A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asus:ตำแหน่ง</t>
        </r>
      </text>
    </comment>
    <comment ref="C8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=เงินเดือน*จำนวนคน</t>
        </r>
      </text>
    </comment>
  </commentList>
</comments>
</file>

<file path=xl/sharedStrings.xml><?xml version="1.0" encoding="utf-8"?>
<sst xmlns="http://schemas.openxmlformats.org/spreadsheetml/2006/main" count="1010" uniqueCount="273">
  <si>
    <t>เอกสารสนับสนุน (แบบฟอร์ม)</t>
  </si>
  <si>
    <t>หน่วยงาน :  ส่วนงานบริหารต้นทุนองค์กร</t>
  </si>
  <si>
    <t>version 1.0</t>
  </si>
  <si>
    <t>วันที่บังคับใช้ : 09/05/2016</t>
  </si>
  <si>
    <t>หัวข้อ : BOM (Bill of Material) Cost</t>
  </si>
  <si>
    <t>FM-BOM Cost</t>
  </si>
  <si>
    <t>ผู้อนุมัติ :</t>
  </si>
  <si>
    <t>หรรษา นวาระพรรณ</t>
  </si>
  <si>
    <t>หน้า :  1/1</t>
  </si>
  <si>
    <r>
      <rPr>
        <b/>
        <sz val="12"/>
        <color rgb="FF000000"/>
        <rFont val="Tahoma"/>
        <family val="2"/>
        <charset val="1"/>
      </rPr>
      <t>Cost Project  :</t>
    </r>
    <r>
      <rPr>
        <b/>
        <sz val="12"/>
        <color rgb="FF000000"/>
        <rFont val="Tahoma"/>
        <family val="2"/>
        <charset val="1"/>
      </rPr>
      <t>MBKC</t>
    </r>
  </si>
  <si>
    <t>Actual Cost</t>
  </si>
  <si>
    <t>Eng. Cost/Year</t>
  </si>
  <si>
    <t>Version :</t>
  </si>
  <si>
    <t>Contract</t>
  </si>
  <si>
    <t>Month</t>
  </si>
  <si>
    <t>Vendor</t>
  </si>
  <si>
    <t>Unit</t>
  </si>
  <si>
    <t>Unit/Price</t>
  </si>
  <si>
    <t>Price</t>
  </si>
  <si>
    <t>Eng. Cost</t>
  </si>
  <si>
    <t>Eng. Cost/Month</t>
  </si>
  <si>
    <t>One Time Charge</t>
  </si>
  <si>
    <t>ToTal</t>
  </si>
  <si>
    <t>Recurring</t>
  </si>
  <si>
    <t>INET</t>
  </si>
  <si>
    <t>VCPU(GHz)</t>
  </si>
  <si>
    <t>GHz</t>
  </si>
  <si>
    <t>GB</t>
  </si>
  <si>
    <t>Cost B/W(follow VM)</t>
  </si>
  <si>
    <t>VM</t>
  </si>
  <si>
    <t>IP  Address(follow VM)</t>
  </si>
  <si>
    <t>IP</t>
  </si>
  <si>
    <t>Monitoring&amp; Alert(follow VM)</t>
  </si>
  <si>
    <t>Vm</t>
  </si>
  <si>
    <t>Antivirus(follow VM)</t>
  </si>
  <si>
    <t>Operation Cost(follow VM)</t>
  </si>
  <si>
    <t>License</t>
  </si>
  <si>
    <t>SQL License  Std. /2 vcpu</t>
  </si>
  <si>
    <t>MsCloud (VDC)</t>
  </si>
  <si>
    <t>Vram(GB)</t>
  </si>
  <si>
    <t>Security By Project Team</t>
  </si>
  <si>
    <t>Virtual Firewall Force point + VPN 10 Accounts + Policy 300 Policy</t>
  </si>
  <si>
    <t>Manage Service By Project Team</t>
  </si>
  <si>
    <t>Manage Service (Monitoring)</t>
  </si>
  <si>
    <t>Grand Total</t>
  </si>
  <si>
    <t>Total Cost</t>
  </si>
  <si>
    <t>Cost per Month</t>
  </si>
  <si>
    <t>Sale</t>
  </si>
  <si>
    <t>Sale Factor</t>
  </si>
  <si>
    <t>Remark :</t>
  </si>
  <si>
    <t>Project Solution</t>
  </si>
  <si>
    <t>Project  :</t>
  </si>
  <si>
    <t>Create by :</t>
  </si>
  <si>
    <t>Approved by :</t>
  </si>
  <si>
    <t>Solution Diagram</t>
  </si>
  <si>
    <t>Capture figure diagram</t>
  </si>
  <si>
    <t>(ใส่รูปภาพที่ได้นำเสนอและตกลงร่วมกับลูกค้า)</t>
  </si>
  <si>
    <t>อธิบาย Solution [อ้างอิงตาม Diagram]</t>
  </si>
  <si>
    <t>throughput vFW เป็น estinmate</t>
  </si>
  <si>
    <t>***ไม่รวมดูแล applicaton&amp;service ทางลูกค้าดูแลเอง</t>
  </si>
  <si>
    <t>SLA 99.90  RTO/RPO 4 hr.</t>
  </si>
  <si>
    <t>INET ดูแลแค่ส่วนของ Osและ DBA ตาม standard scope</t>
  </si>
  <si>
    <t>unit</t>
  </si>
  <si>
    <t>Add-On</t>
  </si>
  <si>
    <t>Innitial setup c panel &amp; support หลังงานติดตั้ง 24x7</t>
  </si>
  <si>
    <t>Project</t>
  </si>
  <si>
    <t>config c panel ของ web manage ให้ทาง sale คุยกับทาง partner ก่อน</t>
  </si>
  <si>
    <t>Cost By : Supawadee</t>
  </si>
  <si>
    <t>VDisk (SSD) +Backup snapshot 4 copy &amp; Snapmirror 7 copy</t>
  </si>
  <si>
    <t>Implement PHP&amp;Apache by Project Team</t>
  </si>
  <si>
    <t>Sale : Pimpan Deachapiyamit</t>
  </si>
  <si>
    <t>Pre-sale : Vatcharapong Tavichai</t>
  </si>
  <si>
    <t>DBA MYSQL  for 1 VM (Advance Scope)</t>
  </si>
  <si>
    <t>VDisk (Hybrid) add on RTO/RPO 4 hr.</t>
  </si>
  <si>
    <t>Date : 17/02/2017</t>
  </si>
  <si>
    <t>Version : 6</t>
  </si>
  <si>
    <t>%</t>
  </si>
  <si>
    <t>Revenue</t>
  </si>
  <si>
    <t>Gross Profit</t>
  </si>
  <si>
    <t xml:space="preserve">Interest </t>
  </si>
  <si>
    <t>Net Profit</t>
  </si>
  <si>
    <t>ROI</t>
  </si>
  <si>
    <t>PB on</t>
  </si>
  <si>
    <t>IRR</t>
  </si>
  <si>
    <t>Cash In</t>
  </si>
  <si>
    <t>Cash Out</t>
  </si>
  <si>
    <t>SG&amp;A</t>
  </si>
  <si>
    <t>Interest</t>
  </si>
  <si>
    <t>Tax</t>
  </si>
  <si>
    <t>PB on month</t>
  </si>
  <si>
    <t>B.E.P on</t>
  </si>
  <si>
    <t>B.E.P on Month</t>
  </si>
  <si>
    <t>B.E.P Amount</t>
  </si>
  <si>
    <t>B.E.P Unit</t>
  </si>
  <si>
    <t>RE</t>
  </si>
  <si>
    <t>RE on Month</t>
  </si>
  <si>
    <t>Year</t>
  </si>
  <si>
    <t>Period</t>
  </si>
  <si>
    <t>TOTAL</t>
  </si>
  <si>
    <t>Forecast</t>
  </si>
  <si>
    <t>P/L</t>
  </si>
  <si>
    <t>Onetime</t>
  </si>
  <si>
    <t>EBIT</t>
  </si>
  <si>
    <t>Loan</t>
  </si>
  <si>
    <t>Leasing</t>
  </si>
  <si>
    <t>EBT</t>
  </si>
  <si>
    <t>C/F</t>
  </si>
  <si>
    <t>One Time</t>
  </si>
  <si>
    <t xml:space="preserve">Net Cash </t>
  </si>
  <si>
    <t>Cash BF (ยกมา)</t>
  </si>
  <si>
    <t>Cash CF (ยกไป)</t>
  </si>
  <si>
    <t>From INET (Develop Platform)</t>
  </si>
  <si>
    <t>Total</t>
  </si>
  <si>
    <t>NPV</t>
  </si>
  <si>
    <t>Discount</t>
  </si>
  <si>
    <t>CATEGORY</t>
  </si>
  <si>
    <t>Marketing</t>
  </si>
  <si>
    <t xml:space="preserve">Direct Cost </t>
  </si>
  <si>
    <t>Revshare</t>
  </si>
  <si>
    <t>Direct Cost</t>
  </si>
  <si>
    <t>Year 1</t>
  </si>
  <si>
    <t>Year 2</t>
  </si>
  <si>
    <t xml:space="preserve">Year 3 </t>
  </si>
  <si>
    <t>Sale &amp; Management</t>
  </si>
  <si>
    <t>Develop for INET</t>
  </si>
  <si>
    <t>Revenue from customer</t>
  </si>
  <si>
    <t>Cash CF</t>
  </si>
  <si>
    <t>Cash Flow</t>
  </si>
  <si>
    <t>Original</t>
  </si>
  <si>
    <t xml:space="preserve"> </t>
  </si>
  <si>
    <t>Revenue From sales</t>
  </si>
  <si>
    <t xml:space="preserve">Officer </t>
  </si>
  <si>
    <t>Forecast &amp; Revenue</t>
  </si>
  <si>
    <t>Operation (IT Developer or Engineer)</t>
  </si>
  <si>
    <t>General Manager</t>
  </si>
  <si>
    <t>YEAR 1</t>
  </si>
  <si>
    <t>YEAR 2</t>
  </si>
  <si>
    <t>YEAR 3</t>
  </si>
  <si>
    <t>PROJECT NAME</t>
  </si>
  <si>
    <t>Assump.</t>
  </si>
  <si>
    <t>Revenue Share</t>
  </si>
  <si>
    <t>Partner</t>
  </si>
  <si>
    <t>from Rev</t>
  </si>
  <si>
    <t>Depreciation</t>
  </si>
  <si>
    <t>Fix cost รายเดือน</t>
  </si>
  <si>
    <t>Pay Per Use</t>
  </si>
  <si>
    <t>ค่าใช้จ่ายผันแปร ตาม Forecast</t>
  </si>
  <si>
    <t>Growth</t>
  </si>
  <si>
    <t>รายละเอียด Spec Infra</t>
  </si>
  <si>
    <t>Rental Office</t>
  </si>
  <si>
    <t>PACKAGE A</t>
  </si>
  <si>
    <t>PACKAGE B</t>
  </si>
  <si>
    <t>PACKAGE C</t>
  </si>
  <si>
    <t>baht</t>
  </si>
  <si>
    <t>accumulate</t>
  </si>
  <si>
    <t>growth</t>
  </si>
  <si>
    <t>Cloud</t>
  </si>
  <si>
    <t>Operation</t>
  </si>
  <si>
    <t>เงินเดือน Engineer</t>
  </si>
  <si>
    <t>BD</t>
  </si>
  <si>
    <t>Sale officer</t>
  </si>
  <si>
    <t>GM &amp;  officer</t>
  </si>
  <si>
    <t xml:space="preserve">Marketing </t>
  </si>
  <si>
    <t xml:space="preserve">Trainning </t>
  </si>
  <si>
    <t>Other Expense</t>
  </si>
  <si>
    <t xml:space="preserve">Board  </t>
  </si>
  <si>
    <t xml:space="preserve">Account &amp; Finance </t>
  </si>
  <si>
    <t>per month</t>
  </si>
  <si>
    <t>Year1</t>
  </si>
  <si>
    <t>Year2</t>
  </si>
  <si>
    <t>Year3</t>
  </si>
  <si>
    <t xml:space="preserve">Infrastructure </t>
  </si>
  <si>
    <t>Ads</t>
  </si>
  <si>
    <t>xxxx</t>
  </si>
  <si>
    <t>On-Clound Server</t>
  </si>
  <si>
    <t>Infarstructuer</t>
  </si>
  <si>
    <t>Achieve Materials</t>
  </si>
  <si>
    <t>Perform Post Project Review</t>
  </si>
  <si>
    <t>Perform Acceptance Test</t>
  </si>
  <si>
    <t>Train Customers</t>
  </si>
  <si>
    <t>Install System</t>
  </si>
  <si>
    <t>Test and Delivery</t>
  </si>
  <si>
    <t>Overall Project Management</t>
  </si>
  <si>
    <t>Quality Assurance</t>
  </si>
  <si>
    <t>Configuration Management</t>
  </si>
  <si>
    <t>Internal Status Meetings/Reports</t>
  </si>
  <si>
    <t>Project Management</t>
  </si>
  <si>
    <t xml:space="preserve">Perform Unit/Integration Test </t>
  </si>
  <si>
    <t>Development Acceptance Test Package</t>
  </si>
  <si>
    <t>Develop Components</t>
  </si>
  <si>
    <t>System Development</t>
  </si>
  <si>
    <t>Develop Acceptance Test Plan</t>
  </si>
  <si>
    <t>Develop Detailed Design Specifications</t>
  </si>
  <si>
    <t>Develop Preliminary Design Specification</t>
  </si>
  <si>
    <t>Develop System Architecture</t>
  </si>
  <si>
    <t>Develop Functional Specifications</t>
  </si>
  <si>
    <t>Project Design</t>
  </si>
  <si>
    <t>Software</t>
  </si>
  <si>
    <t xml:space="preserve">Production House
</t>
  </si>
  <si>
    <t>digital marketing</t>
  </si>
  <si>
    <t>Design Project condo</t>
  </si>
  <si>
    <t>Design Project House</t>
  </si>
  <si>
    <t>Design Project Shop</t>
  </si>
  <si>
    <t>Design Project office</t>
  </si>
  <si>
    <t>contractor Project condo</t>
  </si>
  <si>
    <t>contractor Project House</t>
  </si>
  <si>
    <t>contractor Project Shop</t>
  </si>
  <si>
    <t>contractor Project office</t>
  </si>
  <si>
    <t>office Shop</t>
  </si>
  <si>
    <t>Banner</t>
  </si>
  <si>
    <t>M2</t>
  </si>
  <si>
    <t>project</t>
  </si>
  <si>
    <t>Lighting</t>
  </si>
  <si>
    <t>Add</t>
  </si>
  <si>
    <t>Electrician Project office</t>
  </si>
  <si>
    <t>Electrician Project Shop</t>
  </si>
  <si>
    <t>Electrician Project House</t>
  </si>
  <si>
    <t>Electrician Project condo</t>
  </si>
  <si>
    <t>Certain Project office</t>
  </si>
  <si>
    <t>Certain Project Shop</t>
  </si>
  <si>
    <t>Certain Project House</t>
  </si>
  <si>
    <t>Certain Project condo</t>
  </si>
  <si>
    <t>Loose Furniture Project office</t>
  </si>
  <si>
    <t>Loose Furniture Project Shop</t>
  </si>
  <si>
    <t>Loose Furniture Project House</t>
  </si>
  <si>
    <t>Loose Furniture Project condo</t>
  </si>
  <si>
    <t>Prop Decoration Project office</t>
  </si>
  <si>
    <t>Prop Decoration Project Shop</t>
  </si>
  <si>
    <t>Prop Decoration Project House</t>
  </si>
  <si>
    <t>Prop Decoration Project condo</t>
  </si>
  <si>
    <t>Table + Chair Project condo</t>
  </si>
  <si>
    <t>Table + Chair Project House</t>
  </si>
  <si>
    <t>Table + Chair Project Shop</t>
  </si>
  <si>
    <t>Table + Chair Project office</t>
  </si>
  <si>
    <t>Bed set Project condo</t>
  </si>
  <si>
    <t>Bed set Project House</t>
  </si>
  <si>
    <t>Sofa  Project condo</t>
  </si>
  <si>
    <t>Sofa  Project House</t>
  </si>
  <si>
    <t>Sofa Project office</t>
  </si>
  <si>
    <t>Furniture</t>
  </si>
  <si>
    <t>Wardrobe &amp; Display cabinets
Sofa
Table
Chair
Other
Bed
Sideboard &amp; Chest of drawer
Office furniture
Arm chair
Other soft seating</t>
  </si>
  <si>
    <t>Decoration</t>
  </si>
  <si>
    <t>Decorative plaster
3D panel
Curtain
Mirror
Frame
Vase
Books
Pillows
Carpets
Decorative set
Sculpture
Other decorative objects
Clothes and shoes
Watches &amp; Clocks</t>
  </si>
  <si>
    <t>Ceiling light
Wall light
Floor lamp
Table lamp
Spot light
Street lighting
Technical lighting</t>
  </si>
  <si>
    <t>Bathroom</t>
  </si>
  <si>
    <t>Wash basin
Toilet and Bidet
Bathtub
Shower
Bathroom furniture
Faucet
Towel rail
Bathroom accessories</t>
  </si>
  <si>
    <t>Childroom</t>
  </si>
  <si>
    <t>Full furniture set
Bed
Table + Chair
Wardrobe
Toy
Miscellaneous</t>
  </si>
  <si>
    <t>Kitchen</t>
  </si>
  <si>
    <t>Tableware
Kitchen
Kitchen appliance
Other kitchen accessories
Food and drinks
Sink
Faucet</t>
  </si>
  <si>
    <t>echnology</t>
  </si>
  <si>
    <t xml:space="preserve"> electronics
Household appliance
TV
Audio tech
Miscellaneous</t>
  </si>
  <si>
    <t>Other Models</t>
  </si>
  <si>
    <t>Windows
Doors
Fireplace
Radiator
Shop
Transport
Sports
Staircase
Musical instrument
Beauty salon
Weapon
Restaurant
Creature
Billiards
Miscellaneous</t>
  </si>
  <si>
    <t>Materials</t>
  </si>
  <si>
    <t>Wood
Metal
Leather
Plastic
Stone
Glass
Miscellaneous
Floor coverings
Wall covering
Fabric
Natural materials
Leather
Brick
Rug</t>
  </si>
  <si>
    <t>200 /4 per month</t>
  </si>
  <si>
    <t>200 /per month</t>
  </si>
  <si>
    <t>Google ad</t>
  </si>
  <si>
    <t>facebook</t>
  </si>
  <si>
    <t>Blog</t>
  </si>
  <si>
    <t>youtub</t>
  </si>
  <si>
    <t>Event</t>
  </si>
  <si>
    <t>Architecture Expo</t>
  </si>
  <si>
    <t>บ้านและสวนแฟร์</t>
  </si>
  <si>
    <t>University Booth</t>
  </si>
  <si>
    <t>Interior Company Visit</t>
  </si>
  <si>
    <t>Interior and Decorate Shop</t>
  </si>
  <si>
    <t>Billboard</t>
  </si>
  <si>
    <t>Department Store Event</t>
  </si>
  <si>
    <t>สัมมนา</t>
  </si>
  <si>
    <t>Year 3</t>
  </si>
  <si>
    <t>Platform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</si>
</sst>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_-&quot;฿&quot;* #,##0.00_-;\-&quot;฿&quot;* #,##0.00_-;_-&quot;฿&quot;* &quot;-&quot;??_-;_-@_-"/>
    <numFmt numFmtId="166" formatCode="_-* #,##0.00_฿_-;\-* #,##0.00_฿_-;_-* &quot;-&quot;??_฿_-;_-@_-"/>
    <numFmt numFmtId="167" formatCode="_(* #,##0.00_);_(* \(#,##0.00\);_(* \-??_);_(@_)"/>
    <numFmt numFmtId="168" formatCode="_(* #,##0_);_(* \(#,##0\);_(* \-??_);_(@_)"/>
    <numFmt numFmtId="169" formatCode="0.000"/>
    <numFmt numFmtId="170" formatCode="_-* #,##0.00_-;\-* #,##0.00_-;_-* \-??_-;_-@_-"/>
    <numFmt numFmtId="171" formatCode="_(* #,##0.0_);_(* \(#,##0.0\);_(* \-??_);_(@_)"/>
    <numFmt numFmtId="172" formatCode="_(* #,##0_);_(* \(#,##0\);_(* &quot;-&quot;??_);_(@_)"/>
    <numFmt numFmtId="173" formatCode="_-* #,##0.00_฿_-;\-* #,##0.00_฿_-;_-* \-??_฿_-;_-@_-"/>
    <numFmt numFmtId="174" formatCode="0.0%"/>
    <numFmt numFmtId="175" formatCode="[$-409]mmm/yy;@"/>
    <numFmt numFmtId="176" formatCode="_-&quot;$&quot;* #,##0.00_-;\-&quot;$&quot;* #,##0.00_-;_-&quot;$&quot;* &quot;-&quot;??_-;_-@_-"/>
    <numFmt numFmtId="177" formatCode="0.00\ &quot;month&quot;"/>
  </numFmts>
  <fonts count="116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name val="Tahoma"/>
      <family val="2"/>
      <charset val="1"/>
    </font>
    <font>
      <b/>
      <sz val="10"/>
      <name val="Tahoma"/>
      <family val="2"/>
      <charset val="1"/>
    </font>
    <font>
      <sz val="11"/>
      <color rgb="FF000000"/>
      <name val="Tahoma"/>
      <family val="2"/>
      <charset val="1"/>
    </font>
    <font>
      <sz val="11"/>
      <name val="Tahoma"/>
      <family val="2"/>
      <charset val="1"/>
    </font>
    <font>
      <sz val="10"/>
      <name val="Tahoma"/>
      <family val="2"/>
      <charset val="1"/>
    </font>
    <font>
      <b/>
      <sz val="11"/>
      <color rgb="FF000000"/>
      <name val="Tahoma"/>
      <family val="2"/>
      <charset val="1"/>
    </font>
    <font>
      <b/>
      <sz val="12"/>
      <color rgb="FF000000"/>
      <name val="Tahoma"/>
      <family val="2"/>
      <charset val="1"/>
    </font>
    <font>
      <b/>
      <sz val="11"/>
      <color rgb="FFFF0000"/>
      <name val="Tahoma"/>
      <family val="2"/>
      <charset val="1"/>
    </font>
    <font>
      <b/>
      <sz val="11"/>
      <color rgb="FFEBF1DE"/>
      <name val="Tahoma"/>
      <family val="2"/>
      <charset val="1"/>
    </font>
    <font>
      <u/>
      <sz val="16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Tahoma"/>
      <family val="2"/>
      <charset val="1"/>
    </font>
    <font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color rgb="FF000000"/>
      <name val="Tahoma"/>
      <family val="2"/>
      <charset val="1"/>
    </font>
    <font>
      <sz val="12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Tahoma"/>
      <family val="2"/>
      <charset val="1"/>
    </font>
    <font>
      <u/>
      <sz val="16"/>
      <color rgb="FFFF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Tahoma"/>
      <family val="2"/>
      <charset val="222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222"/>
      <scheme val="minor"/>
    </font>
    <font>
      <sz val="11"/>
      <color rgb="FF000000"/>
      <name val="Tahoma"/>
      <family val="2"/>
      <charset val="22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u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rgb="FF000000"/>
      <name val="Calibri"/>
      <family val="2"/>
    </font>
    <font>
      <b/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</font>
    <font>
      <b/>
      <sz val="16"/>
      <color rgb="FF002060"/>
      <name val="Calibri"/>
      <family val="2"/>
      <scheme val="minor"/>
    </font>
    <font>
      <b/>
      <sz val="16"/>
      <color rgb="FF002060"/>
      <name val="Calibri"/>
      <family val="2"/>
    </font>
    <font>
      <sz val="11"/>
      <color rgb="FFFF0000"/>
      <name val="Calibri"/>
      <family val="2"/>
      <scheme val="minor"/>
    </font>
    <font>
      <i/>
      <sz val="11"/>
      <color rgb="FF000000"/>
      <name val="Calibri"/>
      <family val="2"/>
    </font>
    <font>
      <b/>
      <sz val="16"/>
      <color theme="0"/>
      <name val="Calibri"/>
      <family val="2"/>
    </font>
    <font>
      <sz val="11"/>
      <color rgb="FF000000"/>
      <name val="Tahoma"/>
      <family val="2"/>
    </font>
    <font>
      <b/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rgb="FF000000"/>
      <name val="Calibri"/>
      <family val="2"/>
      <charset val="222"/>
    </font>
    <font>
      <b/>
      <sz val="10"/>
      <color theme="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C00000"/>
      <name val="Calibri Light"/>
      <family val="2"/>
      <scheme val="major"/>
    </font>
    <font>
      <b/>
      <sz val="11"/>
      <color rgb="FFFF0000"/>
      <name val="Calibri"/>
      <family val="2"/>
      <charset val="222"/>
      <scheme val="minor"/>
    </font>
    <font>
      <b/>
      <sz val="20"/>
      <color rgb="FF00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20"/>
      <name val="Calibri Light"/>
      <family val="2"/>
      <scheme val="major"/>
    </font>
    <font>
      <sz val="11"/>
      <color theme="1"/>
      <name val="Calibri"/>
      <family val="2"/>
      <charset val="1"/>
    </font>
    <font>
      <sz val="14"/>
      <name val="Arial"/>
      <family val="2"/>
    </font>
    <font>
      <sz val="10"/>
      <name val="Calibri Light"/>
      <family val="2"/>
      <charset val="222"/>
      <scheme val="major"/>
    </font>
    <font>
      <sz val="10"/>
      <color theme="1"/>
      <name val="Calibri Light"/>
      <family val="2"/>
      <charset val="222"/>
      <scheme val="major"/>
    </font>
    <font>
      <sz val="10"/>
      <color rgb="FF000000"/>
      <name val="Calibri"/>
      <family val="2"/>
      <charset val="222"/>
    </font>
    <font>
      <b/>
      <sz val="14"/>
      <name val="Arial"/>
      <family val="2"/>
      <charset val="222"/>
    </font>
    <font>
      <b/>
      <sz val="16"/>
      <color theme="1"/>
      <name val="Calibri"/>
      <family val="2"/>
      <charset val="222"/>
      <scheme val="minor"/>
    </font>
    <font>
      <sz val="11"/>
      <name val="Calibri"/>
      <family val="2"/>
      <charset val="222"/>
    </font>
    <font>
      <sz val="11"/>
      <name val="Calibri"/>
      <family val="2"/>
      <charset val="222"/>
      <scheme val="minor"/>
    </font>
    <font>
      <b/>
      <sz val="16"/>
      <name val="Calibri"/>
      <family val="2"/>
    </font>
    <font>
      <sz val="16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373737"/>
      <name val="Calibri Light"/>
      <family val="2"/>
      <scheme val="major"/>
    </font>
    <font>
      <sz val="10"/>
      <color rgb="FF222222"/>
      <name val="Calibri Light"/>
      <family val="2"/>
      <scheme val="major"/>
    </font>
    <font>
      <sz val="10"/>
      <name val="Calibri Light"/>
      <family val="2"/>
    </font>
    <font>
      <b/>
      <sz val="10"/>
      <name val="Calibri Light"/>
      <family val="2"/>
    </font>
    <font>
      <u/>
      <sz val="11"/>
      <color theme="4" tint="-0.249977111117893"/>
      <name val="Calibri"/>
      <family val="2"/>
      <charset val="1"/>
    </font>
    <font>
      <sz val="10"/>
      <name val="Calibri Light"/>
      <family val="2"/>
      <charset val="222"/>
    </font>
    <font>
      <sz val="10"/>
      <name val="Calibri"/>
      <family val="2"/>
    </font>
    <font>
      <b/>
      <sz val="10"/>
      <name val="Calibri"/>
      <family val="2"/>
    </font>
    <font>
      <b/>
      <sz val="20"/>
      <name val="Calibri Light"/>
      <family val="2"/>
    </font>
    <font>
      <b/>
      <sz val="10"/>
      <color rgb="FFFFFFFF"/>
      <name val="Calibri Light"/>
      <family val="2"/>
    </font>
    <font>
      <sz val="8"/>
      <name val="Calibri"/>
      <family val="2"/>
      <charset val="1"/>
    </font>
    <font>
      <sz val="10"/>
      <color rgb="FF000000"/>
      <name val="Calibri Light"/>
      <family val="2"/>
    </font>
  </fonts>
  <fills count="51">
    <fill>
      <patternFill patternType="none"/>
    </fill>
    <fill>
      <patternFill patternType="gray125"/>
    </fill>
    <fill>
      <patternFill patternType="solid">
        <fgColor rgb="FFD7E4BD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CD5B5"/>
      </patternFill>
    </fill>
    <fill>
      <patternFill patternType="solid">
        <fgColor rgb="FFFF9966"/>
        <bgColor rgb="FFD99694"/>
      </patternFill>
    </fill>
    <fill>
      <patternFill patternType="solid">
        <fgColor rgb="FFDBEEF4"/>
        <bgColor rgb="FFDEEBF7"/>
      </patternFill>
    </fill>
    <fill>
      <patternFill patternType="solid">
        <fgColor rgb="FF93CDDD"/>
        <bgColor rgb="FF8EB4E3"/>
      </patternFill>
    </fill>
    <fill>
      <patternFill patternType="solid">
        <fgColor rgb="FFA9D18E"/>
        <bgColor rgb="FFC4BD97"/>
      </patternFill>
    </fill>
    <fill>
      <patternFill patternType="solid">
        <fgColor rgb="FF4F6228"/>
        <bgColor rgb="FF215968"/>
      </patternFill>
    </fill>
    <fill>
      <patternFill patternType="solid">
        <fgColor rgb="FFFFFF00"/>
        <bgColor rgb="FFFFFF99"/>
      </patternFill>
    </fill>
    <fill>
      <patternFill patternType="solid">
        <fgColor rgb="FF215968"/>
        <bgColor rgb="FF1F4E79"/>
      </patternFill>
    </fill>
    <fill>
      <patternFill patternType="solid">
        <fgColor rgb="FF1F4E79"/>
        <bgColor rgb="FF215968"/>
      </patternFill>
    </fill>
    <fill>
      <patternFill patternType="solid">
        <fgColor rgb="FFFCD5B5"/>
        <bgColor rgb="FFF2DCDB"/>
      </patternFill>
    </fill>
    <fill>
      <patternFill patternType="solid">
        <fgColor rgb="FFC4BD97"/>
        <bgColor rgb="FFBFBFBF"/>
      </patternFill>
    </fill>
    <fill>
      <patternFill patternType="solid">
        <fgColor rgb="FFFDEADA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B9CDE5"/>
        <bgColor rgb="FFBFBFBF"/>
      </patternFill>
    </fill>
    <fill>
      <patternFill patternType="solid">
        <fgColor rgb="FFDEEBF7"/>
        <bgColor rgb="FFDBEE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5">
    <xf numFmtId="0" fontId="0" fillId="0" borderId="0"/>
    <xf numFmtId="167" fontId="31" fillId="0" borderId="0"/>
    <xf numFmtId="0" fontId="17" fillId="0" borderId="0"/>
    <xf numFmtId="167" fontId="31" fillId="0" borderId="0"/>
    <xf numFmtId="0" fontId="35" fillId="0" borderId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14" fillId="0" borderId="0"/>
    <xf numFmtId="173" fontId="17" fillId="0" borderId="0" applyBorder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6" fillId="0" borderId="0" applyFont="0" applyFill="0" applyBorder="0" applyAlignment="0" applyProtection="0"/>
    <xf numFmtId="173" fontId="17" fillId="0" borderId="0" applyBorder="0" applyProtection="0"/>
    <xf numFmtId="43" fontId="3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36" fillId="0" borderId="0"/>
    <xf numFmtId="0" fontId="31" fillId="0" borderId="0"/>
    <xf numFmtId="0" fontId="36" fillId="0" borderId="0"/>
    <xf numFmtId="0" fontId="35" fillId="0" borderId="0"/>
    <xf numFmtId="0" fontId="36" fillId="0" borderId="0"/>
    <xf numFmtId="0" fontId="17" fillId="0" borderId="0"/>
    <xf numFmtId="0" fontId="36" fillId="0" borderId="0"/>
    <xf numFmtId="9" fontId="31" fillId="0" borderId="0" applyFont="0" applyFill="0" applyBorder="0" applyAlignment="0" applyProtection="0"/>
    <xf numFmtId="9" fontId="17" fillId="0" borderId="0" applyBorder="0" applyProtection="0"/>
    <xf numFmtId="9" fontId="36" fillId="0" borderId="0" applyFont="0" applyFill="0" applyBorder="0" applyAlignment="0" applyProtection="0"/>
    <xf numFmtId="9" fontId="31" fillId="0" borderId="0"/>
    <xf numFmtId="9" fontId="31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9" fontId="31" fillId="0" borderId="0" applyFont="0" applyFill="0" applyBorder="0" applyAlignment="0" applyProtection="0"/>
    <xf numFmtId="40" fontId="40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17" fillId="0" borderId="0"/>
    <xf numFmtId="0" fontId="17" fillId="0" borderId="0"/>
    <xf numFmtId="0" fontId="40" fillId="0" borderId="0">
      <alignment vertical="center"/>
    </xf>
    <xf numFmtId="9" fontId="36" fillId="0" borderId="0" applyFont="0" applyFill="0" applyBorder="0" applyAlignment="0" applyProtection="0"/>
    <xf numFmtId="9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" fillId="0" borderId="0"/>
    <xf numFmtId="167" fontId="31" fillId="0" borderId="0"/>
    <xf numFmtId="9" fontId="41" fillId="0" borderId="0" applyFont="0" applyFill="0" applyBorder="0" applyAlignment="0" applyProtection="0"/>
    <xf numFmtId="173" fontId="42" fillId="0" borderId="0" applyBorder="0" applyProtection="0"/>
    <xf numFmtId="0" fontId="42" fillId="0" borderId="0"/>
    <xf numFmtId="9" fontId="42" fillId="0" borderId="0" applyBorder="0" applyProtection="0"/>
    <xf numFmtId="166" fontId="36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76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44" fillId="0" borderId="0"/>
    <xf numFmtId="167" fontId="44" fillId="0" borderId="0"/>
    <xf numFmtId="167" fontId="44" fillId="0" borderId="0"/>
    <xf numFmtId="9" fontId="44" fillId="0" borderId="0"/>
    <xf numFmtId="0" fontId="66" fillId="0" borderId="0"/>
    <xf numFmtId="167" fontId="4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63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5" fillId="0" borderId="1" xfId="0" applyFont="1" applyBorder="1" applyProtection="1">
      <protection locked="0"/>
    </xf>
    <xf numFmtId="0" fontId="15" fillId="0" borderId="2" xfId="0" applyFont="1" applyBorder="1" applyProtection="1">
      <protection locked="0"/>
    </xf>
    <xf numFmtId="0" fontId="16" fillId="0" borderId="3" xfId="0" applyFont="1" applyBorder="1" applyProtection="1">
      <protection locked="0"/>
    </xf>
    <xf numFmtId="0" fontId="17" fillId="0" borderId="4" xfId="0" applyFont="1" applyBorder="1" applyProtection="1">
      <protection locked="0"/>
    </xf>
    <xf numFmtId="0" fontId="17" fillId="0" borderId="5" xfId="0" applyFont="1" applyBorder="1" applyProtection="1">
      <protection locked="0"/>
    </xf>
    <xf numFmtId="0" fontId="18" fillId="0" borderId="4" xfId="0" applyFont="1" applyBorder="1" applyProtection="1">
      <protection locked="0"/>
    </xf>
    <xf numFmtId="0" fontId="16" fillId="0" borderId="3" xfId="0" applyFont="1" applyBorder="1"/>
    <xf numFmtId="0" fontId="16" fillId="0" borderId="6" xfId="0" applyFont="1" applyBorder="1" applyProtection="1">
      <protection locked="0"/>
    </xf>
    <xf numFmtId="0" fontId="17" fillId="0" borderId="7" xfId="0" applyFont="1" applyBorder="1" applyProtection="1">
      <protection locked="0"/>
    </xf>
    <xf numFmtId="0" fontId="15" fillId="0" borderId="8" xfId="0" applyFont="1" applyBorder="1" applyProtection="1">
      <protection locked="0"/>
    </xf>
    <xf numFmtId="0" fontId="15" fillId="0" borderId="9" xfId="0" applyFont="1" applyBorder="1" applyProtection="1">
      <protection locked="0"/>
    </xf>
    <xf numFmtId="0" fontId="17" fillId="0" borderId="10" xfId="0" applyFont="1" applyBorder="1" applyProtection="1">
      <protection locked="0"/>
    </xf>
    <xf numFmtId="0" fontId="19" fillId="0" borderId="4" xfId="0" applyFont="1" applyBorder="1" applyProtection="1">
      <protection locked="0"/>
    </xf>
    <xf numFmtId="0" fontId="17" fillId="0" borderId="3" xfId="0" applyFont="1" applyBorder="1" applyProtection="1">
      <protection locked="0"/>
    </xf>
    <xf numFmtId="0" fontId="18" fillId="0" borderId="9" xfId="0" applyFont="1" applyBorder="1" applyProtection="1">
      <protection locked="0"/>
    </xf>
    <xf numFmtId="0" fontId="16" fillId="0" borderId="11" xfId="0" applyFont="1" applyBorder="1" applyProtection="1">
      <protection locked="0"/>
    </xf>
    <xf numFmtId="0" fontId="20" fillId="2" borderId="0" xfId="0" applyFont="1" applyFill="1" applyProtection="1">
      <protection locked="0"/>
    </xf>
    <xf numFmtId="0" fontId="17" fillId="0" borderId="0" xfId="0" applyFont="1" applyProtection="1">
      <protection locked="0"/>
    </xf>
    <xf numFmtId="167" fontId="17" fillId="0" borderId="0" xfId="0" applyNumberFormat="1" applyFont="1" applyProtection="1">
      <protection locked="0"/>
    </xf>
    <xf numFmtId="0" fontId="20" fillId="0" borderId="0" xfId="0" applyFont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20" fillId="3" borderId="0" xfId="0" applyFont="1" applyFill="1" applyAlignment="1" applyProtection="1">
      <alignment horizontal="center"/>
      <protection locked="0"/>
    </xf>
    <xf numFmtId="168" fontId="20" fillId="3" borderId="0" xfId="0" applyNumberFormat="1" applyFont="1" applyFill="1" applyAlignment="1" applyProtection="1">
      <alignment horizontal="center"/>
      <protection locked="0"/>
    </xf>
    <xf numFmtId="168" fontId="20" fillId="3" borderId="0" xfId="0" applyNumberFormat="1" applyFont="1" applyFill="1" applyProtection="1">
      <protection locked="0"/>
    </xf>
    <xf numFmtId="167" fontId="20" fillId="0" borderId="0" xfId="0" applyNumberFormat="1" applyFont="1" applyProtection="1">
      <protection locked="0"/>
    </xf>
    <xf numFmtId="0" fontId="17" fillId="3" borderId="0" xfId="0" applyFont="1" applyFill="1" applyProtection="1">
      <protection locked="0"/>
    </xf>
    <xf numFmtId="169" fontId="17" fillId="3" borderId="0" xfId="0" applyNumberFormat="1" applyFont="1" applyFill="1" applyProtection="1">
      <protection locked="0"/>
    </xf>
    <xf numFmtId="0" fontId="17" fillId="3" borderId="0" xfId="0" applyFont="1" applyFill="1"/>
    <xf numFmtId="168" fontId="22" fillId="8" borderId="12" xfId="1" applyNumberFormat="1" applyFont="1" applyFill="1" applyBorder="1" applyAlignment="1">
      <alignment horizontal="center"/>
    </xf>
    <xf numFmtId="0" fontId="20" fillId="8" borderId="13" xfId="0" applyFont="1" applyFill="1" applyBorder="1"/>
    <xf numFmtId="168" fontId="22" fillId="8" borderId="13" xfId="1" applyNumberFormat="1" applyFont="1" applyFill="1" applyBorder="1" applyAlignment="1">
      <alignment horizontal="center"/>
    </xf>
    <xf numFmtId="0" fontId="17" fillId="8" borderId="13" xfId="0" applyFont="1" applyFill="1" applyBorder="1"/>
    <xf numFmtId="169" fontId="17" fillId="8" borderId="14" xfId="0" applyNumberFormat="1" applyFont="1" applyFill="1" applyBorder="1"/>
    <xf numFmtId="0" fontId="0" fillId="8" borderId="15" xfId="0" applyFill="1" applyBorder="1"/>
    <xf numFmtId="0" fontId="0" fillId="3" borderId="0" xfId="0" applyFill="1"/>
    <xf numFmtId="0" fontId="23" fillId="9" borderId="16" xfId="0" applyFont="1" applyFill="1" applyBorder="1"/>
    <xf numFmtId="0" fontId="23" fillId="9" borderId="4" xfId="0" applyFont="1" applyFill="1" applyBorder="1"/>
    <xf numFmtId="0" fontId="20" fillId="0" borderId="17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167" fontId="20" fillId="0" borderId="6" xfId="1" applyFont="1" applyBorder="1" applyAlignment="1">
      <alignment horizontal="center"/>
    </xf>
    <xf numFmtId="167" fontId="20" fillId="0" borderId="6" xfId="0" applyNumberFormat="1" applyFont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167" fontId="20" fillId="0" borderId="18" xfId="0" applyNumberFormat="1" applyFont="1" applyBorder="1" applyAlignment="1">
      <alignment horizontal="center"/>
    </xf>
    <xf numFmtId="167" fontId="20" fillId="0" borderId="19" xfId="0" applyNumberFormat="1" applyFont="1" applyBorder="1" applyAlignment="1">
      <alignment horizontal="center"/>
    </xf>
    <xf numFmtId="0" fontId="0" fillId="0" borderId="20" xfId="0" applyBorder="1"/>
    <xf numFmtId="0" fontId="20" fillId="0" borderId="10" xfId="0" applyFont="1" applyBorder="1" applyAlignment="1">
      <alignment vertical="center"/>
    </xf>
    <xf numFmtId="0" fontId="17" fillId="0" borderId="17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167" fontId="17" fillId="0" borderId="6" xfId="1" applyFont="1" applyBorder="1" applyAlignment="1">
      <alignment horizontal="center"/>
    </xf>
    <xf numFmtId="167" fontId="17" fillId="0" borderId="6" xfId="0" applyNumberFormat="1" applyFont="1" applyBorder="1" applyAlignment="1">
      <alignment horizontal="center"/>
    </xf>
    <xf numFmtId="167" fontId="20" fillId="0" borderId="6" xfId="0" applyNumberFormat="1" applyFont="1" applyBorder="1"/>
    <xf numFmtId="0" fontId="17" fillId="3" borderId="6" xfId="0" applyFont="1" applyFill="1" applyBorder="1"/>
    <xf numFmtId="167" fontId="20" fillId="0" borderId="18" xfId="0" applyNumberFormat="1" applyFont="1" applyBorder="1"/>
    <xf numFmtId="0" fontId="0" fillId="3" borderId="19" xfId="0" applyFill="1" applyBorder="1"/>
    <xf numFmtId="0" fontId="20" fillId="10" borderId="4" xfId="0" applyFont="1" applyFill="1" applyBorder="1"/>
    <xf numFmtId="168" fontId="18" fillId="0" borderId="17" xfId="0" applyNumberFormat="1" applyFont="1" applyBorder="1" applyAlignment="1">
      <alignment horizontal="center"/>
    </xf>
    <xf numFmtId="168" fontId="18" fillId="0" borderId="6" xfId="0" applyNumberFormat="1" applyFont="1" applyBorder="1" applyAlignment="1">
      <alignment horizontal="center"/>
    </xf>
    <xf numFmtId="167" fontId="17" fillId="0" borderId="6" xfId="1" applyFont="1" applyBorder="1"/>
    <xf numFmtId="10" fontId="17" fillId="0" borderId="6" xfId="0" applyNumberFormat="1" applyFont="1" applyBorder="1"/>
    <xf numFmtId="167" fontId="17" fillId="0" borderId="18" xfId="1" applyFont="1" applyBorder="1"/>
    <xf numFmtId="167" fontId="17" fillId="0" borderId="19" xfId="1" applyFont="1" applyBorder="1"/>
    <xf numFmtId="168" fontId="18" fillId="0" borderId="11" xfId="0" applyNumberFormat="1" applyFont="1" applyBorder="1" applyAlignment="1">
      <alignment horizontal="center"/>
    </xf>
    <xf numFmtId="167" fontId="17" fillId="0" borderId="11" xfId="1" applyFont="1" applyBorder="1" applyAlignment="1">
      <alignment horizontal="center"/>
    </xf>
    <xf numFmtId="0" fontId="24" fillId="3" borderId="0" xfId="0" applyFont="1" applyFill="1"/>
    <xf numFmtId="0" fontId="0" fillId="3" borderId="4" xfId="0" applyFill="1" applyBorder="1" applyAlignment="1">
      <alignment horizontal="left" wrapText="1" indent="1"/>
    </xf>
    <xf numFmtId="0" fontId="25" fillId="11" borderId="4" xfId="0" applyFont="1" applyFill="1" applyBorder="1" applyAlignment="1">
      <alignment horizontal="left" vertical="center" indent="1"/>
    </xf>
    <xf numFmtId="168" fontId="26" fillId="11" borderId="17" xfId="0" applyNumberFormat="1" applyFont="1" applyFill="1" applyBorder="1" applyAlignment="1">
      <alignment horizontal="center"/>
    </xf>
    <xf numFmtId="168" fontId="26" fillId="11" borderId="6" xfId="0" applyNumberFormat="1" applyFont="1" applyFill="1" applyBorder="1" applyAlignment="1">
      <alignment horizontal="center"/>
    </xf>
    <xf numFmtId="167" fontId="26" fillId="11" borderId="6" xfId="1" applyFont="1" applyFill="1" applyBorder="1" applyAlignment="1">
      <alignment horizontal="center"/>
    </xf>
    <xf numFmtId="167" fontId="26" fillId="12" borderId="18" xfId="1" applyFont="1" applyFill="1" applyBorder="1" applyAlignment="1">
      <alignment horizontal="center"/>
    </xf>
    <xf numFmtId="0" fontId="0" fillId="12" borderId="19" xfId="0" applyFill="1" applyBorder="1"/>
    <xf numFmtId="0" fontId="20" fillId="0" borderId="4" xfId="0" applyFont="1" applyBorder="1"/>
    <xf numFmtId="0" fontId="20" fillId="10" borderId="10" xfId="0" applyFont="1" applyFill="1" applyBorder="1"/>
    <xf numFmtId="0" fontId="27" fillId="3" borderId="0" xfId="0" applyFont="1" applyFill="1"/>
    <xf numFmtId="0" fontId="0" fillId="3" borderId="20" xfId="0" applyFill="1" applyBorder="1"/>
    <xf numFmtId="168" fontId="18" fillId="3" borderId="6" xfId="0" applyNumberFormat="1" applyFont="1" applyFill="1" applyBorder="1" applyAlignment="1">
      <alignment horizontal="center"/>
    </xf>
    <xf numFmtId="167" fontId="17" fillId="3" borderId="6" xfId="1" applyFont="1" applyFill="1" applyBorder="1" applyAlignment="1">
      <alignment horizontal="center"/>
    </xf>
    <xf numFmtId="0" fontId="0" fillId="0" borderId="4" xfId="0" applyBorder="1" applyAlignment="1">
      <alignment horizontal="left" wrapText="1" indent="1"/>
    </xf>
    <xf numFmtId="0" fontId="0" fillId="0" borderId="4" xfId="0" applyBorder="1" applyAlignment="1">
      <alignment horizontal="left" indent="1"/>
    </xf>
    <xf numFmtId="168" fontId="17" fillId="0" borderId="6" xfId="0" applyNumberFormat="1" applyFont="1" applyBorder="1" applyAlignment="1">
      <alignment horizontal="center"/>
    </xf>
    <xf numFmtId="168" fontId="18" fillId="0" borderId="4" xfId="0" applyNumberFormat="1" applyFont="1" applyBorder="1" applyAlignment="1">
      <alignment horizontal="left" indent="1"/>
    </xf>
    <xf numFmtId="0" fontId="22" fillId="13" borderId="4" xfId="0" applyFont="1" applyFill="1" applyBorder="1"/>
    <xf numFmtId="168" fontId="17" fillId="13" borderId="17" xfId="0" applyNumberFormat="1" applyFont="1" applyFill="1" applyBorder="1" applyAlignment="1">
      <alignment horizontal="center"/>
    </xf>
    <xf numFmtId="0" fontId="17" fillId="13" borderId="6" xfId="0" applyFont="1" applyFill="1" applyBorder="1" applyAlignment="1">
      <alignment horizontal="center"/>
    </xf>
    <xf numFmtId="167" fontId="17" fillId="13" borderId="6" xfId="1" applyFont="1" applyFill="1" applyBorder="1"/>
    <xf numFmtId="170" fontId="17" fillId="13" borderId="6" xfId="0" applyNumberFormat="1" applyFont="1" applyFill="1" applyBorder="1"/>
    <xf numFmtId="167" fontId="17" fillId="13" borderId="22" xfId="0" applyNumberFormat="1" applyFont="1" applyFill="1" applyBorder="1"/>
    <xf numFmtId="10" fontId="17" fillId="13" borderId="22" xfId="0" applyNumberFormat="1" applyFont="1" applyFill="1" applyBorder="1"/>
    <xf numFmtId="0" fontId="22" fillId="14" borderId="19" xfId="0" applyFont="1" applyFill="1" applyBorder="1"/>
    <xf numFmtId="168" fontId="22" fillId="14" borderId="23" xfId="0" applyNumberFormat="1" applyFont="1" applyFill="1" applyBorder="1" applyAlignment="1">
      <alignment horizontal="center"/>
    </xf>
    <xf numFmtId="0" fontId="22" fillId="14" borderId="24" xfId="0" applyFont="1" applyFill="1" applyBorder="1" applyAlignment="1">
      <alignment horizontal="center"/>
    </xf>
    <xf numFmtId="167" fontId="22" fillId="14" borderId="8" xfId="1" applyFont="1" applyFill="1" applyBorder="1"/>
    <xf numFmtId="167" fontId="22" fillId="14" borderId="9" xfId="0" applyNumberFormat="1" applyFont="1" applyFill="1" applyBorder="1"/>
    <xf numFmtId="167" fontId="0" fillId="3" borderId="0" xfId="0" applyNumberFormat="1" applyFill="1"/>
    <xf numFmtId="168" fontId="22" fillId="14" borderId="5" xfId="0" applyNumberFormat="1" applyFont="1" applyFill="1" applyBorder="1" applyAlignment="1">
      <alignment horizontal="center"/>
    </xf>
    <xf numFmtId="0" fontId="22" fillId="14" borderId="25" xfId="0" applyFont="1" applyFill="1" applyBorder="1" applyAlignment="1">
      <alignment horizontal="center"/>
    </xf>
    <xf numFmtId="167" fontId="22" fillId="14" borderId="0" xfId="1" applyFont="1" applyFill="1"/>
    <xf numFmtId="167" fontId="22" fillId="14" borderId="23" xfId="0" applyNumberFormat="1" applyFont="1" applyFill="1" applyBorder="1"/>
    <xf numFmtId="168" fontId="22" fillId="0" borderId="0" xfId="0" applyNumberFormat="1" applyFont="1"/>
    <xf numFmtId="0" fontId="20" fillId="15" borderId="19" xfId="0" applyFont="1" applyFill="1" applyBorder="1" applyAlignment="1">
      <alignment horizontal="right"/>
    </xf>
    <xf numFmtId="167" fontId="17" fillId="16" borderId="4" xfId="1" applyFont="1" applyFill="1" applyBorder="1"/>
    <xf numFmtId="167" fontId="20" fillId="16" borderId="7" xfId="1" applyFont="1" applyFill="1" applyBorder="1"/>
    <xf numFmtId="0" fontId="28" fillId="3" borderId="0" xfId="0" applyFont="1" applyFill="1"/>
    <xf numFmtId="0" fontId="0" fillId="3" borderId="26" xfId="0" applyFill="1" applyBorder="1"/>
    <xf numFmtId="170" fontId="20" fillId="17" borderId="6" xfId="0" applyNumberFormat="1" applyFont="1" applyFill="1" applyBorder="1"/>
    <xf numFmtId="0" fontId="0" fillId="0" borderId="0" xfId="0" applyAlignment="1">
      <alignment horizontal="center"/>
    </xf>
    <xf numFmtId="0" fontId="20" fillId="0" borderId="0" xfId="0" applyFont="1"/>
    <xf numFmtId="0" fontId="17" fillId="0" borderId="1" xfId="0" applyFont="1" applyBorder="1"/>
    <xf numFmtId="0" fontId="17" fillId="0" borderId="5" xfId="0" applyFont="1" applyBorder="1"/>
    <xf numFmtId="0" fontId="17" fillId="0" borderId="7" xfId="0" applyFont="1" applyBorder="1"/>
    <xf numFmtId="0" fontId="17" fillId="0" borderId="10" xfId="0" applyFont="1" applyBorder="1"/>
    <xf numFmtId="0" fontId="17" fillId="0" borderId="4" xfId="0" applyFont="1" applyBorder="1"/>
    <xf numFmtId="0" fontId="17" fillId="0" borderId="2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3" xfId="0" applyFont="1" applyBorder="1"/>
    <xf numFmtId="0" fontId="18" fillId="0" borderId="9" xfId="0" applyFont="1" applyBorder="1"/>
    <xf numFmtId="0" fontId="16" fillId="0" borderId="4" xfId="0" applyFont="1" applyBorder="1"/>
    <xf numFmtId="0" fontId="29" fillId="18" borderId="0" xfId="0" applyFont="1" applyFill="1" applyProtection="1">
      <protection locked="0"/>
    </xf>
    <xf numFmtId="0" fontId="17" fillId="18" borderId="0" xfId="0" applyFont="1" applyFill="1" applyProtection="1">
      <protection locked="0"/>
    </xf>
    <xf numFmtId="0" fontId="20" fillId="0" borderId="1" xfId="0" applyFont="1" applyBorder="1" applyProtection="1">
      <protection locked="0"/>
    </xf>
    <xf numFmtId="0" fontId="17" fillId="0" borderId="2" xfId="0" applyFont="1" applyBorder="1" applyProtection="1">
      <protection locked="0"/>
    </xf>
    <xf numFmtId="0" fontId="17" fillId="0" borderId="24" xfId="0" applyFont="1" applyBorder="1" applyProtection="1">
      <protection locked="0"/>
    </xf>
    <xf numFmtId="0" fontId="17" fillId="0" borderId="23" xfId="0" applyFont="1" applyBorder="1" applyProtection="1">
      <protection locked="0"/>
    </xf>
    <xf numFmtId="0" fontId="30" fillId="0" borderId="0" xfId="0" applyFont="1" applyProtection="1">
      <protection locked="0"/>
    </xf>
    <xf numFmtId="0" fontId="17" fillId="0" borderId="8" xfId="0" applyFont="1" applyBorder="1" applyProtection="1">
      <protection locked="0"/>
    </xf>
    <xf numFmtId="0" fontId="17" fillId="0" borderId="9" xfId="0" applyFont="1" applyBorder="1" applyProtection="1">
      <protection locked="0"/>
    </xf>
    <xf numFmtId="0" fontId="20" fillId="0" borderId="24" xfId="0" applyFont="1" applyBorder="1" applyProtection="1"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167" fontId="17" fillId="16" borderId="4" xfId="1" applyFont="1" applyFill="1" applyBorder="1" applyAlignment="1">
      <alignment horizontal="center"/>
    </xf>
    <xf numFmtId="0" fontId="32" fillId="3" borderId="4" xfId="0" applyFont="1" applyFill="1" applyBorder="1" applyAlignment="1">
      <alignment horizontal="left" wrapText="1" indent="1"/>
    </xf>
    <xf numFmtId="171" fontId="18" fillId="0" borderId="17" xfId="0" applyNumberFormat="1" applyFont="1" applyBorder="1" applyAlignment="1">
      <alignment horizontal="center"/>
    </xf>
    <xf numFmtId="10" fontId="33" fillId="0" borderId="6" xfId="0" applyNumberFormat="1" applyFont="1" applyBorder="1"/>
    <xf numFmtId="167" fontId="31" fillId="0" borderId="0" xfId="1"/>
    <xf numFmtId="168" fontId="18" fillId="19" borderId="17" xfId="0" applyNumberFormat="1" applyFont="1" applyFill="1" applyBorder="1" applyAlignment="1">
      <alignment horizontal="center"/>
    </xf>
    <xf numFmtId="168" fontId="18" fillId="20" borderId="6" xfId="0" applyNumberFormat="1" applyFont="1" applyFill="1" applyBorder="1" applyAlignment="1">
      <alignment horizontal="center"/>
    </xf>
    <xf numFmtId="168" fontId="18" fillId="19" borderId="6" xfId="0" applyNumberFormat="1" applyFont="1" applyFill="1" applyBorder="1" applyAlignment="1">
      <alignment horizontal="center"/>
    </xf>
    <xf numFmtId="0" fontId="32" fillId="21" borderId="20" xfId="0" applyFont="1" applyFill="1" applyBorder="1"/>
    <xf numFmtId="0" fontId="33" fillId="21" borderId="4" xfId="0" applyFont="1" applyFill="1" applyBorder="1"/>
    <xf numFmtId="168" fontId="33" fillId="21" borderId="17" xfId="0" applyNumberFormat="1" applyFont="1" applyFill="1" applyBorder="1" applyAlignment="1">
      <alignment horizontal="center"/>
    </xf>
    <xf numFmtId="168" fontId="33" fillId="21" borderId="11" xfId="0" applyNumberFormat="1" applyFont="1" applyFill="1" applyBorder="1" applyAlignment="1">
      <alignment horizontal="center"/>
    </xf>
    <xf numFmtId="167" fontId="33" fillId="21" borderId="11" xfId="1" applyFont="1" applyFill="1" applyBorder="1" applyAlignment="1">
      <alignment horizontal="center"/>
    </xf>
    <xf numFmtId="167" fontId="33" fillId="21" borderId="11" xfId="1" applyFont="1" applyFill="1" applyBorder="1"/>
    <xf numFmtId="10" fontId="33" fillId="21" borderId="11" xfId="0" applyNumberFormat="1" applyFont="1" applyFill="1" applyBorder="1"/>
    <xf numFmtId="167" fontId="33" fillId="21" borderId="21" xfId="1" applyFont="1" applyFill="1" applyBorder="1"/>
    <xf numFmtId="167" fontId="32" fillId="21" borderId="19" xfId="1" applyFont="1" applyFill="1" applyBorder="1"/>
    <xf numFmtId="0" fontId="34" fillId="22" borderId="0" xfId="0" applyFont="1" applyFill="1"/>
    <xf numFmtId="0" fontId="32" fillId="22" borderId="0" xfId="0" applyFont="1" applyFill="1"/>
    <xf numFmtId="0" fontId="32" fillId="21" borderId="0" xfId="0" applyFont="1" applyFill="1"/>
    <xf numFmtId="0" fontId="32" fillId="21" borderId="0" xfId="0" applyFont="1" applyFill="1" applyProtection="1">
      <protection locked="0"/>
    </xf>
    <xf numFmtId="0" fontId="32" fillId="22" borderId="20" xfId="0" applyFont="1" applyFill="1" applyBorder="1"/>
    <xf numFmtId="168" fontId="33" fillId="21" borderId="4" xfId="0" applyNumberFormat="1" applyFont="1" applyFill="1" applyBorder="1" applyAlignment="1">
      <alignment horizontal="left" indent="1"/>
    </xf>
    <xf numFmtId="168" fontId="33" fillId="21" borderId="6" xfId="0" applyNumberFormat="1" applyFont="1" applyFill="1" applyBorder="1" applyAlignment="1">
      <alignment horizontal="center"/>
    </xf>
    <xf numFmtId="167" fontId="33" fillId="21" borderId="6" xfId="1" applyFont="1" applyFill="1" applyBorder="1" applyAlignment="1">
      <alignment horizontal="center"/>
    </xf>
    <xf numFmtId="167" fontId="17" fillId="21" borderId="6" xfId="1" applyFont="1" applyFill="1" applyBorder="1" applyAlignment="1">
      <alignment horizontal="center"/>
    </xf>
    <xf numFmtId="167" fontId="17" fillId="21" borderId="6" xfId="1" applyFont="1" applyFill="1" applyBorder="1"/>
    <xf numFmtId="10" fontId="17" fillId="21" borderId="6" xfId="0" applyNumberFormat="1" applyFont="1" applyFill="1" applyBorder="1"/>
    <xf numFmtId="167" fontId="17" fillId="21" borderId="18" xfId="1" applyFont="1" applyFill="1" applyBorder="1"/>
    <xf numFmtId="167" fontId="17" fillId="21" borderId="19" xfId="1" applyFont="1" applyFill="1" applyBorder="1"/>
    <xf numFmtId="10" fontId="18" fillId="0" borderId="6" xfId="0" applyNumberFormat="1" applyFont="1" applyBorder="1"/>
    <xf numFmtId="0" fontId="46" fillId="27" borderId="0" xfId="70" applyFont="1" applyFill="1"/>
    <xf numFmtId="0" fontId="46" fillId="27" borderId="0" xfId="70" applyFont="1" applyFill="1" applyAlignment="1">
      <alignment horizontal="center"/>
    </xf>
    <xf numFmtId="0" fontId="46" fillId="27" borderId="27" xfId="70" applyFont="1" applyFill="1" applyBorder="1"/>
    <xf numFmtId="164" fontId="46" fillId="27" borderId="0" xfId="71" applyFont="1" applyFill="1" applyAlignment="1">
      <alignment horizontal="center"/>
    </xf>
    <xf numFmtId="0" fontId="48" fillId="0" borderId="0" xfId="70" applyFont="1"/>
    <xf numFmtId="164" fontId="46" fillId="27" borderId="0" xfId="71" applyFont="1" applyFill="1"/>
    <xf numFmtId="17" fontId="46" fillId="27" borderId="0" xfId="70" applyNumberFormat="1" applyFont="1" applyFill="1"/>
    <xf numFmtId="0" fontId="13" fillId="0" borderId="0" xfId="70" applyAlignment="1">
      <alignment horizontal="center"/>
    </xf>
    <xf numFmtId="0" fontId="47" fillId="0" borderId="0" xfId="70" applyFont="1" applyAlignment="1">
      <alignment horizontal="left"/>
    </xf>
    <xf numFmtId="0" fontId="49" fillId="28" borderId="0" xfId="70" applyFont="1" applyFill="1"/>
    <xf numFmtId="0" fontId="13" fillId="28" borderId="0" xfId="70" applyFill="1" applyAlignment="1">
      <alignment horizontal="center"/>
    </xf>
    <xf numFmtId="0" fontId="13" fillId="28" borderId="0" xfId="70" applyFill="1" applyAlignment="1">
      <alignment horizontal="left"/>
    </xf>
    <xf numFmtId="0" fontId="13" fillId="28" borderId="0" xfId="70" applyFill="1"/>
    <xf numFmtId="0" fontId="13" fillId="28" borderId="27" xfId="70" applyFill="1" applyBorder="1"/>
    <xf numFmtId="0" fontId="13" fillId="0" borderId="0" xfId="70"/>
    <xf numFmtId="0" fontId="13" fillId="0" borderId="0" xfId="70" applyAlignment="1">
      <alignment horizontal="left"/>
    </xf>
    <xf numFmtId="3" fontId="13" fillId="0" borderId="0" xfId="70" applyNumberFormat="1"/>
    <xf numFmtId="0" fontId="13" fillId="0" borderId="27" xfId="70" applyBorder="1"/>
    <xf numFmtId="38" fontId="0" fillId="0" borderId="0" xfId="71" applyNumberFormat="1" applyFont="1"/>
    <xf numFmtId="38" fontId="13" fillId="0" borderId="0" xfId="70" applyNumberFormat="1"/>
    <xf numFmtId="9" fontId="13" fillId="0" borderId="0" xfId="70" applyNumberFormat="1"/>
    <xf numFmtId="0" fontId="49" fillId="28" borderId="0" xfId="70" applyFont="1" applyFill="1" applyAlignment="1">
      <alignment horizontal="center"/>
    </xf>
    <xf numFmtId="0" fontId="49" fillId="28" borderId="0" xfId="70" applyFont="1" applyFill="1" applyAlignment="1">
      <alignment horizontal="left"/>
    </xf>
    <xf numFmtId="0" fontId="49" fillId="28" borderId="27" xfId="70" applyFont="1" applyFill="1" applyBorder="1"/>
    <xf numFmtId="164" fontId="0" fillId="0" borderId="0" xfId="71" applyFont="1"/>
    <xf numFmtId="0" fontId="51" fillId="0" borderId="0" xfId="70" applyFont="1" applyAlignment="1">
      <alignment horizontal="left" indent="1"/>
    </xf>
    <xf numFmtId="0" fontId="13" fillId="0" borderId="0" xfId="70" applyAlignment="1">
      <alignment horizontal="left" indent="1"/>
    </xf>
    <xf numFmtId="9" fontId="13" fillId="0" borderId="0" xfId="70" applyNumberFormat="1" applyAlignment="1">
      <alignment horizontal="center"/>
    </xf>
    <xf numFmtId="0" fontId="13" fillId="24" borderId="0" xfId="70" applyFill="1" applyAlignment="1">
      <alignment horizontal="center"/>
    </xf>
    <xf numFmtId="0" fontId="13" fillId="24" borderId="0" xfId="70" applyFill="1" applyAlignment="1">
      <alignment horizontal="left"/>
    </xf>
    <xf numFmtId="0" fontId="13" fillId="24" borderId="0" xfId="70" applyFill="1"/>
    <xf numFmtId="0" fontId="13" fillId="24" borderId="27" xfId="70" applyFill="1" applyBorder="1"/>
    <xf numFmtId="174" fontId="13" fillId="0" borderId="0" xfId="70" applyNumberFormat="1" applyAlignment="1">
      <alignment horizontal="center"/>
    </xf>
    <xf numFmtId="0" fontId="44" fillId="0" borderId="0" xfId="70" applyFont="1" applyAlignment="1">
      <alignment horizontal="left" indent="1"/>
    </xf>
    <xf numFmtId="9" fontId="0" fillId="0" borderId="0" xfId="71" applyNumberFormat="1" applyFont="1"/>
    <xf numFmtId="0" fontId="47" fillId="24" borderId="0" xfId="70" applyFont="1" applyFill="1"/>
    <xf numFmtId="0" fontId="12" fillId="0" borderId="0" xfId="70" applyFont="1" applyAlignment="1">
      <alignment horizontal="center"/>
    </xf>
    <xf numFmtId="38" fontId="49" fillId="28" borderId="0" xfId="71" applyNumberFormat="1" applyFont="1" applyFill="1" applyAlignment="1">
      <alignment horizontal="center"/>
    </xf>
    <xf numFmtId="9" fontId="49" fillId="28" borderId="0" xfId="70" applyNumberFormat="1" applyFont="1" applyFill="1" applyAlignment="1">
      <alignment horizontal="center"/>
    </xf>
    <xf numFmtId="164" fontId="43" fillId="0" borderId="0" xfId="71" applyFont="1" applyAlignment="1">
      <alignment horizontal="center"/>
    </xf>
    <xf numFmtId="0" fontId="47" fillId="0" borderId="0" xfId="70" applyFont="1" applyAlignment="1">
      <alignment horizontal="center"/>
    </xf>
    <xf numFmtId="0" fontId="13" fillId="0" borderId="12" xfId="70" applyBorder="1"/>
    <xf numFmtId="10" fontId="13" fillId="0" borderId="14" xfId="70" applyNumberFormat="1" applyBorder="1" applyAlignment="1">
      <alignment horizontal="center"/>
    </xf>
    <xf numFmtId="0" fontId="13" fillId="0" borderId="29" xfId="70" applyBorder="1"/>
    <xf numFmtId="1" fontId="13" fillId="0" borderId="27" xfId="70" applyNumberFormat="1" applyBorder="1" applyAlignment="1">
      <alignment horizontal="center"/>
    </xf>
    <xf numFmtId="175" fontId="13" fillId="0" borderId="27" xfId="70" applyNumberFormat="1" applyBorder="1" applyAlignment="1">
      <alignment horizontal="center"/>
    </xf>
    <xf numFmtId="10" fontId="13" fillId="0" borderId="27" xfId="70" applyNumberFormat="1" applyBorder="1" applyAlignment="1">
      <alignment horizontal="center"/>
    </xf>
    <xf numFmtId="0" fontId="13" fillId="0" borderId="27" xfId="70" applyBorder="1" applyAlignment="1">
      <alignment horizontal="center"/>
    </xf>
    <xf numFmtId="0" fontId="13" fillId="0" borderId="30" xfId="70" applyBorder="1"/>
    <xf numFmtId="175" fontId="13" fillId="0" borderId="28" xfId="70" applyNumberFormat="1" applyBorder="1" applyAlignment="1">
      <alignment horizontal="center"/>
    </xf>
    <xf numFmtId="0" fontId="12" fillId="26" borderId="0" xfId="70" applyFont="1" applyFill="1" applyAlignment="1">
      <alignment horizontal="left" indent="2"/>
    </xf>
    <xf numFmtId="38" fontId="12" fillId="26" borderId="0" xfId="71" applyNumberFormat="1" applyFont="1" applyFill="1"/>
    <xf numFmtId="9" fontId="12" fillId="26" borderId="0" xfId="70" applyNumberFormat="1" applyFont="1" applyFill="1"/>
    <xf numFmtId="172" fontId="0" fillId="0" borderId="27" xfId="71" applyNumberFormat="1" applyFont="1" applyBorder="1" applyAlignment="1">
      <alignment horizontal="center"/>
    </xf>
    <xf numFmtId="40" fontId="13" fillId="28" borderId="0" xfId="70" applyNumberFormat="1" applyFill="1"/>
    <xf numFmtId="40" fontId="0" fillId="28" borderId="0" xfId="71" applyNumberFormat="1" applyFont="1" applyFill="1"/>
    <xf numFmtId="40" fontId="13" fillId="0" borderId="0" xfId="70" applyNumberFormat="1"/>
    <xf numFmtId="40" fontId="49" fillId="28" borderId="0" xfId="70" applyNumberFormat="1" applyFont="1" applyFill="1"/>
    <xf numFmtId="40" fontId="0" fillId="0" borderId="0" xfId="71" applyNumberFormat="1" applyFont="1"/>
    <xf numFmtId="0" fontId="11" fillId="0" borderId="0" xfId="70" applyFont="1" applyAlignment="1">
      <alignment horizontal="center"/>
    </xf>
    <xf numFmtId="0" fontId="52" fillId="0" borderId="0" xfId="70" applyFont="1" applyAlignment="1">
      <alignment horizontal="left"/>
    </xf>
    <xf numFmtId="0" fontId="11" fillId="0" borderId="0" xfId="70" applyFont="1"/>
    <xf numFmtId="40" fontId="11" fillId="0" borderId="0" xfId="70" applyNumberFormat="1" applyFont="1"/>
    <xf numFmtId="9" fontId="13" fillId="0" borderId="0" xfId="34" applyFont="1"/>
    <xf numFmtId="0" fontId="10" fillId="26" borderId="0" xfId="70" applyFont="1" applyFill="1" applyAlignment="1">
      <alignment horizontal="center"/>
    </xf>
    <xf numFmtId="0" fontId="52" fillId="0" borderId="0" xfId="70" applyFont="1"/>
    <xf numFmtId="3" fontId="13" fillId="26" borderId="0" xfId="70" applyNumberFormat="1" applyFill="1"/>
    <xf numFmtId="40" fontId="13" fillId="26" borderId="0" xfId="70" applyNumberFormat="1" applyFill="1" applyAlignment="1">
      <alignment horizontal="center"/>
    </xf>
    <xf numFmtId="4" fontId="13" fillId="26" borderId="27" xfId="70" applyNumberFormat="1" applyFill="1" applyBorder="1"/>
    <xf numFmtId="0" fontId="10" fillId="0" borderId="29" xfId="70" applyFont="1" applyBorder="1"/>
    <xf numFmtId="10" fontId="13" fillId="0" borderId="0" xfId="70" applyNumberFormat="1" applyAlignment="1">
      <alignment horizontal="center"/>
    </xf>
    <xf numFmtId="40" fontId="53" fillId="26" borderId="0" xfId="71" applyNumberFormat="1" applyFont="1" applyFill="1"/>
    <xf numFmtId="9" fontId="13" fillId="0" borderId="0" xfId="34" applyFont="1" applyAlignment="1">
      <alignment horizontal="center"/>
    </xf>
    <xf numFmtId="9" fontId="13" fillId="0" borderId="0" xfId="70" applyNumberFormat="1" applyAlignment="1">
      <alignment horizontal="left"/>
    </xf>
    <xf numFmtId="0" fontId="9" fillId="0" borderId="0" xfId="70" applyFont="1"/>
    <xf numFmtId="0" fontId="8" fillId="0" borderId="0" xfId="70" applyFont="1"/>
    <xf numFmtId="3" fontId="11" fillId="0" borderId="0" xfId="70" applyNumberFormat="1" applyFont="1" applyAlignment="1">
      <alignment horizontal="center"/>
    </xf>
    <xf numFmtId="3" fontId="13" fillId="0" borderId="0" xfId="70" applyNumberFormat="1" applyAlignment="1">
      <alignment horizontal="center"/>
    </xf>
    <xf numFmtId="0" fontId="13" fillId="0" borderId="0" xfId="70" applyAlignment="1">
      <alignment horizontal="right"/>
    </xf>
    <xf numFmtId="0" fontId="13" fillId="0" borderId="27" xfId="70" applyBorder="1" applyAlignment="1">
      <alignment horizontal="right"/>
    </xf>
    <xf numFmtId="40" fontId="13" fillId="0" borderId="0" xfId="70" applyNumberFormat="1" applyAlignment="1">
      <alignment horizontal="right"/>
    </xf>
    <xf numFmtId="40" fontId="0" fillId="0" borderId="0" xfId="71" applyNumberFormat="1" applyFont="1" applyAlignment="1">
      <alignment horizontal="right"/>
    </xf>
    <xf numFmtId="0" fontId="54" fillId="0" borderId="0" xfId="70" applyFont="1" applyAlignment="1">
      <alignment horizontal="left"/>
    </xf>
    <xf numFmtId="0" fontId="50" fillId="0" borderId="0" xfId="70" applyFont="1" applyAlignment="1">
      <alignment horizontal="left" indent="1"/>
    </xf>
    <xf numFmtId="0" fontId="54" fillId="0" borderId="0" xfId="70" applyFont="1" applyAlignment="1">
      <alignment horizontal="left" indent="1"/>
    </xf>
    <xf numFmtId="0" fontId="55" fillId="0" borderId="0" xfId="70" applyFont="1"/>
    <xf numFmtId="0" fontId="56" fillId="0" borderId="0" xfId="70" applyFont="1" applyAlignment="1">
      <alignment horizontal="center"/>
    </xf>
    <xf numFmtId="0" fontId="56" fillId="0" borderId="0" xfId="70" applyFont="1" applyAlignment="1">
      <alignment horizontal="left"/>
    </xf>
    <xf numFmtId="0" fontId="56" fillId="0" borderId="0" xfId="70" applyFont="1"/>
    <xf numFmtId="0" fontId="56" fillId="0" borderId="27" xfId="70" applyFont="1" applyBorder="1"/>
    <xf numFmtId="40" fontId="55" fillId="0" borderId="0" xfId="70" applyNumberFormat="1" applyFont="1"/>
    <xf numFmtId="38" fontId="55" fillId="0" borderId="0" xfId="71" applyNumberFormat="1" applyFont="1"/>
    <xf numFmtId="9" fontId="55" fillId="0" borderId="0" xfId="70" applyNumberFormat="1" applyFont="1"/>
    <xf numFmtId="40" fontId="55" fillId="0" borderId="0" xfId="71" applyNumberFormat="1" applyFont="1"/>
    <xf numFmtId="0" fontId="7" fillId="0" borderId="0" xfId="70" applyFont="1" applyAlignment="1">
      <alignment horizontal="left"/>
    </xf>
    <xf numFmtId="0" fontId="6" fillId="0" borderId="0" xfId="70" applyFont="1" applyAlignment="1">
      <alignment horizontal="left"/>
    </xf>
    <xf numFmtId="0" fontId="6" fillId="0" borderId="0" xfId="70" applyFont="1" applyAlignment="1">
      <alignment horizontal="center"/>
    </xf>
    <xf numFmtId="164" fontId="31" fillId="0" borderId="0" xfId="71" applyFont="1"/>
    <xf numFmtId="38" fontId="31" fillId="0" borderId="0" xfId="71" applyNumberFormat="1" applyFont="1"/>
    <xf numFmtId="9" fontId="6" fillId="0" borderId="0" xfId="70" applyNumberFormat="1" applyFont="1"/>
    <xf numFmtId="0" fontId="6" fillId="0" borderId="0" xfId="70" applyFont="1"/>
    <xf numFmtId="0" fontId="4" fillId="0" borderId="0" xfId="70" applyFont="1" applyAlignment="1">
      <alignment horizontal="left" indent="2"/>
    </xf>
    <xf numFmtId="0" fontId="45" fillId="0" borderId="0" xfId="70" applyFont="1" applyAlignment="1">
      <alignment horizontal="left"/>
    </xf>
    <xf numFmtId="0" fontId="55" fillId="0" borderId="0" xfId="70" applyFont="1" applyAlignment="1">
      <alignment horizontal="left"/>
    </xf>
    <xf numFmtId="40" fontId="56" fillId="0" borderId="0" xfId="70" applyNumberFormat="1" applyFont="1"/>
    <xf numFmtId="0" fontId="55" fillId="0" borderId="0" xfId="70" applyFont="1" applyAlignment="1">
      <alignment horizontal="center"/>
    </xf>
    <xf numFmtId="0" fontId="55" fillId="0" borderId="27" xfId="70" applyFont="1" applyBorder="1"/>
    <xf numFmtId="40" fontId="45" fillId="0" borderId="0" xfId="71" applyNumberFormat="1" applyFont="1"/>
    <xf numFmtId="38" fontId="45" fillId="0" borderId="0" xfId="71" applyNumberFormat="1" applyFont="1"/>
    <xf numFmtId="38" fontId="58" fillId="0" borderId="0" xfId="71" applyNumberFormat="1" applyFont="1"/>
    <xf numFmtId="9" fontId="56" fillId="0" borderId="0" xfId="70" applyNumberFormat="1" applyFont="1"/>
    <xf numFmtId="0" fontId="45" fillId="24" borderId="0" xfId="70" applyFont="1" applyFill="1" applyAlignment="1">
      <alignment horizontal="left"/>
    </xf>
    <xf numFmtId="9" fontId="56" fillId="0" borderId="0" xfId="70" applyNumberFormat="1" applyFont="1" applyAlignment="1">
      <alignment horizontal="center"/>
    </xf>
    <xf numFmtId="0" fontId="55" fillId="24" borderId="0" xfId="70" applyFont="1" applyFill="1" applyAlignment="1">
      <alignment horizontal="center"/>
    </xf>
    <xf numFmtId="0" fontId="55" fillId="24" borderId="0" xfId="70" applyFont="1" applyFill="1" applyAlignment="1">
      <alignment horizontal="left"/>
    </xf>
    <xf numFmtId="0" fontId="55" fillId="24" borderId="0" xfId="70" applyFont="1" applyFill="1"/>
    <xf numFmtId="0" fontId="55" fillId="24" borderId="27" xfId="70" applyFont="1" applyFill="1" applyBorder="1"/>
    <xf numFmtId="9" fontId="45" fillId="0" borderId="0" xfId="71" applyNumberFormat="1" applyFont="1"/>
    <xf numFmtId="38" fontId="55" fillId="0" borderId="0" xfId="70" applyNumberFormat="1" applyFont="1"/>
    <xf numFmtId="40" fontId="59" fillId="0" borderId="0" xfId="70" applyNumberFormat="1" applyFont="1"/>
    <xf numFmtId="38" fontId="60" fillId="0" borderId="0" xfId="71" applyNumberFormat="1" applyFont="1"/>
    <xf numFmtId="9" fontId="59" fillId="0" borderId="0" xfId="70" applyNumberFormat="1" applyFont="1"/>
    <xf numFmtId="0" fontId="13" fillId="0" borderId="0" xfId="70" applyAlignment="1">
      <alignment horizontal="left" indent="4"/>
    </xf>
    <xf numFmtId="0" fontId="61" fillId="0" borderId="0" xfId="70" applyFont="1" applyAlignment="1">
      <alignment horizontal="left" indent="1"/>
    </xf>
    <xf numFmtId="40" fontId="62" fillId="0" borderId="0" xfId="71" applyNumberFormat="1" applyFont="1"/>
    <xf numFmtId="38" fontId="62" fillId="0" borderId="0" xfId="71" applyNumberFormat="1" applyFont="1"/>
    <xf numFmtId="9" fontId="62" fillId="0" borderId="0" xfId="71" applyNumberFormat="1" applyFont="1"/>
    <xf numFmtId="0" fontId="3" fillId="0" borderId="0" xfId="70" applyFont="1" applyAlignment="1">
      <alignment horizontal="center"/>
    </xf>
    <xf numFmtId="0" fontId="63" fillId="0" borderId="0" xfId="70" applyFont="1" applyAlignment="1">
      <alignment horizontal="left"/>
    </xf>
    <xf numFmtId="0" fontId="0" fillId="0" borderId="0" xfId="0" applyAlignment="1">
      <alignment horizontal="left" indent="1"/>
    </xf>
    <xf numFmtId="0" fontId="43" fillId="0" borderId="0" xfId="0" applyFont="1"/>
    <xf numFmtId="0" fontId="44" fillId="0" borderId="0" xfId="0" applyFont="1" applyAlignment="1">
      <alignment horizontal="left" indent="1"/>
    </xf>
    <xf numFmtId="40" fontId="0" fillId="0" borderId="0" xfId="0" applyNumberFormat="1"/>
    <xf numFmtId="38" fontId="44" fillId="0" borderId="0" xfId="0" applyNumberFormat="1" applyFont="1" applyAlignment="1">
      <alignment horizontal="center"/>
    </xf>
    <xf numFmtId="167" fontId="43" fillId="0" borderId="0" xfId="1" applyFont="1"/>
    <xf numFmtId="40" fontId="43" fillId="0" borderId="0" xfId="0" applyNumberFormat="1" applyFont="1"/>
    <xf numFmtId="10" fontId="0" fillId="0" borderId="0" xfId="0" applyNumberFormat="1"/>
    <xf numFmtId="10" fontId="43" fillId="0" borderId="0" xfId="0" applyNumberFormat="1" applyFont="1"/>
    <xf numFmtId="10" fontId="43" fillId="0" borderId="0" xfId="1" applyNumberFormat="1" applyFont="1"/>
    <xf numFmtId="0" fontId="0" fillId="32" borderId="0" xfId="0" applyFill="1"/>
    <xf numFmtId="38" fontId="44" fillId="32" borderId="0" xfId="0" applyNumberFormat="1" applyFont="1" applyFill="1" applyAlignment="1">
      <alignment horizontal="center"/>
    </xf>
    <xf numFmtId="0" fontId="45" fillId="0" borderId="0" xfId="0" applyFont="1" applyAlignment="1">
      <alignment horizontal="center"/>
    </xf>
    <xf numFmtId="0" fontId="54" fillId="0" borderId="0" xfId="0" applyFont="1"/>
    <xf numFmtId="0" fontId="58" fillId="0" borderId="0" xfId="0" applyFont="1"/>
    <xf numFmtId="40" fontId="64" fillId="0" borderId="0" xfId="0" applyNumberFormat="1" applyFont="1"/>
    <xf numFmtId="0" fontId="64" fillId="0" borderId="0" xfId="0" applyFont="1" applyAlignment="1">
      <alignment horizontal="left" indent="1"/>
    </xf>
    <xf numFmtId="0" fontId="65" fillId="28" borderId="0" xfId="0" applyFont="1" applyFill="1" applyAlignment="1">
      <alignment horizontal="center"/>
    </xf>
    <xf numFmtId="9" fontId="65" fillId="28" borderId="0" xfId="0" applyNumberFormat="1" applyFont="1" applyFill="1" applyAlignment="1">
      <alignment horizontal="center"/>
    </xf>
    <xf numFmtId="167" fontId="54" fillId="0" borderId="0" xfId="1" applyFont="1"/>
    <xf numFmtId="10" fontId="54" fillId="0" borderId="0" xfId="1" applyNumberFormat="1" applyFont="1"/>
    <xf numFmtId="0" fontId="3" fillId="0" borderId="0" xfId="70" applyFont="1"/>
    <xf numFmtId="0" fontId="2" fillId="0" borderId="27" xfId="70" applyFont="1" applyBorder="1"/>
    <xf numFmtId="0" fontId="1" fillId="0" borderId="0" xfId="70" applyFont="1"/>
    <xf numFmtId="0" fontId="72" fillId="0" borderId="0" xfId="0" applyFont="1" applyAlignment="1">
      <alignment horizontal="left"/>
    </xf>
    <xf numFmtId="172" fontId="72" fillId="0" borderId="0" xfId="0" applyNumberFormat="1" applyFont="1" applyAlignment="1">
      <alignment horizontal="center"/>
    </xf>
    <xf numFmtId="0" fontId="78" fillId="0" borderId="0" xfId="0" applyFont="1"/>
    <xf numFmtId="43" fontId="80" fillId="0" borderId="0" xfId="73" applyFont="1"/>
    <xf numFmtId="0" fontId="1" fillId="0" borderId="0" xfId="70" applyFont="1" applyAlignment="1">
      <alignment horizontal="left" indent="4"/>
    </xf>
    <xf numFmtId="0" fontId="65" fillId="28" borderId="0" xfId="70" applyFont="1" applyFill="1"/>
    <xf numFmtId="0" fontId="67" fillId="0" borderId="0" xfId="70" applyFont="1" applyAlignment="1">
      <alignment horizontal="left" indent="2"/>
    </xf>
    <xf numFmtId="0" fontId="67" fillId="0" borderId="0" xfId="70" applyFont="1" applyAlignment="1">
      <alignment horizontal="center"/>
    </xf>
    <xf numFmtId="0" fontId="67" fillId="0" borderId="0" xfId="70" applyFont="1" applyAlignment="1">
      <alignment horizontal="left"/>
    </xf>
    <xf numFmtId="0" fontId="67" fillId="0" borderId="0" xfId="70" applyFont="1"/>
    <xf numFmtId="0" fontId="67" fillId="0" borderId="27" xfId="70" applyFont="1" applyBorder="1"/>
    <xf numFmtId="40" fontId="67" fillId="0" borderId="0" xfId="70" applyNumberFormat="1" applyFont="1"/>
    <xf numFmtId="38" fontId="76" fillId="0" borderId="0" xfId="71" applyNumberFormat="1" applyFont="1"/>
    <xf numFmtId="9" fontId="76" fillId="0" borderId="0" xfId="71" applyNumberFormat="1" applyFont="1"/>
    <xf numFmtId="0" fontId="85" fillId="0" borderId="0" xfId="70" applyFont="1" applyAlignment="1">
      <alignment horizontal="left"/>
    </xf>
    <xf numFmtId="0" fontId="1" fillId="0" borderId="0" xfId="70" applyFont="1" applyAlignment="1">
      <alignment horizontal="left" indent="1"/>
    </xf>
    <xf numFmtId="172" fontId="68" fillId="0" borderId="0" xfId="0" applyNumberFormat="1" applyFont="1" applyAlignment="1">
      <alignment horizontal="center"/>
    </xf>
    <xf numFmtId="0" fontId="69" fillId="0" borderId="0" xfId="0" applyFont="1" applyAlignment="1">
      <alignment horizontal="center"/>
    </xf>
    <xf numFmtId="0" fontId="69" fillId="0" borderId="0" xfId="0" applyFont="1"/>
    <xf numFmtId="0" fontId="70" fillId="0" borderId="0" xfId="0" applyFont="1" applyAlignment="1">
      <alignment horizontal="right"/>
    </xf>
    <xf numFmtId="0" fontId="70" fillId="0" borderId="0" xfId="0" applyFont="1" applyAlignment="1">
      <alignment horizontal="center"/>
    </xf>
    <xf numFmtId="172" fontId="69" fillId="0" borderId="0" xfId="0" applyNumberFormat="1" applyFont="1" applyAlignment="1">
      <alignment horizontal="center"/>
    </xf>
    <xf numFmtId="0" fontId="69" fillId="0" borderId="0" xfId="0" applyFont="1" applyAlignment="1">
      <alignment horizontal="left"/>
    </xf>
    <xf numFmtId="0" fontId="71" fillId="0" borderId="0" xfId="0" applyFont="1" applyAlignment="1">
      <alignment horizontal="center"/>
    </xf>
    <xf numFmtId="0" fontId="73" fillId="0" borderId="0" xfId="0" applyFont="1"/>
    <xf numFmtId="0" fontId="72" fillId="0" borderId="0" xfId="0" applyFont="1" applyAlignment="1">
      <alignment horizontal="center"/>
    </xf>
    <xf numFmtId="0" fontId="71" fillId="0" borderId="0" xfId="0" applyFont="1"/>
    <xf numFmtId="0" fontId="71" fillId="0" borderId="0" xfId="0" applyFont="1" applyAlignment="1">
      <alignment horizontal="right"/>
    </xf>
    <xf numFmtId="172" fontId="72" fillId="0" borderId="0" xfId="73" applyNumberFormat="1" applyFont="1" applyAlignment="1">
      <alignment horizontal="center"/>
    </xf>
    <xf numFmtId="172" fontId="74" fillId="0" borderId="0" xfId="73" applyNumberFormat="1" applyFont="1" applyAlignment="1">
      <alignment horizontal="center"/>
    </xf>
    <xf numFmtId="172" fontId="68" fillId="0" borderId="0" xfId="73" applyNumberFormat="1" applyFont="1" applyAlignment="1">
      <alignment horizontal="center"/>
    </xf>
    <xf numFmtId="172" fontId="72" fillId="0" borderId="0" xfId="73" applyNumberFormat="1" applyFont="1"/>
    <xf numFmtId="0" fontId="72" fillId="0" borderId="0" xfId="0" applyFont="1"/>
    <xf numFmtId="172" fontId="69" fillId="0" borderId="0" xfId="73" applyNumberFormat="1" applyFont="1"/>
    <xf numFmtId="172" fontId="74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172" fontId="69" fillId="0" borderId="0" xfId="73" applyNumberFormat="1" applyFont="1" applyAlignment="1">
      <alignment horizontal="center"/>
    </xf>
    <xf numFmtId="0" fontId="68" fillId="0" borderId="0" xfId="0" applyFont="1"/>
    <xf numFmtId="43" fontId="79" fillId="0" borderId="0" xfId="73" applyFont="1"/>
    <xf numFmtId="43" fontId="78" fillId="0" borderId="0" xfId="0" applyNumberFormat="1" applyFont="1"/>
    <xf numFmtId="0" fontId="77" fillId="0" borderId="0" xfId="0" applyFont="1" applyAlignment="1">
      <alignment vertical="center" wrapText="1"/>
    </xf>
    <xf numFmtId="0" fontId="81" fillId="0" borderId="6" xfId="8" applyFont="1" applyBorder="1" applyAlignment="1">
      <alignment horizontal="left" indent="2"/>
    </xf>
    <xf numFmtId="43" fontId="81" fillId="0" borderId="6" xfId="73" applyFont="1" applyBorder="1"/>
    <xf numFmtId="43" fontId="80" fillId="0" borderId="6" xfId="73" applyFont="1" applyBorder="1"/>
    <xf numFmtId="43" fontId="81" fillId="0" borderId="6" xfId="73" applyFont="1" applyBorder="1" applyAlignment="1">
      <alignment horizontal="center"/>
    </xf>
    <xf numFmtId="43" fontId="79" fillId="0" borderId="6" xfId="73" applyFont="1" applyBorder="1"/>
    <xf numFmtId="0" fontId="81" fillId="0" borderId="0" xfId="8" applyFont="1" applyAlignment="1">
      <alignment horizontal="left" indent="2"/>
    </xf>
    <xf numFmtId="43" fontId="81" fillId="0" borderId="0" xfId="73" applyFont="1" applyAlignment="1">
      <alignment horizontal="center"/>
    </xf>
    <xf numFmtId="0" fontId="82" fillId="0" borderId="0" xfId="8" applyFont="1" applyAlignment="1">
      <alignment horizontal="left" indent="2"/>
    </xf>
    <xf numFmtId="43" fontId="82" fillId="0" borderId="0" xfId="73" applyFont="1" applyAlignment="1">
      <alignment horizontal="center"/>
    </xf>
    <xf numFmtId="0" fontId="84" fillId="0" borderId="0" xfId="8" applyFont="1" applyAlignment="1">
      <alignment horizontal="left" indent="2"/>
    </xf>
    <xf numFmtId="43" fontId="82" fillId="0" borderId="0" xfId="73" applyFont="1"/>
    <xf numFmtId="0" fontId="87" fillId="0" borderId="0" xfId="8" applyFont="1" applyAlignment="1">
      <alignment horizontal="left" indent="2"/>
    </xf>
    <xf numFmtId="43" fontId="87" fillId="0" borderId="0" xfId="73" applyFont="1"/>
    <xf numFmtId="0" fontId="86" fillId="0" borderId="0" xfId="0" applyFont="1"/>
    <xf numFmtId="0" fontId="83" fillId="0" borderId="0" xfId="0" applyFont="1" applyAlignment="1">
      <alignment vertical="center" wrapText="1"/>
    </xf>
    <xf numFmtId="0" fontId="83" fillId="0" borderId="6" xfId="8" applyFont="1" applyBorder="1" applyAlignment="1">
      <alignment horizontal="left" indent="1"/>
    </xf>
    <xf numFmtId="43" fontId="80" fillId="0" borderId="0" xfId="0" applyNumberFormat="1" applyFont="1" applyAlignment="1">
      <alignment horizontal="left" vertical="center" wrapText="1" indent="1"/>
    </xf>
    <xf numFmtId="43" fontId="83" fillId="0" borderId="0" xfId="73" applyFont="1" applyAlignment="1">
      <alignment horizontal="center"/>
    </xf>
    <xf numFmtId="0" fontId="81" fillId="0" borderId="6" xfId="8" applyFont="1" applyBorder="1" applyAlignment="1">
      <alignment horizontal="left" indent="1"/>
    </xf>
    <xf numFmtId="43" fontId="83" fillId="0" borderId="6" xfId="73" applyFont="1" applyBorder="1" applyAlignment="1">
      <alignment horizontal="center"/>
    </xf>
    <xf numFmtId="0" fontId="83" fillId="0" borderId="6" xfId="8" applyFont="1" applyBorder="1" applyAlignment="1">
      <alignment horizontal="left" indent="2"/>
    </xf>
    <xf numFmtId="1" fontId="0" fillId="0" borderId="0" xfId="0" applyNumberFormat="1"/>
    <xf numFmtId="0" fontId="88" fillId="0" borderId="0" xfId="8" applyFont="1" applyAlignment="1">
      <alignment horizontal="left" indent="2"/>
    </xf>
    <xf numFmtId="43" fontId="83" fillId="0" borderId="0" xfId="0" applyNumberFormat="1" applyFont="1" applyAlignment="1">
      <alignment horizontal="center" vertical="center" wrapText="1"/>
    </xf>
    <xf numFmtId="0" fontId="81" fillId="0" borderId="0" xfId="0" applyFont="1" applyAlignment="1">
      <alignment horizontal="left" vertical="center"/>
    </xf>
    <xf numFmtId="43" fontId="81" fillId="0" borderId="0" xfId="73" applyFont="1" applyAlignment="1">
      <alignment horizontal="center" vertical="center"/>
    </xf>
    <xf numFmtId="0" fontId="81" fillId="0" borderId="0" xfId="8" applyFont="1" applyAlignment="1">
      <alignment horizontal="left" indent="1"/>
    </xf>
    <xf numFmtId="43" fontId="81" fillId="0" borderId="0" xfId="73" applyFont="1"/>
    <xf numFmtId="0" fontId="1" fillId="0" borderId="0" xfId="70" applyFont="1" applyAlignment="1">
      <alignment horizontal="left" indent="2"/>
    </xf>
    <xf numFmtId="10" fontId="11" fillId="0" borderId="0" xfId="70" applyNumberFormat="1" applyFont="1" applyAlignment="1">
      <alignment horizontal="center"/>
    </xf>
    <xf numFmtId="3" fontId="13" fillId="0" borderId="0" xfId="34" applyNumberFormat="1" applyFont="1" applyAlignment="1">
      <alignment horizontal="center"/>
    </xf>
    <xf numFmtId="0" fontId="1" fillId="0" borderId="27" xfId="70" applyFont="1" applyBorder="1"/>
    <xf numFmtId="9" fontId="13" fillId="23" borderId="0" xfId="70" applyNumberFormat="1" applyFill="1" applyAlignment="1">
      <alignment horizontal="left"/>
    </xf>
    <xf numFmtId="167" fontId="89" fillId="0" borderId="0" xfId="1" applyFont="1"/>
    <xf numFmtId="0" fontId="91" fillId="0" borderId="6" xfId="8" applyFont="1" applyBorder="1" applyAlignment="1">
      <alignment horizontal="left" indent="1"/>
    </xf>
    <xf numFmtId="43" fontId="92" fillId="0" borderId="6" xfId="73" applyFont="1" applyBorder="1"/>
    <xf numFmtId="0" fontId="93" fillId="0" borderId="0" xfId="0" applyFont="1" applyAlignment="1">
      <alignment horizontal="center"/>
    </xf>
    <xf numFmtId="0" fontId="93" fillId="0" borderId="0" xfId="0" applyFont="1"/>
    <xf numFmtId="0" fontId="91" fillId="0" borderId="6" xfId="8" applyFont="1" applyBorder="1" applyAlignment="1">
      <alignment horizontal="left" indent="2"/>
    </xf>
    <xf numFmtId="43" fontId="91" fillId="0" borderId="6" xfId="73" applyFont="1" applyBorder="1"/>
    <xf numFmtId="43" fontId="91" fillId="0" borderId="6" xfId="73" applyFont="1" applyBorder="1" applyAlignment="1">
      <alignment horizontal="center"/>
    </xf>
    <xf numFmtId="0" fontId="1" fillId="0" borderId="0" xfId="70" applyFont="1" applyAlignment="1">
      <alignment horizontal="center"/>
    </xf>
    <xf numFmtId="0" fontId="1" fillId="0" borderId="0" xfId="70" applyFont="1" applyAlignment="1">
      <alignment horizontal="left"/>
    </xf>
    <xf numFmtId="0" fontId="56" fillId="21" borderId="0" xfId="70" applyFont="1" applyFill="1" applyAlignment="1">
      <alignment horizontal="center"/>
    </xf>
    <xf numFmtId="0" fontId="56" fillId="21" borderId="0" xfId="70" applyFont="1" applyFill="1" applyAlignment="1">
      <alignment horizontal="left"/>
    </xf>
    <xf numFmtId="0" fontId="56" fillId="21" borderId="0" xfId="70" applyFont="1" applyFill="1"/>
    <xf numFmtId="40" fontId="55" fillId="21" borderId="0" xfId="70" applyNumberFormat="1" applyFont="1" applyFill="1"/>
    <xf numFmtId="38" fontId="55" fillId="21" borderId="0" xfId="71" applyNumberFormat="1" applyFont="1" applyFill="1"/>
    <xf numFmtId="9" fontId="55" fillId="21" borderId="0" xfId="70" applyNumberFormat="1" applyFont="1" applyFill="1"/>
    <xf numFmtId="0" fontId="94" fillId="21" borderId="24" xfId="4" applyFont="1" applyFill="1" applyBorder="1"/>
    <xf numFmtId="0" fontId="95" fillId="21" borderId="0" xfId="70" applyFont="1" applyFill="1" applyAlignment="1">
      <alignment horizontal="center"/>
    </xf>
    <xf numFmtId="0" fontId="95" fillId="21" borderId="0" xfId="70" applyFont="1" applyFill="1" applyAlignment="1">
      <alignment horizontal="left"/>
    </xf>
    <xf numFmtId="0" fontId="95" fillId="21" borderId="0" xfId="70" applyFont="1" applyFill="1"/>
    <xf numFmtId="0" fontId="67" fillId="21" borderId="27" xfId="70" applyFont="1" applyFill="1" applyBorder="1"/>
    <xf numFmtId="40" fontId="95" fillId="21" borderId="0" xfId="70" applyNumberFormat="1" applyFont="1" applyFill="1"/>
    <xf numFmtId="38" fontId="95" fillId="21" borderId="0" xfId="71" applyNumberFormat="1" applyFont="1" applyFill="1"/>
    <xf numFmtId="9" fontId="95" fillId="21" borderId="0" xfId="70" applyNumberFormat="1" applyFont="1" applyFill="1"/>
    <xf numFmtId="0" fontId="45" fillId="21" borderId="0" xfId="70" applyFont="1" applyFill="1"/>
    <xf numFmtId="0" fontId="56" fillId="21" borderId="27" xfId="70" applyFont="1" applyFill="1" applyBorder="1"/>
    <xf numFmtId="0" fontId="55" fillId="25" borderId="0" xfId="70" applyFont="1" applyFill="1" applyAlignment="1">
      <alignment horizontal="left" indent="2"/>
    </xf>
    <xf numFmtId="0" fontId="55" fillId="25" borderId="0" xfId="70" applyFont="1" applyFill="1" applyAlignment="1">
      <alignment horizontal="center"/>
    </xf>
    <xf numFmtId="3" fontId="55" fillId="25" borderId="0" xfId="70" applyNumberFormat="1" applyFont="1" applyFill="1"/>
    <xf numFmtId="40" fontId="55" fillId="25" borderId="0" xfId="70" applyNumberFormat="1" applyFont="1" applyFill="1" applyAlignment="1">
      <alignment horizontal="center"/>
    </xf>
    <xf numFmtId="4" fontId="55" fillId="25" borderId="27" xfId="70" applyNumberFormat="1" applyFont="1" applyFill="1" applyBorder="1"/>
    <xf numFmtId="40" fontId="61" fillId="25" borderId="0" xfId="71" applyNumberFormat="1" applyFont="1" applyFill="1"/>
    <xf numFmtId="38" fontId="55" fillId="25" borderId="0" xfId="71" applyNumberFormat="1" applyFont="1" applyFill="1"/>
    <xf numFmtId="9" fontId="55" fillId="25" borderId="0" xfId="70" applyNumberFormat="1" applyFont="1" applyFill="1"/>
    <xf numFmtId="0" fontId="55" fillId="26" borderId="0" xfId="70" applyFont="1" applyFill="1" applyAlignment="1">
      <alignment horizontal="left" indent="2"/>
    </xf>
    <xf numFmtId="0" fontId="55" fillId="26" borderId="0" xfId="70" applyFont="1" applyFill="1" applyAlignment="1">
      <alignment horizontal="center"/>
    </xf>
    <xf numFmtId="40" fontId="55" fillId="26" borderId="0" xfId="70" applyNumberFormat="1" applyFont="1" applyFill="1" applyAlignment="1">
      <alignment horizontal="center"/>
    </xf>
    <xf numFmtId="4" fontId="55" fillId="26" borderId="27" xfId="70" applyNumberFormat="1" applyFont="1" applyFill="1" applyBorder="1"/>
    <xf numFmtId="40" fontId="61" fillId="26" borderId="0" xfId="71" applyNumberFormat="1" applyFont="1" applyFill="1"/>
    <xf numFmtId="38" fontId="55" fillId="26" borderId="0" xfId="71" applyNumberFormat="1" applyFont="1" applyFill="1"/>
    <xf numFmtId="9" fontId="55" fillId="26" borderId="0" xfId="70" applyNumberFormat="1" applyFont="1" applyFill="1"/>
    <xf numFmtId="0" fontId="83" fillId="0" borderId="0" xfId="8" applyFont="1" applyAlignment="1">
      <alignment horizontal="left" indent="2"/>
    </xf>
    <xf numFmtId="0" fontId="55" fillId="0" borderId="0" xfId="70" applyFont="1" applyAlignment="1">
      <alignment horizontal="left" indent="2"/>
    </xf>
    <xf numFmtId="3" fontId="55" fillId="0" borderId="0" xfId="70" applyNumberFormat="1" applyFont="1"/>
    <xf numFmtId="40" fontId="55" fillId="0" borderId="0" xfId="70" applyNumberFormat="1" applyFont="1" applyAlignment="1">
      <alignment horizontal="center"/>
    </xf>
    <xf numFmtId="4" fontId="55" fillId="0" borderId="27" xfId="70" applyNumberFormat="1" applyFont="1" applyBorder="1"/>
    <xf numFmtId="40" fontId="61" fillId="0" borderId="0" xfId="71" applyNumberFormat="1" applyFont="1"/>
    <xf numFmtId="38" fontId="56" fillId="0" borderId="0" xfId="71" applyNumberFormat="1" applyFont="1"/>
    <xf numFmtId="0" fontId="96" fillId="0" borderId="0" xfId="70" applyFont="1"/>
    <xf numFmtId="0" fontId="97" fillId="0" borderId="0" xfId="70" applyFont="1" applyAlignment="1">
      <alignment horizontal="center"/>
    </xf>
    <xf numFmtId="3" fontId="97" fillId="0" borderId="0" xfId="70" applyNumberFormat="1" applyFont="1"/>
    <xf numFmtId="40" fontId="97" fillId="23" borderId="0" xfId="70" applyNumberFormat="1" applyFont="1" applyFill="1" applyAlignment="1">
      <alignment horizontal="center"/>
    </xf>
    <xf numFmtId="40" fontId="97" fillId="0" borderId="0" xfId="71" applyNumberFormat="1" applyFont="1"/>
    <xf numFmtId="38" fontId="97" fillId="0" borderId="0" xfId="71" applyNumberFormat="1" applyFont="1"/>
    <xf numFmtId="9" fontId="97" fillId="0" borderId="0" xfId="70" applyNumberFormat="1" applyFont="1"/>
    <xf numFmtId="0" fontId="97" fillId="0" borderId="0" xfId="70" applyFont="1"/>
    <xf numFmtId="177" fontId="13" fillId="0" borderId="27" xfId="70" applyNumberFormat="1" applyBorder="1"/>
    <xf numFmtId="0" fontId="98" fillId="0" borderId="0" xfId="70" applyFont="1"/>
    <xf numFmtId="40" fontId="27" fillId="0" borderId="0" xfId="71" applyNumberFormat="1" applyFont="1"/>
    <xf numFmtId="40" fontId="56" fillId="0" borderId="0" xfId="70" applyNumberFormat="1" applyFont="1" applyAlignment="1">
      <alignment horizontal="right"/>
    </xf>
    <xf numFmtId="0" fontId="56" fillId="0" borderId="0" xfId="70" applyFont="1" applyAlignment="1">
      <alignment horizontal="right"/>
    </xf>
    <xf numFmtId="40" fontId="99" fillId="0" borderId="0" xfId="70" applyNumberFormat="1" applyFont="1" applyAlignment="1">
      <alignment horizontal="right"/>
    </xf>
    <xf numFmtId="40" fontId="27" fillId="0" borderId="0" xfId="71" applyNumberFormat="1" applyFont="1" applyAlignment="1">
      <alignment horizontal="right"/>
    </xf>
    <xf numFmtId="0" fontId="98" fillId="25" borderId="0" xfId="70" applyFont="1" applyFill="1"/>
    <xf numFmtId="0" fontId="56" fillId="25" borderId="0" xfId="70" applyFont="1" applyFill="1" applyAlignment="1">
      <alignment horizontal="center"/>
    </xf>
    <xf numFmtId="0" fontId="56" fillId="25" borderId="27" xfId="70" applyFont="1" applyFill="1" applyBorder="1"/>
    <xf numFmtId="40" fontId="56" fillId="25" borderId="0" xfId="70" applyNumberFormat="1" applyFont="1" applyFill="1"/>
    <xf numFmtId="0" fontId="90" fillId="0" borderId="24" xfId="4" applyFont="1" applyBorder="1" applyAlignment="1">
      <alignment horizontal="left" indent="2"/>
    </xf>
    <xf numFmtId="0" fontId="1" fillId="0" borderId="0" xfId="70" quotePrefix="1" applyFont="1" applyAlignment="1">
      <alignment horizontal="left" indent="3"/>
    </xf>
    <xf numFmtId="4" fontId="97" fillId="0" borderId="27" xfId="70" applyNumberFormat="1" applyFont="1" applyBorder="1" applyAlignment="1">
      <alignment horizontal="center"/>
    </xf>
    <xf numFmtId="40" fontId="1" fillId="0" borderId="0" xfId="70" applyNumberFormat="1" applyFont="1"/>
    <xf numFmtId="0" fontId="5" fillId="0" borderId="0" xfId="70" applyFont="1" applyAlignment="1">
      <alignment horizontal="left"/>
    </xf>
    <xf numFmtId="0" fontId="44" fillId="0" borderId="0" xfId="70" applyFont="1" applyAlignment="1">
      <alignment horizontal="left" indent="2"/>
    </xf>
    <xf numFmtId="0" fontId="6" fillId="0" borderId="0" xfId="70" applyFont="1" applyAlignment="1">
      <alignment horizontal="left" indent="1"/>
    </xf>
    <xf numFmtId="0" fontId="77" fillId="29" borderId="6" xfId="0" applyFont="1" applyFill="1" applyBorder="1" applyAlignment="1">
      <alignment horizontal="center" vertical="center" wrapText="1"/>
    </xf>
    <xf numFmtId="0" fontId="77" fillId="29" borderId="25" xfId="0" applyFont="1" applyFill="1" applyBorder="1" applyAlignment="1">
      <alignment horizontal="center" vertical="center" wrapText="1"/>
    </xf>
    <xf numFmtId="0" fontId="77" fillId="29" borderId="11" xfId="0" applyFont="1" applyFill="1" applyBorder="1" applyAlignment="1">
      <alignment horizontal="center" vertical="center" wrapText="1"/>
    </xf>
    <xf numFmtId="0" fontId="81" fillId="0" borderId="6" xfId="8" applyFont="1" applyBorder="1" applyAlignment="1">
      <alignment horizontal="left" wrapText="1" indent="2"/>
    </xf>
    <xf numFmtId="0" fontId="38" fillId="0" borderId="0" xfId="84"/>
    <xf numFmtId="43" fontId="81" fillId="0" borderId="6" xfId="73" applyFont="1" applyFill="1" applyBorder="1" applyAlignment="1">
      <alignment horizontal="center"/>
    </xf>
    <xf numFmtId="43" fontId="81" fillId="0" borderId="6" xfId="73" applyFont="1" applyFill="1" applyBorder="1"/>
    <xf numFmtId="172" fontId="72" fillId="0" borderId="0" xfId="73" applyNumberFormat="1" applyFont="1" applyFill="1"/>
    <xf numFmtId="0" fontId="81" fillId="33" borderId="6" xfId="8" applyFont="1" applyFill="1" applyBorder="1" applyAlignment="1">
      <alignment horizontal="left" indent="2"/>
    </xf>
    <xf numFmtId="43" fontId="81" fillId="33" borderId="6" xfId="73" applyFont="1" applyFill="1" applyBorder="1" applyAlignment="1">
      <alignment horizontal="center"/>
    </xf>
    <xf numFmtId="43" fontId="81" fillId="33" borderId="6" xfId="73" applyFont="1" applyFill="1" applyBorder="1"/>
    <xf numFmtId="0" fontId="72" fillId="33" borderId="0" xfId="0" applyFont="1" applyFill="1" applyAlignment="1">
      <alignment horizontal="center"/>
    </xf>
    <xf numFmtId="172" fontId="72" fillId="33" borderId="0" xfId="73" applyNumberFormat="1" applyFont="1" applyFill="1"/>
    <xf numFmtId="0" fontId="72" fillId="33" borderId="0" xfId="0" applyFont="1" applyFill="1"/>
    <xf numFmtId="0" fontId="81" fillId="34" borderId="6" xfId="8" applyFont="1" applyFill="1" applyBorder="1" applyAlignment="1">
      <alignment horizontal="left" indent="2"/>
    </xf>
    <xf numFmtId="43" fontId="81" fillId="34" borderId="6" xfId="73" applyFont="1" applyFill="1" applyBorder="1"/>
    <xf numFmtId="43" fontId="81" fillId="34" borderId="6" xfId="73" applyFont="1" applyFill="1" applyBorder="1" applyAlignment="1">
      <alignment horizontal="center"/>
    </xf>
    <xf numFmtId="0" fontId="72" fillId="34" borderId="0" xfId="0" applyFont="1" applyFill="1" applyAlignment="1">
      <alignment horizontal="center"/>
    </xf>
    <xf numFmtId="172" fontId="72" fillId="34" borderId="0" xfId="73" applyNumberFormat="1" applyFont="1" applyFill="1"/>
    <xf numFmtId="0" fontId="72" fillId="34" borderId="0" xfId="0" applyFont="1" applyFill="1"/>
    <xf numFmtId="0" fontId="81" fillId="35" borderId="6" xfId="8" applyFont="1" applyFill="1" applyBorder="1" applyAlignment="1">
      <alignment horizontal="left" indent="2"/>
    </xf>
    <xf numFmtId="43" fontId="81" fillId="35" borderId="6" xfId="73" applyFont="1" applyFill="1" applyBorder="1" applyAlignment="1">
      <alignment horizontal="center"/>
    </xf>
    <xf numFmtId="43" fontId="80" fillId="35" borderId="6" xfId="73" applyFont="1" applyFill="1" applyBorder="1"/>
    <xf numFmtId="0" fontId="72" fillId="35" borderId="0" xfId="0" applyFont="1" applyFill="1" applyAlignment="1">
      <alignment horizontal="center"/>
    </xf>
    <xf numFmtId="0" fontId="72" fillId="35" borderId="0" xfId="0" applyFont="1" applyFill="1"/>
    <xf numFmtId="0" fontId="106" fillId="0" borderId="6" xfId="0" applyFont="1" applyBorder="1" applyAlignment="1">
      <alignment horizontal="left" indent="2"/>
    </xf>
    <xf numFmtId="0" fontId="106" fillId="0" borderId="11" xfId="0" applyFont="1" applyBorder="1" applyAlignment="1">
      <alignment horizontal="left" indent="2"/>
    </xf>
    <xf numFmtId="43" fontId="72" fillId="35" borderId="0" xfId="0" applyNumberFormat="1" applyFont="1" applyFill="1"/>
    <xf numFmtId="0" fontId="69" fillId="35" borderId="0" xfId="0" applyFont="1" applyFill="1" applyAlignment="1">
      <alignment horizontal="center"/>
    </xf>
    <xf numFmtId="0" fontId="69" fillId="35" borderId="0" xfId="0" applyFont="1" applyFill="1"/>
    <xf numFmtId="172" fontId="72" fillId="0" borderId="0" xfId="73" applyNumberFormat="1" applyFont="1" applyFill="1" applyAlignment="1">
      <alignment horizontal="center"/>
    </xf>
    <xf numFmtId="172" fontId="68" fillId="0" borderId="0" xfId="73" applyNumberFormat="1" applyFont="1" applyFill="1" applyAlignment="1">
      <alignment horizontal="center"/>
    </xf>
    <xf numFmtId="43" fontId="68" fillId="35" borderId="0" xfId="0" applyNumberFormat="1" applyFont="1" applyFill="1" applyAlignment="1">
      <alignment horizontal="center"/>
    </xf>
    <xf numFmtId="1" fontId="88" fillId="0" borderId="0" xfId="8" applyNumberFormat="1" applyFont="1" applyAlignment="1">
      <alignment horizontal="left" indent="2"/>
    </xf>
    <xf numFmtId="1" fontId="77" fillId="29" borderId="6" xfId="0" applyNumberFormat="1" applyFont="1" applyFill="1" applyBorder="1" applyAlignment="1">
      <alignment horizontal="center" vertical="center" wrapText="1"/>
    </xf>
    <xf numFmtId="1" fontId="91" fillId="0" borderId="6" xfId="8" applyNumberFormat="1" applyFont="1" applyBorder="1" applyAlignment="1">
      <alignment horizontal="left" indent="1"/>
    </xf>
    <xf numFmtId="1" fontId="91" fillId="0" borderId="6" xfId="8" applyNumberFormat="1" applyFont="1" applyBorder="1" applyAlignment="1">
      <alignment horizontal="left" indent="2"/>
    </xf>
    <xf numFmtId="1" fontId="83" fillId="0" borderId="6" xfId="8" applyNumberFormat="1" applyFont="1" applyBorder="1" applyAlignment="1">
      <alignment horizontal="left" indent="1"/>
    </xf>
    <xf numFmtId="1" fontId="81" fillId="0" borderId="6" xfId="8" applyNumberFormat="1" applyFont="1" applyBorder="1" applyAlignment="1">
      <alignment horizontal="left" indent="2"/>
    </xf>
    <xf numFmtId="1" fontId="81" fillId="33" borderId="6" xfId="8" applyNumberFormat="1" applyFont="1" applyFill="1" applyBorder="1" applyAlignment="1">
      <alignment horizontal="left" indent="2"/>
    </xf>
    <xf numFmtId="1" fontId="81" fillId="35" borderId="6" xfId="8" applyNumberFormat="1" applyFont="1" applyFill="1" applyBorder="1" applyAlignment="1">
      <alignment horizontal="left" indent="2"/>
    </xf>
    <xf numFmtId="1" fontId="81" fillId="34" borderId="6" xfId="8" applyNumberFormat="1" applyFont="1" applyFill="1" applyBorder="1" applyAlignment="1">
      <alignment horizontal="left" indent="2"/>
    </xf>
    <xf numFmtId="1" fontId="83" fillId="0" borderId="6" xfId="8" applyNumberFormat="1" applyFont="1" applyBorder="1" applyAlignment="1">
      <alignment horizontal="left" indent="2"/>
    </xf>
    <xf numFmtId="1" fontId="72" fillId="0" borderId="0" xfId="0" applyNumberFormat="1" applyFont="1"/>
    <xf numFmtId="1" fontId="71" fillId="0" borderId="0" xfId="0" applyNumberFormat="1" applyFont="1"/>
    <xf numFmtId="1" fontId="72" fillId="35" borderId="0" xfId="0" applyNumberFormat="1" applyFont="1" applyFill="1"/>
    <xf numFmtId="1" fontId="69" fillId="0" borderId="0" xfId="0" applyNumberFormat="1" applyFont="1"/>
    <xf numFmtId="1" fontId="68" fillId="0" borderId="0" xfId="0" applyNumberFormat="1" applyFont="1"/>
    <xf numFmtId="0" fontId="108" fillId="0" borderId="0" xfId="0" applyFont="1"/>
    <xf numFmtId="0" fontId="106" fillId="36" borderId="11" xfId="0" applyFont="1" applyFill="1" applyBorder="1" applyAlignment="1">
      <alignment horizontal="left" indent="2"/>
    </xf>
    <xf numFmtId="0" fontId="106" fillId="37" borderId="11" xfId="0" applyFont="1" applyFill="1" applyBorder="1" applyAlignment="1">
      <alignment horizontal="left" indent="2"/>
    </xf>
    <xf numFmtId="43" fontId="72" fillId="35" borderId="0" xfId="0" applyNumberFormat="1" applyFont="1" applyFill="1" applyAlignment="1">
      <alignment horizontal="center"/>
    </xf>
    <xf numFmtId="0" fontId="106" fillId="38" borderId="11" xfId="0" applyFont="1" applyFill="1" applyBorder="1" applyAlignment="1">
      <alignment horizontal="left" indent="2"/>
    </xf>
    <xf numFmtId="0" fontId="109" fillId="0" borderId="11" xfId="0" applyFont="1" applyBorder="1" applyAlignment="1">
      <alignment horizontal="left" indent="2"/>
    </xf>
    <xf numFmtId="0" fontId="107" fillId="0" borderId="11" xfId="0" applyFont="1" applyBorder="1" applyAlignment="1">
      <alignment horizontal="left" indent="2"/>
    </xf>
    <xf numFmtId="0" fontId="110" fillId="0" borderId="0" xfId="0" applyFont="1"/>
    <xf numFmtId="0" fontId="111" fillId="0" borderId="0" xfId="0" applyFont="1"/>
    <xf numFmtId="0" fontId="110" fillId="38" borderId="0" xfId="0" applyFont="1" applyFill="1"/>
    <xf numFmtId="0" fontId="109" fillId="0" borderId="6" xfId="0" applyFont="1" applyBorder="1" applyAlignment="1">
      <alignment horizontal="left" indent="2"/>
    </xf>
    <xf numFmtId="0" fontId="112" fillId="0" borderId="0" xfId="0" applyFont="1" applyAlignment="1">
      <alignment horizontal="left" indent="2"/>
    </xf>
    <xf numFmtId="0" fontId="113" fillId="39" borderId="6" xfId="0" applyFont="1" applyFill="1" applyBorder="1" applyAlignment="1">
      <alignment horizontal="center" vertical="center" wrapText="1"/>
    </xf>
    <xf numFmtId="0" fontId="113" fillId="39" borderId="11" xfId="0" applyFont="1" applyFill="1" applyBorder="1" applyAlignment="1">
      <alignment horizontal="center" vertical="center" wrapText="1"/>
    </xf>
    <xf numFmtId="0" fontId="107" fillId="0" borderId="11" xfId="0" applyFont="1" applyBorder="1" applyAlignment="1">
      <alignment horizontal="left" indent="1"/>
    </xf>
    <xf numFmtId="0" fontId="106" fillId="36" borderId="6" xfId="0" applyFont="1" applyFill="1" applyBorder="1" applyAlignment="1">
      <alignment horizontal="left" indent="2"/>
    </xf>
    <xf numFmtId="0" fontId="83" fillId="0" borderId="6" xfId="8" applyFont="1" applyBorder="1" applyAlignment="1">
      <alignment horizontal="center" vertical="center"/>
    </xf>
    <xf numFmtId="0" fontId="81" fillId="0" borderId="6" xfId="8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105" fillId="0" borderId="6" xfId="0" applyFont="1" applyBorder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83" fillId="0" borderId="6" xfId="8" applyFont="1" applyBorder="1" applyAlignment="1">
      <alignment horizontal="center" vertical="center" wrapText="1"/>
    </xf>
    <xf numFmtId="0" fontId="81" fillId="0" borderId="6" xfId="8" applyFont="1" applyBorder="1" applyAlignment="1">
      <alignment horizontal="center" vertical="center" wrapText="1"/>
    </xf>
    <xf numFmtId="0" fontId="104" fillId="0" borderId="6" xfId="0" applyFont="1" applyBorder="1" applyAlignment="1">
      <alignment horizontal="center" vertical="center"/>
    </xf>
    <xf numFmtId="0" fontId="83" fillId="0" borderId="11" xfId="8" applyFont="1" applyBorder="1" applyAlignment="1">
      <alignment horizontal="center" vertical="center"/>
    </xf>
    <xf numFmtId="0" fontId="83" fillId="34" borderId="11" xfId="8" applyFont="1" applyFill="1" applyBorder="1" applyAlignment="1">
      <alignment horizontal="center" vertical="center"/>
    </xf>
    <xf numFmtId="0" fontId="81" fillId="34" borderId="6" xfId="8" applyFont="1" applyFill="1" applyBorder="1" applyAlignment="1">
      <alignment horizontal="center" vertical="center"/>
    </xf>
    <xf numFmtId="0" fontId="69" fillId="34" borderId="0" xfId="0" applyFont="1" applyFill="1" applyAlignment="1">
      <alignment horizontal="center"/>
    </xf>
    <xf numFmtId="0" fontId="69" fillId="34" borderId="0" xfId="0" applyFont="1" applyFill="1"/>
    <xf numFmtId="0" fontId="69" fillId="0" borderId="6" xfId="0" applyFont="1" applyBorder="1" applyAlignment="1">
      <alignment horizontal="center"/>
    </xf>
    <xf numFmtId="0" fontId="69" fillId="0" borderId="6" xfId="0" applyFont="1" applyBorder="1"/>
    <xf numFmtId="43" fontId="115" fillId="40" borderId="6" xfId="0" applyNumberFormat="1" applyFont="1" applyFill="1" applyBorder="1"/>
    <xf numFmtId="43" fontId="115" fillId="41" borderId="11" xfId="0" applyNumberFormat="1" applyFont="1" applyFill="1" applyBorder="1"/>
    <xf numFmtId="43" fontId="106" fillId="42" borderId="11" xfId="0" applyNumberFormat="1" applyFont="1" applyFill="1" applyBorder="1"/>
    <xf numFmtId="43" fontId="106" fillId="43" borderId="11" xfId="0" applyNumberFormat="1" applyFont="1" applyFill="1" applyBorder="1"/>
    <xf numFmtId="43" fontId="106" fillId="45" borderId="11" xfId="0" applyNumberFormat="1" applyFont="1" applyFill="1" applyBorder="1"/>
    <xf numFmtId="43" fontId="106" fillId="0" borderId="0" xfId="0" applyNumberFormat="1" applyFont="1"/>
    <xf numFmtId="43" fontId="107" fillId="0" borderId="11" xfId="0" applyNumberFormat="1" applyFont="1" applyBorder="1" applyAlignment="1">
      <alignment horizontal="center"/>
    </xf>
    <xf numFmtId="43" fontId="106" fillId="0" borderId="11" xfId="0" applyNumberFormat="1" applyFont="1" applyBorder="1"/>
    <xf numFmtId="43" fontId="69" fillId="0" borderId="6" xfId="0" applyNumberFormat="1" applyFont="1" applyBorder="1"/>
    <xf numFmtId="0" fontId="83" fillId="34" borderId="6" xfId="8" applyFont="1" applyFill="1" applyBorder="1" applyAlignment="1">
      <alignment horizontal="left" indent="2"/>
    </xf>
    <xf numFmtId="43" fontId="83" fillId="34" borderId="6" xfId="73" applyFont="1" applyFill="1" applyBorder="1" applyAlignment="1">
      <alignment horizontal="center"/>
    </xf>
    <xf numFmtId="0" fontId="69" fillId="34" borderId="6" xfId="0" applyFont="1" applyFill="1" applyBorder="1"/>
    <xf numFmtId="43" fontId="69" fillId="34" borderId="6" xfId="0" applyNumberFormat="1" applyFont="1" applyFill="1" applyBorder="1"/>
    <xf numFmtId="43" fontId="69" fillId="34" borderId="6" xfId="0" applyNumberFormat="1" applyFont="1" applyFill="1" applyBorder="1" applyAlignment="1">
      <alignment horizontal="center"/>
    </xf>
    <xf numFmtId="0" fontId="69" fillId="0" borderId="11" xfId="0" applyFont="1" applyBorder="1"/>
    <xf numFmtId="43" fontId="83" fillId="0" borderId="0" xfId="73" applyFont="1" applyFill="1" applyBorder="1" applyAlignment="1">
      <alignment horizontal="center"/>
    </xf>
    <xf numFmtId="43" fontId="69" fillId="0" borderId="0" xfId="0" applyNumberFormat="1" applyFont="1" applyAlignment="1">
      <alignment horizontal="center"/>
    </xf>
    <xf numFmtId="43" fontId="69" fillId="0" borderId="0" xfId="0" applyNumberFormat="1" applyFont="1"/>
    <xf numFmtId="43" fontId="106" fillId="0" borderId="6" xfId="0" applyNumberFormat="1" applyFont="1" applyBorder="1"/>
    <xf numFmtId="43" fontId="106" fillId="37" borderId="11" xfId="0" applyNumberFormat="1" applyFont="1" applyFill="1" applyBorder="1"/>
    <xf numFmtId="0" fontId="83" fillId="21" borderId="6" xfId="8" applyFont="1" applyFill="1" applyBorder="1" applyAlignment="1">
      <alignment horizontal="left" indent="1"/>
    </xf>
    <xf numFmtId="43" fontId="79" fillId="21" borderId="6" xfId="73" applyFont="1" applyFill="1" applyBorder="1"/>
    <xf numFmtId="43" fontId="80" fillId="21" borderId="6" xfId="73" applyFont="1" applyFill="1" applyBorder="1"/>
    <xf numFmtId="43" fontId="115" fillId="21" borderId="11" xfId="0" applyNumberFormat="1" applyFont="1" applyFill="1" applyBorder="1"/>
    <xf numFmtId="0" fontId="69" fillId="21" borderId="6" xfId="0" applyFont="1" applyFill="1" applyBorder="1"/>
    <xf numFmtId="0" fontId="69" fillId="21" borderId="11" xfId="0" applyFont="1" applyFill="1" applyBorder="1"/>
    <xf numFmtId="0" fontId="69" fillId="21" borderId="0" xfId="0" applyFont="1" applyFill="1"/>
    <xf numFmtId="0" fontId="83" fillId="35" borderId="6" xfId="8" applyFont="1" applyFill="1" applyBorder="1" applyAlignment="1">
      <alignment horizontal="left" indent="1"/>
    </xf>
    <xf numFmtId="43" fontId="79" fillId="35" borderId="6" xfId="73" applyFont="1" applyFill="1" applyBorder="1"/>
    <xf numFmtId="43" fontId="115" fillId="35" borderId="11" xfId="0" applyNumberFormat="1" applyFont="1" applyFill="1" applyBorder="1"/>
    <xf numFmtId="0" fontId="69" fillId="35" borderId="6" xfId="0" applyFont="1" applyFill="1" applyBorder="1"/>
    <xf numFmtId="43" fontId="81" fillId="35" borderId="6" xfId="73" applyFont="1" applyFill="1" applyBorder="1"/>
    <xf numFmtId="0" fontId="69" fillId="35" borderId="11" xfId="0" applyFont="1" applyFill="1" applyBorder="1"/>
    <xf numFmtId="43" fontId="106" fillId="46" borderId="11" xfId="0" applyNumberFormat="1" applyFont="1" applyFill="1" applyBorder="1"/>
    <xf numFmtId="0" fontId="81" fillId="25" borderId="6" xfId="8" applyFont="1" applyFill="1" applyBorder="1" applyAlignment="1">
      <alignment horizontal="left" indent="2"/>
    </xf>
    <xf numFmtId="43" fontId="81" fillId="25" borderId="6" xfId="73" applyFont="1" applyFill="1" applyBorder="1"/>
    <xf numFmtId="43" fontId="106" fillId="47" borderId="11" xfId="0" applyNumberFormat="1" applyFont="1" applyFill="1" applyBorder="1"/>
    <xf numFmtId="0" fontId="69" fillId="25" borderId="6" xfId="0" applyFont="1" applyFill="1" applyBorder="1"/>
    <xf numFmtId="43" fontId="106" fillId="25" borderId="0" xfId="0" applyNumberFormat="1" applyFont="1" applyFill="1"/>
    <xf numFmtId="0" fontId="69" fillId="25" borderId="0" xfId="0" applyFont="1" applyFill="1"/>
    <xf numFmtId="0" fontId="83" fillId="44" borderId="6" xfId="8" applyFont="1" applyFill="1" applyBorder="1" applyAlignment="1">
      <alignment horizontal="left" indent="1"/>
    </xf>
    <xf numFmtId="43" fontId="79" fillId="44" borderId="6" xfId="73" applyFont="1" applyFill="1" applyBorder="1"/>
    <xf numFmtId="43" fontId="80" fillId="44" borderId="6" xfId="73" applyFont="1" applyFill="1" applyBorder="1"/>
    <xf numFmtId="43" fontId="106" fillId="48" borderId="11" xfId="0" applyNumberFormat="1" applyFont="1" applyFill="1" applyBorder="1"/>
    <xf numFmtId="0" fontId="69" fillId="44" borderId="6" xfId="0" applyFont="1" applyFill="1" applyBorder="1"/>
    <xf numFmtId="43" fontId="81" fillId="44" borderId="6" xfId="73" applyFont="1" applyFill="1" applyBorder="1"/>
    <xf numFmtId="43" fontId="106" fillId="44" borderId="0" xfId="0" applyNumberFormat="1" applyFont="1" applyFill="1"/>
    <xf numFmtId="0" fontId="69" fillId="44" borderId="0" xfId="0" applyFont="1" applyFill="1"/>
    <xf numFmtId="0" fontId="81" fillId="49" borderId="6" xfId="8" applyFont="1" applyFill="1" applyBorder="1" applyAlignment="1">
      <alignment horizontal="left" indent="2"/>
    </xf>
    <xf numFmtId="43" fontId="81" fillId="49" borderId="6" xfId="73" applyFont="1" applyFill="1" applyBorder="1"/>
    <xf numFmtId="43" fontId="106" fillId="49" borderId="11" xfId="0" applyNumberFormat="1" applyFont="1" applyFill="1" applyBorder="1"/>
    <xf numFmtId="0" fontId="69" fillId="49" borderId="6" xfId="0" applyFont="1" applyFill="1" applyBorder="1"/>
    <xf numFmtId="0" fontId="69" fillId="49" borderId="11" xfId="0" applyFont="1" applyFill="1" applyBorder="1"/>
    <xf numFmtId="0" fontId="69" fillId="49" borderId="0" xfId="0" applyFont="1" applyFill="1"/>
    <xf numFmtId="43" fontId="106" fillId="50" borderId="11" xfId="0" applyNumberFormat="1" applyFont="1" applyFill="1" applyBorder="1"/>
    <xf numFmtId="43" fontId="69" fillId="49" borderId="6" xfId="0" applyNumberFormat="1" applyFont="1" applyFill="1" applyBorder="1"/>
    <xf numFmtId="0" fontId="47" fillId="0" borderId="0" xfId="70" applyFont="1" applyAlignment="1">
      <alignment horizontal="center"/>
    </xf>
    <xf numFmtId="0" fontId="47" fillId="0" borderId="27" xfId="70" applyFont="1" applyBorder="1" applyAlignment="1">
      <alignment horizontal="center"/>
    </xf>
    <xf numFmtId="0" fontId="57" fillId="27" borderId="0" xfId="70" applyFont="1" applyFill="1" applyAlignment="1">
      <alignment horizontal="center" vertical="center"/>
    </xf>
    <xf numFmtId="17" fontId="77" fillId="31" borderId="6" xfId="72" applyNumberFormat="1" applyFont="1" applyFill="1" applyBorder="1" applyAlignment="1">
      <alignment horizontal="center" vertical="center"/>
    </xf>
    <xf numFmtId="17" fontId="77" fillId="30" borderId="25" xfId="72" applyNumberFormat="1" applyFont="1" applyFill="1" applyBorder="1" applyAlignment="1">
      <alignment horizontal="center" vertical="center"/>
    </xf>
    <xf numFmtId="17" fontId="77" fillId="30" borderId="11" xfId="72" applyNumberFormat="1" applyFont="1" applyFill="1" applyBorder="1" applyAlignment="1">
      <alignment horizontal="center" vertical="center"/>
    </xf>
    <xf numFmtId="176" fontId="77" fillId="27" borderId="6" xfId="72" applyFont="1" applyFill="1" applyBorder="1" applyAlignment="1">
      <alignment horizontal="center" vertical="center"/>
    </xf>
    <xf numFmtId="17" fontId="77" fillId="30" borderId="6" xfId="72" applyNumberFormat="1" applyFont="1" applyFill="1" applyBorder="1" applyAlignment="1">
      <alignment horizontal="center" vertical="center"/>
    </xf>
    <xf numFmtId="0" fontId="77" fillId="29" borderId="6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/>
    </xf>
    <xf numFmtId="17" fontId="77" fillId="31" borderId="6" xfId="73" applyNumberFormat="1" applyFont="1" applyFill="1" applyBorder="1" applyAlignment="1">
      <alignment horizontal="center" vertical="center"/>
    </xf>
    <xf numFmtId="17" fontId="77" fillId="30" borderId="6" xfId="73" applyNumberFormat="1" applyFont="1" applyFill="1" applyBorder="1" applyAlignment="1">
      <alignment horizontal="center" vertical="center"/>
    </xf>
    <xf numFmtId="0" fontId="77" fillId="29" borderId="25" xfId="0" applyFont="1" applyFill="1" applyBorder="1" applyAlignment="1">
      <alignment horizontal="center" vertical="center" wrapText="1"/>
    </xf>
    <xf numFmtId="0" fontId="77" fillId="29" borderId="11" xfId="0" applyFont="1" applyFill="1" applyBorder="1" applyAlignment="1">
      <alignment horizontal="center" vertical="center" wrapText="1"/>
    </xf>
    <xf numFmtId="0" fontId="81" fillId="0" borderId="25" xfId="8" applyFont="1" applyBorder="1" applyAlignment="1">
      <alignment horizontal="center" vertical="center"/>
    </xf>
    <xf numFmtId="0" fontId="81" fillId="0" borderId="31" xfId="8" applyFont="1" applyBorder="1" applyAlignment="1">
      <alignment horizontal="center" vertical="center"/>
    </xf>
    <xf numFmtId="0" fontId="81" fillId="0" borderId="11" xfId="8" applyFont="1" applyBorder="1" applyAlignment="1">
      <alignment horizontal="center" vertical="center"/>
    </xf>
    <xf numFmtId="0" fontId="83" fillId="0" borderId="25" xfId="8" applyFont="1" applyBorder="1" applyAlignment="1">
      <alignment horizontal="center" vertical="center"/>
    </xf>
    <xf numFmtId="0" fontId="83" fillId="0" borderId="31" xfId="8" applyFont="1" applyBorder="1" applyAlignment="1">
      <alignment horizontal="center" vertical="center"/>
    </xf>
    <xf numFmtId="0" fontId="83" fillId="0" borderId="11" xfId="8" applyFont="1" applyBorder="1" applyAlignment="1">
      <alignment horizontal="center" vertical="center"/>
    </xf>
    <xf numFmtId="0" fontId="81" fillId="0" borderId="25" xfId="8" applyFont="1" applyBorder="1" applyAlignment="1">
      <alignment horizontal="center" vertical="center" wrapText="1"/>
    </xf>
    <xf numFmtId="0" fontId="81" fillId="0" borderId="31" xfId="8" applyFont="1" applyBorder="1" applyAlignment="1">
      <alignment horizontal="center" vertical="center" wrapText="1"/>
    </xf>
    <xf numFmtId="0" fontId="81" fillId="0" borderId="11" xfId="8" applyFont="1" applyBorder="1" applyAlignment="1">
      <alignment horizontal="center" vertical="center" wrapText="1"/>
    </xf>
    <xf numFmtId="167" fontId="20" fillId="7" borderId="0" xfId="0" applyNumberFormat="1" applyFont="1" applyFill="1" applyAlignment="1" applyProtection="1">
      <alignment horizontal="center" vertical="center"/>
      <protection locked="0"/>
    </xf>
    <xf numFmtId="0" fontId="20" fillId="17" borderId="4" xfId="0" applyFont="1" applyFill="1" applyBorder="1" applyAlignment="1">
      <alignment horizontal="right"/>
    </xf>
    <xf numFmtId="0" fontId="20" fillId="0" borderId="0" xfId="0" applyFont="1" applyProtection="1">
      <protection locked="0"/>
    </xf>
    <xf numFmtId="0" fontId="20" fillId="4" borderId="0" xfId="0" applyFont="1" applyFill="1" applyAlignment="1" applyProtection="1">
      <alignment horizontal="center" vertical="center"/>
      <protection locked="0"/>
    </xf>
    <xf numFmtId="167" fontId="20" fillId="5" borderId="0" xfId="0" applyNumberFormat="1" applyFont="1" applyFill="1" applyAlignment="1" applyProtection="1">
      <alignment horizontal="center" vertical="center"/>
      <protection locked="0"/>
    </xf>
    <xf numFmtId="0" fontId="20" fillId="6" borderId="0" xfId="0" applyFont="1" applyFill="1" applyAlignment="1" applyProtection="1">
      <alignment horizontal="center" vertical="center"/>
      <protection locked="0"/>
    </xf>
    <xf numFmtId="0" fontId="17" fillId="0" borderId="10" xfId="0" applyFont="1" applyBorder="1" applyAlignment="1" applyProtection="1">
      <alignment horizontal="left"/>
      <protection locked="0"/>
    </xf>
    <xf numFmtId="0" fontId="17" fillId="2" borderId="0" xfId="0" applyFont="1" applyFill="1" applyAlignment="1" applyProtection="1">
      <alignment horizontal="left"/>
      <protection locked="0"/>
    </xf>
    <xf numFmtId="0" fontId="17" fillId="0" borderId="10" xfId="0" applyFont="1" applyBorder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176" fontId="77" fillId="27" borderId="25" xfId="72" applyFont="1" applyFill="1" applyBorder="1" applyAlignment="1">
      <alignment horizontal="center" vertical="center"/>
    </xf>
    <xf numFmtId="176" fontId="77" fillId="27" borderId="11" xfId="72" applyFont="1" applyFill="1" applyBorder="1" applyAlignment="1">
      <alignment horizontal="center" vertical="center"/>
    </xf>
    <xf numFmtId="17" fontId="77" fillId="31" borderId="25" xfId="72" applyNumberFormat="1" applyFont="1" applyFill="1" applyBorder="1" applyAlignment="1">
      <alignment horizontal="center" vertical="center"/>
    </xf>
    <xf numFmtId="17" fontId="77" fillId="31" borderId="11" xfId="72" applyNumberFormat="1" applyFont="1" applyFill="1" applyBorder="1" applyAlignment="1">
      <alignment horizontal="center" vertical="center"/>
    </xf>
  </cellXfs>
  <cellStyles count="85">
    <cellStyle name="Comma" xfId="1" builtinId="3"/>
    <cellStyle name="Comma 10" xfId="81" xr:uid="{00000000-0005-0000-0000-000001000000}"/>
    <cellStyle name="Comma 2" xfId="5" xr:uid="{00000000-0005-0000-0000-000002000000}"/>
    <cellStyle name="Comma 2 2" xfId="35" xr:uid="{00000000-0005-0000-0000-000003000000}"/>
    <cellStyle name="Comma 2 3" xfId="62" xr:uid="{00000000-0005-0000-0000-000004000000}"/>
    <cellStyle name="Comma 2 4" xfId="73" xr:uid="{00000000-0005-0000-0000-000005000000}"/>
    <cellStyle name="Comma 2 5" xfId="75" xr:uid="{00000000-0005-0000-0000-000006000000}"/>
    <cellStyle name="Comma 3" xfId="10" xr:uid="{00000000-0005-0000-0000-000007000000}"/>
    <cellStyle name="Comma 3 2" xfId="76" xr:uid="{00000000-0005-0000-0000-000008000000}"/>
    <cellStyle name="Comma 3 3" xfId="12" xr:uid="{00000000-0005-0000-0000-000009000000}"/>
    <cellStyle name="Comma 4" xfId="7" xr:uid="{00000000-0005-0000-0000-00000A000000}"/>
    <cellStyle name="Comma 4 2" xfId="13" xr:uid="{00000000-0005-0000-0000-00000B000000}"/>
    <cellStyle name="Comma 4 3" xfId="83" xr:uid="{00000000-0005-0000-0000-00000C000000}"/>
    <cellStyle name="Comma 5" xfId="14" xr:uid="{00000000-0005-0000-0000-00000D000000}"/>
    <cellStyle name="Comma 5 2" xfId="67" xr:uid="{00000000-0005-0000-0000-00000E000000}"/>
    <cellStyle name="Comma 6" xfId="3" xr:uid="{00000000-0005-0000-0000-00000F000000}"/>
    <cellStyle name="Comma 6 2" xfId="79" xr:uid="{00000000-0005-0000-0000-000010000000}"/>
    <cellStyle name="Comma 7" xfId="71" xr:uid="{00000000-0005-0000-0000-000011000000}"/>
    <cellStyle name="Comma 8" xfId="9" xr:uid="{00000000-0005-0000-0000-000012000000}"/>
    <cellStyle name="Comma 8 2" xfId="15" xr:uid="{00000000-0005-0000-0000-000013000000}"/>
    <cellStyle name="Comma 8 3" xfId="64" xr:uid="{00000000-0005-0000-0000-000014000000}"/>
    <cellStyle name="Comma 9" xfId="16" xr:uid="{00000000-0005-0000-0000-000015000000}"/>
    <cellStyle name="Comma 9 2" xfId="36" xr:uid="{00000000-0005-0000-0000-000016000000}"/>
    <cellStyle name="Currency 2" xfId="37" xr:uid="{00000000-0005-0000-0000-000017000000}"/>
    <cellStyle name="Currency 3" xfId="72" xr:uid="{00000000-0005-0000-0000-000018000000}"/>
    <cellStyle name="Explanatory Text" xfId="2" builtinId="53" customBuiltin="1"/>
    <cellStyle name="Followed Hyperlink" xfId="33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32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84" builtinId="8"/>
    <cellStyle name="Hyperlink 3" xfId="17" xr:uid="{00000000-0005-0000-0000-00002E000000}"/>
    <cellStyle name="Normal" xfId="0" builtinId="0"/>
    <cellStyle name="Normal 2" xfId="8" xr:uid="{00000000-0005-0000-0000-000030000000}"/>
    <cellStyle name="Normal 2 2" xfId="18" xr:uid="{00000000-0005-0000-0000-000031000000}"/>
    <cellStyle name="Normal 2 2 2" xfId="19" xr:uid="{00000000-0005-0000-0000-000032000000}"/>
    <cellStyle name="Normal 2 2 2 2" xfId="20" xr:uid="{00000000-0005-0000-0000-000033000000}"/>
    <cellStyle name="Normal 2 2 3" xfId="38" xr:uid="{00000000-0005-0000-0000-000034000000}"/>
    <cellStyle name="Normal 2 2 4" xfId="78" xr:uid="{00000000-0005-0000-0000-000035000000}"/>
    <cellStyle name="Normal 2 3" xfId="39" xr:uid="{00000000-0005-0000-0000-000036000000}"/>
    <cellStyle name="Normal 2 4" xfId="40" xr:uid="{00000000-0005-0000-0000-000037000000}"/>
    <cellStyle name="Normal 2 5" xfId="61" xr:uid="{00000000-0005-0000-0000-000038000000}"/>
    <cellStyle name="Normal 2 6" xfId="74" xr:uid="{00000000-0005-0000-0000-000039000000}"/>
    <cellStyle name="Normal 3" xfId="21" xr:uid="{00000000-0005-0000-0000-00003A000000}"/>
    <cellStyle name="Normal 3 3 2" xfId="22" xr:uid="{00000000-0005-0000-0000-00003B000000}"/>
    <cellStyle name="Normal 4" xfId="4" xr:uid="{00000000-0005-0000-0000-00003C000000}"/>
    <cellStyle name="Normal 4 2" xfId="23" xr:uid="{00000000-0005-0000-0000-00003D000000}"/>
    <cellStyle name="Normal 5" xfId="68" xr:uid="{00000000-0005-0000-0000-00003E000000}"/>
    <cellStyle name="Normal 5 2" xfId="24" xr:uid="{00000000-0005-0000-0000-00003F000000}"/>
    <cellStyle name="Normal 6" xfId="25" xr:uid="{00000000-0005-0000-0000-000040000000}"/>
    <cellStyle name="Normal 6 2" xfId="65" xr:uid="{00000000-0005-0000-0000-000041000000}"/>
    <cellStyle name="Normal 7" xfId="70" xr:uid="{00000000-0005-0000-0000-000042000000}"/>
    <cellStyle name="Normal 8" xfId="80" xr:uid="{00000000-0005-0000-0000-000043000000}"/>
    <cellStyle name="Normal 9" xfId="26" xr:uid="{00000000-0005-0000-0000-000044000000}"/>
    <cellStyle name="Percent" xfId="34" builtinId="5"/>
    <cellStyle name="Percent 2" xfId="6" xr:uid="{00000000-0005-0000-0000-000046000000}"/>
    <cellStyle name="Percent 3" xfId="11" xr:uid="{00000000-0005-0000-0000-000047000000}"/>
    <cellStyle name="Percent 3 2" xfId="27" xr:uid="{00000000-0005-0000-0000-000048000000}"/>
    <cellStyle name="Percent 3 2 2" xfId="69" xr:uid="{00000000-0005-0000-0000-000049000000}"/>
    <cellStyle name="Percent 4" xfId="41" xr:uid="{00000000-0005-0000-0000-00004A000000}"/>
    <cellStyle name="Percent 5" xfId="63" xr:uid="{00000000-0005-0000-0000-00004B000000}"/>
    <cellStyle name="Percent 6" xfId="28" xr:uid="{00000000-0005-0000-0000-00004C000000}"/>
    <cellStyle name="Percent 6 2" xfId="66" xr:uid="{00000000-0005-0000-0000-00004D000000}"/>
    <cellStyle name="Percent 7" xfId="29" xr:uid="{00000000-0005-0000-0000-00004E000000}"/>
    <cellStyle name="Percent 8" xfId="82" xr:uid="{00000000-0005-0000-0000-00004F000000}"/>
    <cellStyle name="TableStyleLight1" xfId="30" xr:uid="{00000000-0005-0000-0000-000050000000}"/>
    <cellStyle name="TableStyleLight1 2" xfId="31" xr:uid="{00000000-0005-0000-0000-000051000000}"/>
    <cellStyle name="TableStyleLight1 3" xfId="42" xr:uid="{00000000-0005-0000-0000-000052000000}"/>
    <cellStyle name="TableStyleLight1 4" xfId="77" xr:uid="{00000000-0005-0000-0000-000053000000}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FBFBF"/>
      <rgbColor rgb="FFA9D18E"/>
      <rgbColor rgb="FF8EB4E3"/>
      <rgbColor rgb="FF993366"/>
      <rgbColor rgb="FFEBF1DE"/>
      <rgbColor rgb="FFDBEEF4"/>
      <rgbColor rgb="FF660066"/>
      <rgbColor rgb="FFFF9966"/>
      <rgbColor rgb="FF0070C0"/>
      <rgbColor rgb="FFB9CDE5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DEEBF7"/>
      <rgbColor rgb="FFD7E4BD"/>
      <rgbColor rgb="FFFFFF99"/>
      <rgbColor rgb="FF93CDDD"/>
      <rgbColor rgb="FFD99694"/>
      <rgbColor rgb="FFF2DCDB"/>
      <rgbColor rgb="FFFAC090"/>
      <rgbColor rgb="FF3366FF"/>
      <rgbColor rgb="FFF2F2F2"/>
      <rgbColor rgb="FF92D050"/>
      <rgbColor rgb="FFFCD5B5"/>
      <rgbColor rgb="FFFDEADA"/>
      <rgbColor rgb="FFFF6600"/>
      <rgbColor rgb="FF666699"/>
      <rgbColor rgb="FFC4BD97"/>
      <rgbColor rgb="FF21596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99" Type="http://schemas.openxmlformats.org/officeDocument/2006/relationships/externalLink" Target="externalLinks/externalLink287.xml"/><Relationship Id="rId21" Type="http://schemas.openxmlformats.org/officeDocument/2006/relationships/externalLink" Target="externalLinks/externalLink9.xml"/><Relationship Id="rId63" Type="http://schemas.openxmlformats.org/officeDocument/2006/relationships/externalLink" Target="externalLinks/externalLink51.xml"/><Relationship Id="rId159" Type="http://schemas.openxmlformats.org/officeDocument/2006/relationships/externalLink" Target="externalLinks/externalLink147.xml"/><Relationship Id="rId324" Type="http://schemas.openxmlformats.org/officeDocument/2006/relationships/externalLink" Target="externalLinks/externalLink312.xml"/><Relationship Id="rId366" Type="http://schemas.openxmlformats.org/officeDocument/2006/relationships/externalLink" Target="externalLinks/externalLink354.xml"/><Relationship Id="rId170" Type="http://schemas.openxmlformats.org/officeDocument/2006/relationships/externalLink" Target="externalLinks/externalLink158.xml"/><Relationship Id="rId226" Type="http://schemas.openxmlformats.org/officeDocument/2006/relationships/externalLink" Target="externalLinks/externalLink214.xml"/><Relationship Id="rId268" Type="http://schemas.openxmlformats.org/officeDocument/2006/relationships/externalLink" Target="externalLinks/externalLink256.xml"/><Relationship Id="rId32" Type="http://schemas.openxmlformats.org/officeDocument/2006/relationships/externalLink" Target="externalLinks/externalLink20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335" Type="http://schemas.openxmlformats.org/officeDocument/2006/relationships/externalLink" Target="externalLinks/externalLink323.xml"/><Relationship Id="rId377" Type="http://schemas.openxmlformats.org/officeDocument/2006/relationships/externalLink" Target="externalLinks/externalLink365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9.xml"/><Relationship Id="rId237" Type="http://schemas.openxmlformats.org/officeDocument/2006/relationships/externalLink" Target="externalLinks/externalLink225.xml"/><Relationship Id="rId402" Type="http://schemas.openxmlformats.org/officeDocument/2006/relationships/externalLink" Target="externalLinks/externalLink390.xml"/><Relationship Id="rId279" Type="http://schemas.openxmlformats.org/officeDocument/2006/relationships/externalLink" Target="externalLinks/externalLink267.xml"/><Relationship Id="rId43" Type="http://schemas.openxmlformats.org/officeDocument/2006/relationships/externalLink" Target="externalLinks/externalLink31.xml"/><Relationship Id="rId139" Type="http://schemas.openxmlformats.org/officeDocument/2006/relationships/externalLink" Target="externalLinks/externalLink127.xml"/><Relationship Id="rId290" Type="http://schemas.openxmlformats.org/officeDocument/2006/relationships/externalLink" Target="externalLinks/externalLink278.xml"/><Relationship Id="rId304" Type="http://schemas.openxmlformats.org/officeDocument/2006/relationships/externalLink" Target="externalLinks/externalLink292.xml"/><Relationship Id="rId346" Type="http://schemas.openxmlformats.org/officeDocument/2006/relationships/externalLink" Target="externalLinks/externalLink334.xml"/><Relationship Id="rId388" Type="http://schemas.openxmlformats.org/officeDocument/2006/relationships/externalLink" Target="externalLinks/externalLink376.xml"/><Relationship Id="rId85" Type="http://schemas.openxmlformats.org/officeDocument/2006/relationships/externalLink" Target="externalLinks/externalLink73.xml"/><Relationship Id="rId150" Type="http://schemas.openxmlformats.org/officeDocument/2006/relationships/externalLink" Target="externalLinks/externalLink138.xml"/><Relationship Id="rId192" Type="http://schemas.openxmlformats.org/officeDocument/2006/relationships/externalLink" Target="externalLinks/externalLink180.xml"/><Relationship Id="rId206" Type="http://schemas.openxmlformats.org/officeDocument/2006/relationships/externalLink" Target="externalLinks/externalLink194.xml"/><Relationship Id="rId413" Type="http://schemas.openxmlformats.org/officeDocument/2006/relationships/externalLink" Target="externalLinks/externalLink401.xml"/><Relationship Id="rId248" Type="http://schemas.openxmlformats.org/officeDocument/2006/relationships/externalLink" Target="externalLinks/externalLink236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96.xml"/><Relationship Id="rId315" Type="http://schemas.openxmlformats.org/officeDocument/2006/relationships/externalLink" Target="externalLinks/externalLink303.xml"/><Relationship Id="rId357" Type="http://schemas.openxmlformats.org/officeDocument/2006/relationships/externalLink" Target="externalLinks/externalLink345.xml"/><Relationship Id="rId54" Type="http://schemas.openxmlformats.org/officeDocument/2006/relationships/externalLink" Target="externalLinks/externalLink42.xml"/><Relationship Id="rId96" Type="http://schemas.openxmlformats.org/officeDocument/2006/relationships/externalLink" Target="externalLinks/externalLink84.xml"/><Relationship Id="rId161" Type="http://schemas.openxmlformats.org/officeDocument/2006/relationships/externalLink" Target="externalLinks/externalLink149.xml"/><Relationship Id="rId217" Type="http://schemas.openxmlformats.org/officeDocument/2006/relationships/externalLink" Target="externalLinks/externalLink205.xml"/><Relationship Id="rId399" Type="http://schemas.openxmlformats.org/officeDocument/2006/relationships/externalLink" Target="externalLinks/externalLink387.xml"/><Relationship Id="rId259" Type="http://schemas.openxmlformats.org/officeDocument/2006/relationships/externalLink" Target="externalLinks/externalLink247.xml"/><Relationship Id="rId424" Type="http://schemas.openxmlformats.org/officeDocument/2006/relationships/externalLink" Target="externalLinks/externalLink412.xml"/><Relationship Id="rId23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07.xml"/><Relationship Id="rId270" Type="http://schemas.openxmlformats.org/officeDocument/2006/relationships/externalLink" Target="externalLinks/externalLink258.xml"/><Relationship Id="rId326" Type="http://schemas.openxmlformats.org/officeDocument/2006/relationships/externalLink" Target="externalLinks/externalLink314.xml"/><Relationship Id="rId65" Type="http://schemas.openxmlformats.org/officeDocument/2006/relationships/externalLink" Target="externalLinks/externalLink53.xml"/><Relationship Id="rId130" Type="http://schemas.openxmlformats.org/officeDocument/2006/relationships/externalLink" Target="externalLinks/externalLink118.xml"/><Relationship Id="rId368" Type="http://schemas.openxmlformats.org/officeDocument/2006/relationships/externalLink" Target="externalLinks/externalLink356.xml"/><Relationship Id="rId172" Type="http://schemas.openxmlformats.org/officeDocument/2006/relationships/externalLink" Target="externalLinks/externalLink160.xml"/><Relationship Id="rId228" Type="http://schemas.openxmlformats.org/officeDocument/2006/relationships/externalLink" Target="externalLinks/externalLink216.xml"/><Relationship Id="rId281" Type="http://schemas.openxmlformats.org/officeDocument/2006/relationships/externalLink" Target="externalLinks/externalLink269.xml"/><Relationship Id="rId337" Type="http://schemas.openxmlformats.org/officeDocument/2006/relationships/externalLink" Target="externalLinks/externalLink325.xml"/><Relationship Id="rId34" Type="http://schemas.openxmlformats.org/officeDocument/2006/relationships/externalLink" Target="externalLinks/externalLink22.xml"/><Relationship Id="rId76" Type="http://schemas.openxmlformats.org/officeDocument/2006/relationships/externalLink" Target="externalLinks/externalLink64.xml"/><Relationship Id="rId141" Type="http://schemas.openxmlformats.org/officeDocument/2006/relationships/externalLink" Target="externalLinks/externalLink129.xml"/><Relationship Id="rId379" Type="http://schemas.openxmlformats.org/officeDocument/2006/relationships/externalLink" Target="externalLinks/externalLink367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71.xml"/><Relationship Id="rId239" Type="http://schemas.openxmlformats.org/officeDocument/2006/relationships/externalLink" Target="externalLinks/externalLink227.xml"/><Relationship Id="rId390" Type="http://schemas.openxmlformats.org/officeDocument/2006/relationships/externalLink" Target="externalLinks/externalLink378.xml"/><Relationship Id="rId404" Type="http://schemas.openxmlformats.org/officeDocument/2006/relationships/externalLink" Target="externalLinks/externalLink392.xml"/><Relationship Id="rId250" Type="http://schemas.openxmlformats.org/officeDocument/2006/relationships/externalLink" Target="externalLinks/externalLink238.xml"/><Relationship Id="rId292" Type="http://schemas.openxmlformats.org/officeDocument/2006/relationships/externalLink" Target="externalLinks/externalLink280.xml"/><Relationship Id="rId306" Type="http://schemas.openxmlformats.org/officeDocument/2006/relationships/externalLink" Target="externalLinks/externalLink294.xml"/><Relationship Id="rId45" Type="http://schemas.openxmlformats.org/officeDocument/2006/relationships/externalLink" Target="externalLinks/externalLink33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348" Type="http://schemas.openxmlformats.org/officeDocument/2006/relationships/externalLink" Target="externalLinks/externalLink336.xml"/><Relationship Id="rId152" Type="http://schemas.openxmlformats.org/officeDocument/2006/relationships/externalLink" Target="externalLinks/externalLink140.xml"/><Relationship Id="rId194" Type="http://schemas.openxmlformats.org/officeDocument/2006/relationships/externalLink" Target="externalLinks/externalLink182.xml"/><Relationship Id="rId208" Type="http://schemas.openxmlformats.org/officeDocument/2006/relationships/externalLink" Target="externalLinks/externalLink196.xml"/><Relationship Id="rId415" Type="http://schemas.openxmlformats.org/officeDocument/2006/relationships/externalLink" Target="externalLinks/externalLink403.xml"/><Relationship Id="rId261" Type="http://schemas.openxmlformats.org/officeDocument/2006/relationships/externalLink" Target="externalLinks/externalLink249.xml"/><Relationship Id="rId14" Type="http://schemas.openxmlformats.org/officeDocument/2006/relationships/externalLink" Target="externalLinks/externalLink2.xml"/><Relationship Id="rId56" Type="http://schemas.openxmlformats.org/officeDocument/2006/relationships/externalLink" Target="externalLinks/externalLink44.xml"/><Relationship Id="rId317" Type="http://schemas.openxmlformats.org/officeDocument/2006/relationships/externalLink" Target="externalLinks/externalLink305.xml"/><Relationship Id="rId359" Type="http://schemas.openxmlformats.org/officeDocument/2006/relationships/externalLink" Target="externalLinks/externalLink347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63" Type="http://schemas.openxmlformats.org/officeDocument/2006/relationships/externalLink" Target="externalLinks/externalLink151.xml"/><Relationship Id="rId219" Type="http://schemas.openxmlformats.org/officeDocument/2006/relationships/externalLink" Target="externalLinks/externalLink207.xml"/><Relationship Id="rId370" Type="http://schemas.openxmlformats.org/officeDocument/2006/relationships/externalLink" Target="externalLinks/externalLink358.xml"/><Relationship Id="rId426" Type="http://schemas.openxmlformats.org/officeDocument/2006/relationships/styles" Target="styles.xml"/><Relationship Id="rId230" Type="http://schemas.openxmlformats.org/officeDocument/2006/relationships/externalLink" Target="externalLinks/externalLink218.xml"/><Relationship Id="rId25" Type="http://schemas.openxmlformats.org/officeDocument/2006/relationships/externalLink" Target="externalLinks/externalLink13.xml"/><Relationship Id="rId67" Type="http://schemas.openxmlformats.org/officeDocument/2006/relationships/externalLink" Target="externalLinks/externalLink55.xml"/><Relationship Id="rId272" Type="http://schemas.openxmlformats.org/officeDocument/2006/relationships/externalLink" Target="externalLinks/externalLink260.xml"/><Relationship Id="rId328" Type="http://schemas.openxmlformats.org/officeDocument/2006/relationships/externalLink" Target="externalLinks/externalLink316.xml"/><Relationship Id="rId132" Type="http://schemas.openxmlformats.org/officeDocument/2006/relationships/externalLink" Target="externalLinks/externalLink120.xml"/><Relationship Id="rId174" Type="http://schemas.openxmlformats.org/officeDocument/2006/relationships/externalLink" Target="externalLinks/externalLink162.xml"/><Relationship Id="rId381" Type="http://schemas.openxmlformats.org/officeDocument/2006/relationships/externalLink" Target="externalLinks/externalLink369.xml"/><Relationship Id="rId241" Type="http://schemas.openxmlformats.org/officeDocument/2006/relationships/externalLink" Target="externalLinks/externalLink229.xml"/><Relationship Id="rId36" Type="http://schemas.openxmlformats.org/officeDocument/2006/relationships/externalLink" Target="externalLinks/externalLink24.xml"/><Relationship Id="rId283" Type="http://schemas.openxmlformats.org/officeDocument/2006/relationships/externalLink" Target="externalLinks/externalLink271.xml"/><Relationship Id="rId339" Type="http://schemas.openxmlformats.org/officeDocument/2006/relationships/externalLink" Target="externalLinks/externalLink327.xml"/><Relationship Id="rId78" Type="http://schemas.openxmlformats.org/officeDocument/2006/relationships/externalLink" Target="externalLinks/externalLink66.xml"/><Relationship Id="rId101" Type="http://schemas.openxmlformats.org/officeDocument/2006/relationships/externalLink" Target="externalLinks/externalLink89.xml"/><Relationship Id="rId143" Type="http://schemas.openxmlformats.org/officeDocument/2006/relationships/externalLink" Target="externalLinks/externalLink131.xml"/><Relationship Id="rId185" Type="http://schemas.openxmlformats.org/officeDocument/2006/relationships/externalLink" Target="externalLinks/externalLink173.xml"/><Relationship Id="rId350" Type="http://schemas.openxmlformats.org/officeDocument/2006/relationships/externalLink" Target="externalLinks/externalLink338.xml"/><Relationship Id="rId406" Type="http://schemas.openxmlformats.org/officeDocument/2006/relationships/externalLink" Target="externalLinks/externalLink394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8.xml"/><Relationship Id="rId392" Type="http://schemas.openxmlformats.org/officeDocument/2006/relationships/externalLink" Target="externalLinks/externalLink380.xml"/><Relationship Id="rId252" Type="http://schemas.openxmlformats.org/officeDocument/2006/relationships/externalLink" Target="externalLinks/externalLink240.xml"/><Relationship Id="rId294" Type="http://schemas.openxmlformats.org/officeDocument/2006/relationships/externalLink" Target="externalLinks/externalLink282.xml"/><Relationship Id="rId308" Type="http://schemas.openxmlformats.org/officeDocument/2006/relationships/externalLink" Target="externalLinks/externalLink296.xml"/><Relationship Id="rId47" Type="http://schemas.openxmlformats.org/officeDocument/2006/relationships/externalLink" Target="externalLinks/externalLink35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54" Type="http://schemas.openxmlformats.org/officeDocument/2006/relationships/externalLink" Target="externalLinks/externalLink142.xml"/><Relationship Id="rId361" Type="http://schemas.openxmlformats.org/officeDocument/2006/relationships/externalLink" Target="externalLinks/externalLink349.xml"/><Relationship Id="rId196" Type="http://schemas.openxmlformats.org/officeDocument/2006/relationships/externalLink" Target="externalLinks/externalLink184.xml"/><Relationship Id="rId417" Type="http://schemas.openxmlformats.org/officeDocument/2006/relationships/externalLink" Target="externalLinks/externalLink405.xml"/><Relationship Id="rId16" Type="http://schemas.openxmlformats.org/officeDocument/2006/relationships/externalLink" Target="externalLinks/externalLink4.xml"/><Relationship Id="rId221" Type="http://schemas.openxmlformats.org/officeDocument/2006/relationships/externalLink" Target="externalLinks/externalLink209.xml"/><Relationship Id="rId263" Type="http://schemas.openxmlformats.org/officeDocument/2006/relationships/externalLink" Target="externalLinks/externalLink251.xml"/><Relationship Id="rId319" Type="http://schemas.openxmlformats.org/officeDocument/2006/relationships/externalLink" Target="externalLinks/externalLink307.xml"/><Relationship Id="rId58" Type="http://schemas.openxmlformats.org/officeDocument/2006/relationships/externalLink" Target="externalLinks/externalLink46.xml"/><Relationship Id="rId123" Type="http://schemas.openxmlformats.org/officeDocument/2006/relationships/externalLink" Target="externalLinks/externalLink111.xml"/><Relationship Id="rId330" Type="http://schemas.openxmlformats.org/officeDocument/2006/relationships/externalLink" Target="externalLinks/externalLink318.xml"/><Relationship Id="rId165" Type="http://schemas.openxmlformats.org/officeDocument/2006/relationships/externalLink" Target="externalLinks/externalLink153.xml"/><Relationship Id="rId372" Type="http://schemas.openxmlformats.org/officeDocument/2006/relationships/externalLink" Target="externalLinks/externalLink360.xml"/><Relationship Id="rId428" Type="http://schemas.openxmlformats.org/officeDocument/2006/relationships/calcChain" Target="calcChain.xml"/><Relationship Id="rId232" Type="http://schemas.openxmlformats.org/officeDocument/2006/relationships/externalLink" Target="externalLinks/externalLink220.xml"/><Relationship Id="rId274" Type="http://schemas.openxmlformats.org/officeDocument/2006/relationships/externalLink" Target="externalLinks/externalLink262.xml"/><Relationship Id="rId27" Type="http://schemas.openxmlformats.org/officeDocument/2006/relationships/externalLink" Target="externalLinks/externalLink15.xml"/><Relationship Id="rId69" Type="http://schemas.openxmlformats.org/officeDocument/2006/relationships/externalLink" Target="externalLinks/externalLink57.xml"/><Relationship Id="rId134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8.xml"/><Relationship Id="rId176" Type="http://schemas.openxmlformats.org/officeDocument/2006/relationships/externalLink" Target="externalLinks/externalLink164.xml"/><Relationship Id="rId341" Type="http://schemas.openxmlformats.org/officeDocument/2006/relationships/externalLink" Target="externalLinks/externalLink329.xml"/><Relationship Id="rId383" Type="http://schemas.openxmlformats.org/officeDocument/2006/relationships/externalLink" Target="externalLinks/externalLink371.xml"/><Relationship Id="rId201" Type="http://schemas.openxmlformats.org/officeDocument/2006/relationships/externalLink" Target="externalLinks/externalLink189.xml"/><Relationship Id="rId243" Type="http://schemas.openxmlformats.org/officeDocument/2006/relationships/externalLink" Target="externalLinks/externalLink231.xml"/><Relationship Id="rId285" Type="http://schemas.openxmlformats.org/officeDocument/2006/relationships/externalLink" Target="externalLinks/externalLink273.xml"/><Relationship Id="rId38" Type="http://schemas.openxmlformats.org/officeDocument/2006/relationships/externalLink" Target="externalLinks/externalLink26.xml"/><Relationship Id="rId103" Type="http://schemas.openxmlformats.org/officeDocument/2006/relationships/externalLink" Target="externalLinks/externalLink91.xml"/><Relationship Id="rId310" Type="http://schemas.openxmlformats.org/officeDocument/2006/relationships/externalLink" Target="externalLinks/externalLink298.xml"/><Relationship Id="rId70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133.xml"/><Relationship Id="rId166" Type="http://schemas.openxmlformats.org/officeDocument/2006/relationships/externalLink" Target="externalLinks/externalLink154.xml"/><Relationship Id="rId187" Type="http://schemas.openxmlformats.org/officeDocument/2006/relationships/externalLink" Target="externalLinks/externalLink175.xml"/><Relationship Id="rId331" Type="http://schemas.openxmlformats.org/officeDocument/2006/relationships/externalLink" Target="externalLinks/externalLink319.xml"/><Relationship Id="rId352" Type="http://schemas.openxmlformats.org/officeDocument/2006/relationships/externalLink" Target="externalLinks/externalLink340.xml"/><Relationship Id="rId373" Type="http://schemas.openxmlformats.org/officeDocument/2006/relationships/externalLink" Target="externalLinks/externalLink361.xml"/><Relationship Id="rId394" Type="http://schemas.openxmlformats.org/officeDocument/2006/relationships/externalLink" Target="externalLinks/externalLink382.xml"/><Relationship Id="rId408" Type="http://schemas.openxmlformats.org/officeDocument/2006/relationships/externalLink" Target="externalLinks/externalLink39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0.xml"/><Relationship Id="rId233" Type="http://schemas.openxmlformats.org/officeDocument/2006/relationships/externalLink" Target="externalLinks/externalLink221.xml"/><Relationship Id="rId254" Type="http://schemas.openxmlformats.org/officeDocument/2006/relationships/externalLink" Target="externalLinks/externalLink242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275" Type="http://schemas.openxmlformats.org/officeDocument/2006/relationships/externalLink" Target="externalLinks/externalLink263.xml"/><Relationship Id="rId296" Type="http://schemas.openxmlformats.org/officeDocument/2006/relationships/externalLink" Target="externalLinks/externalLink284.xml"/><Relationship Id="rId300" Type="http://schemas.openxmlformats.org/officeDocument/2006/relationships/externalLink" Target="externalLinks/externalLink288.xml"/><Relationship Id="rId60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123.xml"/><Relationship Id="rId156" Type="http://schemas.openxmlformats.org/officeDocument/2006/relationships/externalLink" Target="externalLinks/externalLink144.xml"/><Relationship Id="rId177" Type="http://schemas.openxmlformats.org/officeDocument/2006/relationships/externalLink" Target="externalLinks/externalLink165.xml"/><Relationship Id="rId198" Type="http://schemas.openxmlformats.org/officeDocument/2006/relationships/externalLink" Target="externalLinks/externalLink186.xml"/><Relationship Id="rId321" Type="http://schemas.openxmlformats.org/officeDocument/2006/relationships/externalLink" Target="externalLinks/externalLink309.xml"/><Relationship Id="rId342" Type="http://schemas.openxmlformats.org/officeDocument/2006/relationships/externalLink" Target="externalLinks/externalLink330.xml"/><Relationship Id="rId363" Type="http://schemas.openxmlformats.org/officeDocument/2006/relationships/externalLink" Target="externalLinks/externalLink351.xml"/><Relationship Id="rId384" Type="http://schemas.openxmlformats.org/officeDocument/2006/relationships/externalLink" Target="externalLinks/externalLink372.xml"/><Relationship Id="rId419" Type="http://schemas.openxmlformats.org/officeDocument/2006/relationships/externalLink" Target="externalLinks/externalLink407.xml"/><Relationship Id="rId202" Type="http://schemas.openxmlformats.org/officeDocument/2006/relationships/externalLink" Target="externalLinks/externalLink190.xml"/><Relationship Id="rId223" Type="http://schemas.openxmlformats.org/officeDocument/2006/relationships/externalLink" Target="externalLinks/externalLink211.xml"/><Relationship Id="rId244" Type="http://schemas.openxmlformats.org/officeDocument/2006/relationships/externalLink" Target="externalLinks/externalLink232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265" Type="http://schemas.openxmlformats.org/officeDocument/2006/relationships/externalLink" Target="externalLinks/externalLink253.xml"/><Relationship Id="rId286" Type="http://schemas.openxmlformats.org/officeDocument/2006/relationships/externalLink" Target="externalLinks/externalLink274.xml"/><Relationship Id="rId50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92.xml"/><Relationship Id="rId125" Type="http://schemas.openxmlformats.org/officeDocument/2006/relationships/externalLink" Target="externalLinks/externalLink113.xml"/><Relationship Id="rId146" Type="http://schemas.openxmlformats.org/officeDocument/2006/relationships/externalLink" Target="externalLinks/externalLink134.xml"/><Relationship Id="rId167" Type="http://schemas.openxmlformats.org/officeDocument/2006/relationships/externalLink" Target="externalLinks/externalLink155.xml"/><Relationship Id="rId188" Type="http://schemas.openxmlformats.org/officeDocument/2006/relationships/externalLink" Target="externalLinks/externalLink176.xml"/><Relationship Id="rId311" Type="http://schemas.openxmlformats.org/officeDocument/2006/relationships/externalLink" Target="externalLinks/externalLink299.xml"/><Relationship Id="rId332" Type="http://schemas.openxmlformats.org/officeDocument/2006/relationships/externalLink" Target="externalLinks/externalLink320.xml"/><Relationship Id="rId353" Type="http://schemas.openxmlformats.org/officeDocument/2006/relationships/externalLink" Target="externalLinks/externalLink341.xml"/><Relationship Id="rId374" Type="http://schemas.openxmlformats.org/officeDocument/2006/relationships/externalLink" Target="externalLinks/externalLink362.xml"/><Relationship Id="rId395" Type="http://schemas.openxmlformats.org/officeDocument/2006/relationships/externalLink" Target="externalLinks/externalLink383.xml"/><Relationship Id="rId409" Type="http://schemas.openxmlformats.org/officeDocument/2006/relationships/externalLink" Target="externalLinks/externalLink39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13" Type="http://schemas.openxmlformats.org/officeDocument/2006/relationships/externalLink" Target="externalLinks/externalLink201.xml"/><Relationship Id="rId234" Type="http://schemas.openxmlformats.org/officeDocument/2006/relationships/externalLink" Target="externalLinks/externalLink222.xml"/><Relationship Id="rId420" Type="http://schemas.openxmlformats.org/officeDocument/2006/relationships/externalLink" Target="externalLinks/externalLink40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55" Type="http://schemas.openxmlformats.org/officeDocument/2006/relationships/externalLink" Target="externalLinks/externalLink243.xml"/><Relationship Id="rId276" Type="http://schemas.openxmlformats.org/officeDocument/2006/relationships/externalLink" Target="externalLinks/externalLink264.xml"/><Relationship Id="rId297" Type="http://schemas.openxmlformats.org/officeDocument/2006/relationships/externalLink" Target="externalLinks/externalLink285.xml"/><Relationship Id="rId40" Type="http://schemas.openxmlformats.org/officeDocument/2006/relationships/externalLink" Target="externalLinks/externalLink28.xml"/><Relationship Id="rId115" Type="http://schemas.openxmlformats.org/officeDocument/2006/relationships/externalLink" Target="externalLinks/externalLink103.xml"/><Relationship Id="rId136" Type="http://schemas.openxmlformats.org/officeDocument/2006/relationships/externalLink" Target="externalLinks/externalLink124.xml"/><Relationship Id="rId157" Type="http://schemas.openxmlformats.org/officeDocument/2006/relationships/externalLink" Target="externalLinks/externalLink145.xml"/><Relationship Id="rId178" Type="http://schemas.openxmlformats.org/officeDocument/2006/relationships/externalLink" Target="externalLinks/externalLink166.xml"/><Relationship Id="rId301" Type="http://schemas.openxmlformats.org/officeDocument/2006/relationships/externalLink" Target="externalLinks/externalLink289.xml"/><Relationship Id="rId322" Type="http://schemas.openxmlformats.org/officeDocument/2006/relationships/externalLink" Target="externalLinks/externalLink310.xml"/><Relationship Id="rId343" Type="http://schemas.openxmlformats.org/officeDocument/2006/relationships/externalLink" Target="externalLinks/externalLink331.xml"/><Relationship Id="rId364" Type="http://schemas.openxmlformats.org/officeDocument/2006/relationships/externalLink" Target="externalLinks/externalLink352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9" Type="http://schemas.openxmlformats.org/officeDocument/2006/relationships/externalLink" Target="externalLinks/externalLink187.xml"/><Relationship Id="rId203" Type="http://schemas.openxmlformats.org/officeDocument/2006/relationships/externalLink" Target="externalLinks/externalLink191.xml"/><Relationship Id="rId385" Type="http://schemas.openxmlformats.org/officeDocument/2006/relationships/externalLink" Target="externalLinks/externalLink373.xml"/><Relationship Id="rId19" Type="http://schemas.openxmlformats.org/officeDocument/2006/relationships/externalLink" Target="externalLinks/externalLink7.xml"/><Relationship Id="rId224" Type="http://schemas.openxmlformats.org/officeDocument/2006/relationships/externalLink" Target="externalLinks/externalLink212.xml"/><Relationship Id="rId245" Type="http://schemas.openxmlformats.org/officeDocument/2006/relationships/externalLink" Target="externalLinks/externalLink233.xml"/><Relationship Id="rId266" Type="http://schemas.openxmlformats.org/officeDocument/2006/relationships/externalLink" Target="externalLinks/externalLink254.xml"/><Relationship Id="rId287" Type="http://schemas.openxmlformats.org/officeDocument/2006/relationships/externalLink" Target="externalLinks/externalLink275.xml"/><Relationship Id="rId410" Type="http://schemas.openxmlformats.org/officeDocument/2006/relationships/externalLink" Target="externalLinks/externalLink398.xml"/><Relationship Id="rId30" Type="http://schemas.openxmlformats.org/officeDocument/2006/relationships/externalLink" Target="externalLinks/externalLink1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147" Type="http://schemas.openxmlformats.org/officeDocument/2006/relationships/externalLink" Target="externalLinks/externalLink135.xml"/><Relationship Id="rId168" Type="http://schemas.openxmlformats.org/officeDocument/2006/relationships/externalLink" Target="externalLinks/externalLink156.xml"/><Relationship Id="rId312" Type="http://schemas.openxmlformats.org/officeDocument/2006/relationships/externalLink" Target="externalLinks/externalLink300.xml"/><Relationship Id="rId333" Type="http://schemas.openxmlformats.org/officeDocument/2006/relationships/externalLink" Target="externalLinks/externalLink321.xml"/><Relationship Id="rId354" Type="http://schemas.openxmlformats.org/officeDocument/2006/relationships/externalLink" Target="externalLinks/externalLink342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189" Type="http://schemas.openxmlformats.org/officeDocument/2006/relationships/externalLink" Target="externalLinks/externalLink177.xml"/><Relationship Id="rId375" Type="http://schemas.openxmlformats.org/officeDocument/2006/relationships/externalLink" Target="externalLinks/externalLink363.xml"/><Relationship Id="rId396" Type="http://schemas.openxmlformats.org/officeDocument/2006/relationships/externalLink" Target="externalLinks/externalLink384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2.xml"/><Relationship Id="rId235" Type="http://schemas.openxmlformats.org/officeDocument/2006/relationships/externalLink" Target="externalLinks/externalLink223.xml"/><Relationship Id="rId256" Type="http://schemas.openxmlformats.org/officeDocument/2006/relationships/externalLink" Target="externalLinks/externalLink244.xml"/><Relationship Id="rId277" Type="http://schemas.openxmlformats.org/officeDocument/2006/relationships/externalLink" Target="externalLinks/externalLink265.xml"/><Relationship Id="rId298" Type="http://schemas.openxmlformats.org/officeDocument/2006/relationships/externalLink" Target="externalLinks/externalLink286.xml"/><Relationship Id="rId400" Type="http://schemas.openxmlformats.org/officeDocument/2006/relationships/externalLink" Target="externalLinks/externalLink388.xml"/><Relationship Id="rId421" Type="http://schemas.openxmlformats.org/officeDocument/2006/relationships/externalLink" Target="externalLinks/externalLink409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158" Type="http://schemas.openxmlformats.org/officeDocument/2006/relationships/externalLink" Target="externalLinks/externalLink146.xml"/><Relationship Id="rId302" Type="http://schemas.openxmlformats.org/officeDocument/2006/relationships/externalLink" Target="externalLinks/externalLink290.xml"/><Relationship Id="rId323" Type="http://schemas.openxmlformats.org/officeDocument/2006/relationships/externalLink" Target="externalLinks/externalLink311.xml"/><Relationship Id="rId344" Type="http://schemas.openxmlformats.org/officeDocument/2006/relationships/externalLink" Target="externalLinks/externalLink332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179" Type="http://schemas.openxmlformats.org/officeDocument/2006/relationships/externalLink" Target="externalLinks/externalLink167.xml"/><Relationship Id="rId365" Type="http://schemas.openxmlformats.org/officeDocument/2006/relationships/externalLink" Target="externalLinks/externalLink353.xml"/><Relationship Id="rId386" Type="http://schemas.openxmlformats.org/officeDocument/2006/relationships/externalLink" Target="externalLinks/externalLink374.xml"/><Relationship Id="rId190" Type="http://schemas.openxmlformats.org/officeDocument/2006/relationships/externalLink" Target="externalLinks/externalLink178.xml"/><Relationship Id="rId204" Type="http://schemas.openxmlformats.org/officeDocument/2006/relationships/externalLink" Target="externalLinks/externalLink192.xml"/><Relationship Id="rId225" Type="http://schemas.openxmlformats.org/officeDocument/2006/relationships/externalLink" Target="externalLinks/externalLink213.xml"/><Relationship Id="rId246" Type="http://schemas.openxmlformats.org/officeDocument/2006/relationships/externalLink" Target="externalLinks/externalLink234.xml"/><Relationship Id="rId267" Type="http://schemas.openxmlformats.org/officeDocument/2006/relationships/externalLink" Target="externalLinks/externalLink255.xml"/><Relationship Id="rId288" Type="http://schemas.openxmlformats.org/officeDocument/2006/relationships/externalLink" Target="externalLinks/externalLink276.xml"/><Relationship Id="rId411" Type="http://schemas.openxmlformats.org/officeDocument/2006/relationships/externalLink" Target="externalLinks/externalLink399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Relationship Id="rId313" Type="http://schemas.openxmlformats.org/officeDocument/2006/relationships/externalLink" Target="externalLinks/externalLink30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94" Type="http://schemas.openxmlformats.org/officeDocument/2006/relationships/externalLink" Target="externalLinks/externalLink82.xml"/><Relationship Id="rId148" Type="http://schemas.openxmlformats.org/officeDocument/2006/relationships/externalLink" Target="externalLinks/externalLink136.xml"/><Relationship Id="rId169" Type="http://schemas.openxmlformats.org/officeDocument/2006/relationships/externalLink" Target="externalLinks/externalLink157.xml"/><Relationship Id="rId334" Type="http://schemas.openxmlformats.org/officeDocument/2006/relationships/externalLink" Target="externalLinks/externalLink322.xml"/><Relationship Id="rId355" Type="http://schemas.openxmlformats.org/officeDocument/2006/relationships/externalLink" Target="externalLinks/externalLink343.xml"/><Relationship Id="rId376" Type="http://schemas.openxmlformats.org/officeDocument/2006/relationships/externalLink" Target="externalLinks/externalLink364.xml"/><Relationship Id="rId397" Type="http://schemas.openxmlformats.org/officeDocument/2006/relationships/externalLink" Target="externalLinks/externalLink385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8.xml"/><Relationship Id="rId215" Type="http://schemas.openxmlformats.org/officeDocument/2006/relationships/externalLink" Target="externalLinks/externalLink203.xml"/><Relationship Id="rId236" Type="http://schemas.openxmlformats.org/officeDocument/2006/relationships/externalLink" Target="externalLinks/externalLink224.xml"/><Relationship Id="rId257" Type="http://schemas.openxmlformats.org/officeDocument/2006/relationships/externalLink" Target="externalLinks/externalLink245.xml"/><Relationship Id="rId278" Type="http://schemas.openxmlformats.org/officeDocument/2006/relationships/externalLink" Target="externalLinks/externalLink266.xml"/><Relationship Id="rId401" Type="http://schemas.openxmlformats.org/officeDocument/2006/relationships/externalLink" Target="externalLinks/externalLink389.xml"/><Relationship Id="rId422" Type="http://schemas.openxmlformats.org/officeDocument/2006/relationships/externalLink" Target="externalLinks/externalLink410.xml"/><Relationship Id="rId303" Type="http://schemas.openxmlformats.org/officeDocument/2006/relationships/externalLink" Target="externalLinks/externalLink291.xml"/><Relationship Id="rId42" Type="http://schemas.openxmlformats.org/officeDocument/2006/relationships/externalLink" Target="externalLinks/externalLink30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345" Type="http://schemas.openxmlformats.org/officeDocument/2006/relationships/externalLink" Target="externalLinks/externalLink333.xml"/><Relationship Id="rId387" Type="http://schemas.openxmlformats.org/officeDocument/2006/relationships/externalLink" Target="externalLinks/externalLink375.xml"/><Relationship Id="rId191" Type="http://schemas.openxmlformats.org/officeDocument/2006/relationships/externalLink" Target="externalLinks/externalLink179.xml"/><Relationship Id="rId205" Type="http://schemas.openxmlformats.org/officeDocument/2006/relationships/externalLink" Target="externalLinks/externalLink193.xml"/><Relationship Id="rId247" Type="http://schemas.openxmlformats.org/officeDocument/2006/relationships/externalLink" Target="externalLinks/externalLink235.xml"/><Relationship Id="rId412" Type="http://schemas.openxmlformats.org/officeDocument/2006/relationships/externalLink" Target="externalLinks/externalLink400.xml"/><Relationship Id="rId107" Type="http://schemas.openxmlformats.org/officeDocument/2006/relationships/externalLink" Target="externalLinks/externalLink95.xml"/><Relationship Id="rId289" Type="http://schemas.openxmlformats.org/officeDocument/2006/relationships/externalLink" Target="externalLinks/externalLink277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41.xml"/><Relationship Id="rId149" Type="http://schemas.openxmlformats.org/officeDocument/2006/relationships/externalLink" Target="externalLinks/externalLink137.xml"/><Relationship Id="rId314" Type="http://schemas.openxmlformats.org/officeDocument/2006/relationships/externalLink" Target="externalLinks/externalLink302.xml"/><Relationship Id="rId356" Type="http://schemas.openxmlformats.org/officeDocument/2006/relationships/externalLink" Target="externalLinks/externalLink344.xml"/><Relationship Id="rId398" Type="http://schemas.openxmlformats.org/officeDocument/2006/relationships/externalLink" Target="externalLinks/externalLink386.xml"/><Relationship Id="rId95" Type="http://schemas.openxmlformats.org/officeDocument/2006/relationships/externalLink" Target="externalLinks/externalLink83.xml"/><Relationship Id="rId160" Type="http://schemas.openxmlformats.org/officeDocument/2006/relationships/externalLink" Target="externalLinks/externalLink148.xml"/><Relationship Id="rId216" Type="http://schemas.openxmlformats.org/officeDocument/2006/relationships/externalLink" Target="externalLinks/externalLink204.xml"/><Relationship Id="rId423" Type="http://schemas.openxmlformats.org/officeDocument/2006/relationships/externalLink" Target="externalLinks/externalLink411.xml"/><Relationship Id="rId258" Type="http://schemas.openxmlformats.org/officeDocument/2006/relationships/externalLink" Target="externalLinks/externalLink246.xml"/><Relationship Id="rId22" Type="http://schemas.openxmlformats.org/officeDocument/2006/relationships/externalLink" Target="externalLinks/externalLink10.xml"/><Relationship Id="rId64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106.xml"/><Relationship Id="rId325" Type="http://schemas.openxmlformats.org/officeDocument/2006/relationships/externalLink" Target="externalLinks/externalLink313.xml"/><Relationship Id="rId367" Type="http://schemas.openxmlformats.org/officeDocument/2006/relationships/externalLink" Target="externalLinks/externalLink355.xml"/><Relationship Id="rId171" Type="http://schemas.openxmlformats.org/officeDocument/2006/relationships/externalLink" Target="externalLinks/externalLink159.xml"/><Relationship Id="rId227" Type="http://schemas.openxmlformats.org/officeDocument/2006/relationships/externalLink" Target="externalLinks/externalLink215.xml"/><Relationship Id="rId269" Type="http://schemas.openxmlformats.org/officeDocument/2006/relationships/externalLink" Target="externalLinks/externalLink257.xml"/><Relationship Id="rId33" Type="http://schemas.openxmlformats.org/officeDocument/2006/relationships/externalLink" Target="externalLinks/externalLink21.xml"/><Relationship Id="rId129" Type="http://schemas.openxmlformats.org/officeDocument/2006/relationships/externalLink" Target="externalLinks/externalLink117.xml"/><Relationship Id="rId280" Type="http://schemas.openxmlformats.org/officeDocument/2006/relationships/externalLink" Target="externalLinks/externalLink268.xml"/><Relationship Id="rId336" Type="http://schemas.openxmlformats.org/officeDocument/2006/relationships/externalLink" Target="externalLinks/externalLink324.xml"/><Relationship Id="rId75" Type="http://schemas.openxmlformats.org/officeDocument/2006/relationships/externalLink" Target="externalLinks/externalLink63.xml"/><Relationship Id="rId140" Type="http://schemas.openxmlformats.org/officeDocument/2006/relationships/externalLink" Target="externalLinks/externalLink128.xml"/><Relationship Id="rId182" Type="http://schemas.openxmlformats.org/officeDocument/2006/relationships/externalLink" Target="externalLinks/externalLink170.xml"/><Relationship Id="rId378" Type="http://schemas.openxmlformats.org/officeDocument/2006/relationships/externalLink" Target="externalLinks/externalLink366.xml"/><Relationship Id="rId403" Type="http://schemas.openxmlformats.org/officeDocument/2006/relationships/externalLink" Target="externalLinks/externalLink39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6.xml"/><Relationship Id="rId291" Type="http://schemas.openxmlformats.org/officeDocument/2006/relationships/externalLink" Target="externalLinks/externalLink279.xml"/><Relationship Id="rId305" Type="http://schemas.openxmlformats.org/officeDocument/2006/relationships/externalLink" Target="externalLinks/externalLink293.xml"/><Relationship Id="rId347" Type="http://schemas.openxmlformats.org/officeDocument/2006/relationships/externalLink" Target="externalLinks/externalLink335.xml"/><Relationship Id="rId44" Type="http://schemas.openxmlformats.org/officeDocument/2006/relationships/externalLink" Target="externalLinks/externalLink32.xml"/><Relationship Id="rId86" Type="http://schemas.openxmlformats.org/officeDocument/2006/relationships/externalLink" Target="externalLinks/externalLink74.xml"/><Relationship Id="rId151" Type="http://schemas.openxmlformats.org/officeDocument/2006/relationships/externalLink" Target="externalLinks/externalLink139.xml"/><Relationship Id="rId389" Type="http://schemas.openxmlformats.org/officeDocument/2006/relationships/externalLink" Target="externalLinks/externalLink377.xml"/><Relationship Id="rId193" Type="http://schemas.openxmlformats.org/officeDocument/2006/relationships/externalLink" Target="externalLinks/externalLink181.xml"/><Relationship Id="rId207" Type="http://schemas.openxmlformats.org/officeDocument/2006/relationships/externalLink" Target="externalLinks/externalLink195.xml"/><Relationship Id="rId249" Type="http://schemas.openxmlformats.org/officeDocument/2006/relationships/externalLink" Target="externalLinks/externalLink237.xml"/><Relationship Id="rId414" Type="http://schemas.openxmlformats.org/officeDocument/2006/relationships/externalLink" Target="externalLinks/externalLink402.xml"/><Relationship Id="rId13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7.xml"/><Relationship Id="rId260" Type="http://schemas.openxmlformats.org/officeDocument/2006/relationships/externalLink" Target="externalLinks/externalLink248.xml"/><Relationship Id="rId316" Type="http://schemas.openxmlformats.org/officeDocument/2006/relationships/externalLink" Target="externalLinks/externalLink304.xml"/><Relationship Id="rId55" Type="http://schemas.openxmlformats.org/officeDocument/2006/relationships/externalLink" Target="externalLinks/externalLink43.xml"/><Relationship Id="rId97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8.xml"/><Relationship Id="rId358" Type="http://schemas.openxmlformats.org/officeDocument/2006/relationships/externalLink" Target="externalLinks/externalLink346.xml"/><Relationship Id="rId162" Type="http://schemas.openxmlformats.org/officeDocument/2006/relationships/externalLink" Target="externalLinks/externalLink150.xml"/><Relationship Id="rId218" Type="http://schemas.openxmlformats.org/officeDocument/2006/relationships/externalLink" Target="externalLinks/externalLink206.xml"/><Relationship Id="rId425" Type="http://schemas.openxmlformats.org/officeDocument/2006/relationships/theme" Target="theme/theme1.xml"/><Relationship Id="rId271" Type="http://schemas.openxmlformats.org/officeDocument/2006/relationships/externalLink" Target="externalLinks/externalLink259.xml"/><Relationship Id="rId24" Type="http://schemas.openxmlformats.org/officeDocument/2006/relationships/externalLink" Target="externalLinks/externalLink12.xml"/><Relationship Id="rId66" Type="http://schemas.openxmlformats.org/officeDocument/2006/relationships/externalLink" Target="externalLinks/externalLink54.xml"/><Relationship Id="rId131" Type="http://schemas.openxmlformats.org/officeDocument/2006/relationships/externalLink" Target="externalLinks/externalLink119.xml"/><Relationship Id="rId327" Type="http://schemas.openxmlformats.org/officeDocument/2006/relationships/externalLink" Target="externalLinks/externalLink315.xml"/><Relationship Id="rId369" Type="http://schemas.openxmlformats.org/officeDocument/2006/relationships/externalLink" Target="externalLinks/externalLink357.xml"/><Relationship Id="rId173" Type="http://schemas.openxmlformats.org/officeDocument/2006/relationships/externalLink" Target="externalLinks/externalLink161.xml"/><Relationship Id="rId229" Type="http://schemas.openxmlformats.org/officeDocument/2006/relationships/externalLink" Target="externalLinks/externalLink217.xml"/><Relationship Id="rId380" Type="http://schemas.openxmlformats.org/officeDocument/2006/relationships/externalLink" Target="externalLinks/externalLink368.xml"/><Relationship Id="rId240" Type="http://schemas.openxmlformats.org/officeDocument/2006/relationships/externalLink" Target="externalLinks/externalLink228.xml"/><Relationship Id="rId35" Type="http://schemas.openxmlformats.org/officeDocument/2006/relationships/externalLink" Target="externalLinks/externalLink23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282" Type="http://schemas.openxmlformats.org/officeDocument/2006/relationships/externalLink" Target="externalLinks/externalLink270.xml"/><Relationship Id="rId338" Type="http://schemas.openxmlformats.org/officeDocument/2006/relationships/externalLink" Target="externalLinks/externalLink326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30.xml"/><Relationship Id="rId184" Type="http://schemas.openxmlformats.org/officeDocument/2006/relationships/externalLink" Target="externalLinks/externalLink172.xml"/><Relationship Id="rId391" Type="http://schemas.openxmlformats.org/officeDocument/2006/relationships/externalLink" Target="externalLinks/externalLink379.xml"/><Relationship Id="rId405" Type="http://schemas.openxmlformats.org/officeDocument/2006/relationships/externalLink" Target="externalLinks/externalLink393.xml"/><Relationship Id="rId251" Type="http://schemas.openxmlformats.org/officeDocument/2006/relationships/externalLink" Target="externalLinks/externalLink239.xml"/><Relationship Id="rId46" Type="http://schemas.openxmlformats.org/officeDocument/2006/relationships/externalLink" Target="externalLinks/externalLink34.xml"/><Relationship Id="rId293" Type="http://schemas.openxmlformats.org/officeDocument/2006/relationships/externalLink" Target="externalLinks/externalLink281.xml"/><Relationship Id="rId307" Type="http://schemas.openxmlformats.org/officeDocument/2006/relationships/externalLink" Target="externalLinks/externalLink295.xml"/><Relationship Id="rId349" Type="http://schemas.openxmlformats.org/officeDocument/2006/relationships/externalLink" Target="externalLinks/externalLink337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53" Type="http://schemas.openxmlformats.org/officeDocument/2006/relationships/externalLink" Target="externalLinks/externalLink141.xml"/><Relationship Id="rId195" Type="http://schemas.openxmlformats.org/officeDocument/2006/relationships/externalLink" Target="externalLinks/externalLink183.xml"/><Relationship Id="rId209" Type="http://schemas.openxmlformats.org/officeDocument/2006/relationships/externalLink" Target="externalLinks/externalLink197.xml"/><Relationship Id="rId360" Type="http://schemas.openxmlformats.org/officeDocument/2006/relationships/externalLink" Target="externalLinks/externalLink348.xml"/><Relationship Id="rId416" Type="http://schemas.openxmlformats.org/officeDocument/2006/relationships/externalLink" Target="externalLinks/externalLink404.xml"/><Relationship Id="rId220" Type="http://schemas.openxmlformats.org/officeDocument/2006/relationships/externalLink" Target="externalLinks/externalLink208.xml"/><Relationship Id="rId15" Type="http://schemas.openxmlformats.org/officeDocument/2006/relationships/externalLink" Target="externalLinks/externalLink3.xml"/><Relationship Id="rId57" Type="http://schemas.openxmlformats.org/officeDocument/2006/relationships/externalLink" Target="externalLinks/externalLink45.xml"/><Relationship Id="rId262" Type="http://schemas.openxmlformats.org/officeDocument/2006/relationships/externalLink" Target="externalLinks/externalLink250.xml"/><Relationship Id="rId318" Type="http://schemas.openxmlformats.org/officeDocument/2006/relationships/externalLink" Target="externalLinks/externalLink306.xml"/><Relationship Id="rId99" Type="http://schemas.openxmlformats.org/officeDocument/2006/relationships/externalLink" Target="externalLinks/externalLink87.xml"/><Relationship Id="rId122" Type="http://schemas.openxmlformats.org/officeDocument/2006/relationships/externalLink" Target="externalLinks/externalLink110.xml"/><Relationship Id="rId164" Type="http://schemas.openxmlformats.org/officeDocument/2006/relationships/externalLink" Target="externalLinks/externalLink152.xml"/><Relationship Id="rId371" Type="http://schemas.openxmlformats.org/officeDocument/2006/relationships/externalLink" Target="externalLinks/externalLink359.xml"/><Relationship Id="rId427" Type="http://schemas.openxmlformats.org/officeDocument/2006/relationships/sharedStrings" Target="sharedStrings.xml"/><Relationship Id="rId26" Type="http://schemas.openxmlformats.org/officeDocument/2006/relationships/externalLink" Target="externalLinks/externalLink14.xml"/><Relationship Id="rId231" Type="http://schemas.openxmlformats.org/officeDocument/2006/relationships/externalLink" Target="externalLinks/externalLink219.xml"/><Relationship Id="rId273" Type="http://schemas.openxmlformats.org/officeDocument/2006/relationships/externalLink" Target="externalLinks/externalLink261.xml"/><Relationship Id="rId329" Type="http://schemas.openxmlformats.org/officeDocument/2006/relationships/externalLink" Target="externalLinks/externalLink317.xml"/><Relationship Id="rId68" Type="http://schemas.openxmlformats.org/officeDocument/2006/relationships/externalLink" Target="externalLinks/externalLink56.xml"/><Relationship Id="rId133" Type="http://schemas.openxmlformats.org/officeDocument/2006/relationships/externalLink" Target="externalLinks/externalLink121.xml"/><Relationship Id="rId175" Type="http://schemas.openxmlformats.org/officeDocument/2006/relationships/externalLink" Target="externalLinks/externalLink163.xml"/><Relationship Id="rId340" Type="http://schemas.openxmlformats.org/officeDocument/2006/relationships/externalLink" Target="externalLinks/externalLink328.xml"/><Relationship Id="rId200" Type="http://schemas.openxmlformats.org/officeDocument/2006/relationships/externalLink" Target="externalLinks/externalLink188.xml"/><Relationship Id="rId382" Type="http://schemas.openxmlformats.org/officeDocument/2006/relationships/externalLink" Target="externalLinks/externalLink370.xml"/><Relationship Id="rId242" Type="http://schemas.openxmlformats.org/officeDocument/2006/relationships/externalLink" Target="externalLinks/externalLink230.xml"/><Relationship Id="rId284" Type="http://schemas.openxmlformats.org/officeDocument/2006/relationships/externalLink" Target="externalLinks/externalLink272.xml"/><Relationship Id="rId37" Type="http://schemas.openxmlformats.org/officeDocument/2006/relationships/externalLink" Target="externalLinks/externalLink25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44" Type="http://schemas.openxmlformats.org/officeDocument/2006/relationships/externalLink" Target="externalLinks/externalLink132.xml"/><Relationship Id="rId90" Type="http://schemas.openxmlformats.org/officeDocument/2006/relationships/externalLink" Target="externalLinks/externalLink78.xml"/><Relationship Id="rId186" Type="http://schemas.openxmlformats.org/officeDocument/2006/relationships/externalLink" Target="externalLinks/externalLink174.xml"/><Relationship Id="rId351" Type="http://schemas.openxmlformats.org/officeDocument/2006/relationships/externalLink" Target="externalLinks/externalLink339.xml"/><Relationship Id="rId393" Type="http://schemas.openxmlformats.org/officeDocument/2006/relationships/externalLink" Target="externalLinks/externalLink381.xml"/><Relationship Id="rId407" Type="http://schemas.openxmlformats.org/officeDocument/2006/relationships/externalLink" Target="externalLinks/externalLink395.xml"/><Relationship Id="rId211" Type="http://schemas.openxmlformats.org/officeDocument/2006/relationships/externalLink" Target="externalLinks/externalLink199.xml"/><Relationship Id="rId253" Type="http://schemas.openxmlformats.org/officeDocument/2006/relationships/externalLink" Target="externalLinks/externalLink241.xml"/><Relationship Id="rId295" Type="http://schemas.openxmlformats.org/officeDocument/2006/relationships/externalLink" Target="externalLinks/externalLink283.xml"/><Relationship Id="rId309" Type="http://schemas.openxmlformats.org/officeDocument/2006/relationships/externalLink" Target="externalLinks/externalLink297.xml"/><Relationship Id="rId48" Type="http://schemas.openxmlformats.org/officeDocument/2006/relationships/externalLink" Target="externalLinks/externalLink36.xml"/><Relationship Id="rId113" Type="http://schemas.openxmlformats.org/officeDocument/2006/relationships/externalLink" Target="externalLinks/externalLink101.xml"/><Relationship Id="rId320" Type="http://schemas.openxmlformats.org/officeDocument/2006/relationships/externalLink" Target="externalLinks/externalLink308.xml"/><Relationship Id="rId155" Type="http://schemas.openxmlformats.org/officeDocument/2006/relationships/externalLink" Target="externalLinks/externalLink143.xml"/><Relationship Id="rId197" Type="http://schemas.openxmlformats.org/officeDocument/2006/relationships/externalLink" Target="externalLinks/externalLink185.xml"/><Relationship Id="rId362" Type="http://schemas.openxmlformats.org/officeDocument/2006/relationships/externalLink" Target="externalLinks/externalLink350.xml"/><Relationship Id="rId418" Type="http://schemas.openxmlformats.org/officeDocument/2006/relationships/externalLink" Target="externalLinks/externalLink406.xml"/><Relationship Id="rId222" Type="http://schemas.openxmlformats.org/officeDocument/2006/relationships/externalLink" Target="externalLinks/externalLink210.xml"/><Relationship Id="rId264" Type="http://schemas.openxmlformats.org/officeDocument/2006/relationships/externalLink" Target="externalLinks/externalLink252.xml"/><Relationship Id="rId17" Type="http://schemas.openxmlformats.org/officeDocument/2006/relationships/externalLink" Target="externalLinks/externalLink5.xml"/><Relationship Id="rId59" Type="http://schemas.openxmlformats.org/officeDocument/2006/relationships/externalLink" Target="externalLinks/externalLink47.xml"/><Relationship Id="rId124" Type="http://schemas.openxmlformats.org/officeDocument/2006/relationships/externalLink" Target="externalLinks/externalLink1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314640</xdr:colOff>
      <xdr:row>0</xdr:row>
      <xdr:rowOff>0</xdr:rowOff>
    </xdr:from>
    <xdr:to>
      <xdr:col>1</xdr:col>
      <xdr:colOff>609120</xdr:colOff>
      <xdr:row>2</xdr:row>
      <xdr:rowOff>4693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4640" y="0"/>
          <a:ext cx="1046955" cy="41835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128160</xdr:colOff>
      <xdr:row>0</xdr:row>
      <xdr:rowOff>3240</xdr:rowOff>
    </xdr:from>
    <xdr:to>
      <xdr:col>3</xdr:col>
      <xdr:colOff>34920</xdr:colOff>
      <xdr:row>1</xdr:row>
      <xdr:rowOff>148680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7760" y="3240"/>
          <a:ext cx="1125960" cy="3359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17</xdr:col>
      <xdr:colOff>237066</xdr:colOff>
      <xdr:row>38</xdr:row>
      <xdr:rowOff>185478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33" y="1905000"/>
          <a:ext cx="10058400" cy="7043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10</xdr:col>
      <xdr:colOff>229142</xdr:colOff>
      <xdr:row>26</xdr:row>
      <xdr:rowOff>67216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143000"/>
          <a:ext cx="3886742" cy="3877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BAfile/AUD2/Nit344/Ye99/AWPs/Nit344_AW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BAfile/AUD2/Nit344/Ye99/AWPs/Nit344_AW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Client%20file/Sap/Awps/SAP%20Urus%20Harta%20Sdn%20Bhd/cya_URUSHAR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Client%20file/Sap/Awps/SAP%20Urus%20Harta%20Sdn%20Bhd/cya_URUSHAR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Fei.Roo.Wong/Desktop/Kamunting%202/Statutory%20Account/KCB%20-%202003accounts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Fei.Roo.Wong/Desktop/Kamunting%202/Statutory%20Account/KCB%20-%202003accounts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523/aws/Documents%20and%20Settings/user/My%20Documents/WINDOWS/TEMP/HKL/abacus/lead-Abacus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523/aws/Documents%20and%20Settings/user/My%20Documents/WINDOWS/TEMP/HKL/abacus/lead-Abacus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TISEA/TISEA00/MTC/Tax/YA00%20CY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TISEA/TISEA00/MTC/Tax/YA00%20CY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Daya_server/audit%20files/VAA%20Group%20of%20Companies(Audit%20Report)/Asiana%20Food%20Industries%20Sdn%20Bhd-Audit%20Report/Asiana%20Food%20Industries.%20-%20Audit%20report%2020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Daya_server/audit%20files/VAA%20Group%20of%20Companies(Audit%20Report)/Asiana%20Food%20Industries%20Sdn%20Bhd-Audit%20Report/Asiana%20Food%20Industries.%20-%20Audit%20report%20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AuditFile/KLAudit/Integrated%20Brickworks/IBSB-AWP2002(baru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AuditFile/KLAudit/Integrated%20Brickworks/IBSB-AWP2002(baru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My%20Documents/LooseFF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My%20Documents/LooseF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ssrv/Client/Documents%20and%20Settings/chan/Desktop/VTE/Q2_10/WP/WP_YE_30.6.10/WP_100-PP30_VTE_Q2,1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ssrv/Client/Documents%20and%20Settings/chan/Desktop/VTE/Q2_10/WP/WP_YE_30.6.10/WP_100-PP30_VTE_Q2,1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Documents%20and%20Settings/chan/Desktop/VTE/Q2_10/WP/WP_YE_30.6.10/WP_100-PP30_VTE_Q2,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:/Documents%20and%20Settings/chan/Desktop/VTE/Q2_10/WP/WP_YE_30.6.10/WP_100-PP30_VTE_Q2,1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049/aws/Amanda/NNR/NNR30.6.01/Client/Ultradata%20(Malaysia)%20Sdn%20Bhd/UltraDat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049/aws/Amanda/NNR/NNR30.6.01/Client/Ultradata%20(Malaysia)%20Sdn%20Bhd/UltraData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Mybookworld/public/Users/user/Desktop/Cassie/Documents%20and%20Settings/gloria.chiam/Desktop/Reinhausen/2005/AWP/Reinhausen/Reinhausen%202004/2004/AWP%202004/Reinhausen/2004/Audit2001/Trade%20debtors.xls?333D429A" TargetMode="External"/><Relationship Id="rId1" Type="http://schemas.openxmlformats.org/officeDocument/2006/relationships/externalLinkPath" Target="file:///\\333D429A\Trade%20debtor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Users/piangruk/AppData/Roaming/Microsoft/Excel/Documents%20and%20Settings/chan/Desktop/VTE/Q2_10/WP/WP_YE_30.6.10/WP_100-PP30_VTE_Q2,1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:/Users/piangruk/AppData/Roaming/Microsoft/Excel/Documents%20and%20Settings/chan/Desktop/VTE/Q2_10/WP/WP_YE_30.6.10/WP_100-PP30_VTE_Q2,1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Engagements/De%20Ruiter%20Seeds%20(M)%20Sdn%20Bhd/YE%2031%20December%202001/Documents/MTC/Tax/YA00%20CY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Engagements/De%20Ruiter%20Seeds%20(M)%20Sdn%20Bhd/YE%2031%20December%202001/Documents/MTC/Tax/YA00%20CY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ChinLY/LOOSE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ChinLY/LOOSE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DATABASE/Ahmad%20Nazri%20Mohamad/Clients/AIH%20(Malaysia)%20Sdn%20Bhd/Update/Cybercode%20(M)%20Sdn%20Bhd/Cashflow%20-%20working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DATABASE/Ahmad%20Nazri%20Mohamad/Clients/AIH%20(Malaysia)%20Sdn%20Bhd/Update/Cybercode%20(M)%20Sdn%20Bhd/Cashflow%20-%20working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Gerbang%20Perdana/2003/Client's%20schedules/DATA/A%20ROSHNI'S/Client/Totokiki/Dec%202000/Bif/Purchases/Purchases%20cut%20off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GYL/Gerbang%20Perdana/2003/Client's%20schedules/DATA/A%20ROSHNI'S/Client/Totokiki/Dec%202000/Bif/Purchases/Purchases%20cut%20off.xls?239D7D8B" TargetMode="External"/><Relationship Id="rId1" Type="http://schemas.openxmlformats.org/officeDocument/2006/relationships/externalLinkPath" Target="file:///\\239D7D8B\Purchases%20cut%20off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Amanda/NNR/ccf/Client/Ultradata%20(Malaysia)%20Sdn%20Bhd/UltraDat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Amanda/NNR/ccf/Client/Ultradata%20(Malaysia)%20Sdn%20Bhd/UltraDat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Audit%202000/Metronic/MESB/99/A/A/Nespro/SIR2/1500-40.WK3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Audit%202000/Metronic/MESB/99/A/A/Nespro/SIR2/1500-40.WK3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Jhb2_gen_mal_3/AabsData/DATA/CLIENT/Tan358/Ye01/31.12.01/09-AWPs/Tan358-awp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Jhb2_gen_mal_3/AabsData/DATA/CLIENT/Tan358/Ye01/31.12.01/09-AWPs/Tan358-awp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Documents%20and%20Settings/prapasri/Desktop/Account%20Executive/Price/Microsoft/MS_2003_10_Public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Jhb2_gen_mal_3/AabsData/DATA/tan358/DATA/Year_End_2000/Examples/Awp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Jhb2_gen_mal_3/AabsData/DATA/tan358/DATA/Year_End_2000/Examples/Awp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IndexFurniture%2006/WeltaxcompP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IndexFurniture%2006/WeltaxcompP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T2000CY/Tax1/Chx056/COMP2000/Formc200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T2000CY/Tax1/Chx056/COMP2000/Formc20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Jhb2_gen_mal_3/AabsData/BAfile/AUD2/Nit344/Ye99/AWPs/Nit344_AWP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Jhb2_gen_mal_3/AabsData/BAfile/AUD2/Nit344/Ye99/AWPs/Nit344_AWP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Documents%20and%20Settings/prapasri/Desktop/Account%20Executive/Price/Microsoft/MS_2004_05_Public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Officedata/jobonhand/Assurance/Workings&amp;Account/Best%20Motor%20Ent_workings'0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Officedata/jobonhand/Assurance/Workings&amp;Account/Best%20Motor%20Ent_workings'0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TheHunterGroup/Jhb2_gen_mal_3/AabsData/DATA/Bee%20Sing/KIL334/YE00/Ideal%20Reno/awpIR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TheHunterGroup/Jhb2_gen_mal_3/AabsData/DATA/Bee%20Sing/KIL334/YE00/Ideal%20Reno/awpI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Jhb2_gen_mal_3/AabsData/DATA/Bee%20Sing/KIL334/YE00/Ideal%20Reno/awpI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Jhb2_gen_mal_3/AabsData/DATA/Bee%20Sing/KIL334/YE00/Ideal%20Reno/awpI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BAfile/Aud1/GLP334/Ye01/09-AWPs/Bee%20Sing/KIL334/YE00/Ideal%20Reno/awpIR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BAfile/Aud1/GLP334/Ye01/09-AWPs/Bee%20Sing/KIL334/YE00/Ideal%20Reno/awpI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Jhb2_gen_mal_3/AabsData/DATA/Bee%20Sing/KIL334/YE00/Ideal%20Reno/awp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Jhb2_gen_mal_3/AabsData/DATA/Bee%20Sing/KIL334/YE00/Ideal%20Reno/awpIR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Jhb2_gen_mal_3/AabsData/DATA/tan358/DATA/Year_End_2000/Examples/Aw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Jhb2_gen_mal_3/AabsData/DATA/tan358/DATA/Year_End_2000/Examples/Awp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DOWS/Temp/Cash%20and%20Equivalents%20CRA%20and%20work%20program%20(09-05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DOWS/Temp/Cash%20and%20Equivalents%20CRA%20and%20work%20program%20(09-05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2/Company/Assurance/QuanCheng_05/WeltaxcompP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2/Company/Assurance/QuanCheng_05/WeltaxcompP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Jhb2_gen_mal_3/AabsData/BAfile/AUD2/Nit344/Ye99/AWPs/Nit344_AWP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Jhb2_gen_mal_3/AabsData/BAfile/AUD2/Nit344/Ye99/AWPs/Nit344_AWP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**&#3619;&#3656;&#3623;&#3617;&#3607;&#3640;&#3609;**/NETPIE%20/F:/Documents%20and%20Settings/prapasri/Desktop/Account%20Executive/Price/Microsoft/MS_2003_10_Public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Impiana%20Cherating%2000/MALD9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Impiana%20Cherating%2000/MALD9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Users/piangruk/AppData/Roaming/Microsoft/Excel/&#3591;&#3634;&#3609;ANS/CMO%20Group/52/Q4.09/PM%20CENTER/WP_PM_YE09/Data_Cus/Detail5212/Detail4908/Detail%20Jul'06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:/Users/piangruk/AppData/Roaming/Microsoft/Excel/&#3591;&#3634;&#3609;ANS/CMO%20Group/52/Q4.09/PM%20CENTER/WP_PM_YE09/Data_Cus/Detail5212/Detail4908/Detail%20Jul'0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StandardDoc/Nst334_Awp1_without%20adj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StandardDoc/Nst334_Awp1_without%20adj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ssrv/Client/StandardDoc/Nst334_Awp1_without%20adj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ssrv/Client/StandardDoc/Nst334_Awp1_without%20adj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NL%20Language'05/StandardDoc/Nst334_Awp1_without%20adj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NL%20Language'05/StandardDoc/Nst334_Awp1_without%20adj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Clients/PacIns98/Year%20end%201998/11-AWPs/WINDOWS/TEMP/fish%20fund%2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Clients/PacIns98/Year%20end%201998/11-AWPs/WINDOWS/TEMP/fish%20fund%203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Officedata/jobonhand/Assurance/Workings&amp;Account/TBS%20Asia%20Consultants'07/IndexFurniture%2006/DATA/Bee%20Sing/KIL334/YE00/Ideal%20Reno/awpIR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Officedata/jobonhand/Assurance/Workings&amp;Account/TBS%20Asia%20Consultants'07/IndexFurniture%2006/DATA/Bee%20Sing/KIL334/YE00/Ideal%20Reno/awpIR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IndexFurniture%2006/DATA/Bee%20Sing/KIL334/YE00/Ideal%20Reno/awpI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IndexFurniture%2006/DATA/Bee%20Sing/KIL334/YE00/Ideal%20Reno/awpIR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Amanda/NNR/NNR30.6.01/Client/Ultradata%20(Malaysia)%20Sdn%20Bhd/UltraDat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Amanda/NNR/NNR30.6.01/Client/Ultradata%20(Malaysia)%20Sdn%20Bhd/UltraDat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13/aws/GYL/Kiso/Kiso2001/Audit/MTC/Tax/YA00%20CYB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13/aws/GYL/Kiso/Kiso2001/Audit/MTC/Tax/YA00%20CYB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akt007/drive%20d/2TAX/TAX-COMP/Kesedar%20Inn/KISB2000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akt007/drive%20d/2TAX/TAX-COMP/Kesedar%20Inn/KISB2000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Audit%202000/Metronic/MESB/99/A/DATA/BSFNPS97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Audit%202000/Metronic/MESB/99/A/DATA/BSFNPS9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6/aws/Working%20Folders/Shinmaywa/2001/Audit%20schedule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6/aws/Working%20Folders/Shinmaywa/2001/Audit%20schedul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espro/gad_work/Data/Dec98/NSMALJU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espro/gad_work/Data/Dec98/NSMALJUN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GYL/DRSM/Audit2001/Audsche/MTC/Tax/YA00%20CYB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GYL/DRSM/Audit2001/Audsche/MTC/Tax/YA00%20CYB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GYL/Kiso%20Bumi/MTC/Tax/YA00%20CYB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GYL/Kiso%20Bumi/MTC/Tax/YA00%20CYB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GYL/DRSL/Audit2001/Audsche/MTC/Tax/YA00%20CYB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GYL/DRSL/Audit2001/Audsche/MTC/Tax/YA00%20CY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gloria.chiam/Desktop/Reinhausen/2005/AWP/GYL/Reinhausen/Audsch03/Client's%20schedules/client/stock%202003.xls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gloria.chiam/Desktop/Reinhausen/2005/AWP/GYL/Reinhausen/Audsch03/Client's%20schedules/client/stock%202003.xls?9BE84EA8" TargetMode="External"/><Relationship Id="rId1" Type="http://schemas.openxmlformats.org/officeDocument/2006/relationships/externalLinkPath" Target="file:///\\9BE84EA8\stock%20200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094/aws/SJMAh/working%20paper/Noveon02/Audit%20sch-GD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094/aws/SJMAh/working%20paper/Noveon02/Audit%20sch-GD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GYL/Reinhausen/Audsch01/Audsch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GYL/Reinhausen/Audsch01/Audsch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Gerbang%20Perdana/2003/Client's%20schedules/SJMAh/working%20paper/Noveon02/Audit%20sch-GD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Gerbang%20Perdana/2003/Client's%20schedules/SJMAh/working%20paper/Noveon02/Audit%20sch-GD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Documents%20and%20Settings/PAVOR/Local%20Settings/Temporary%20Internet%20Files/OLK7/2C%20Tornado%20RSRM%202.3_4.7v1.6%20072503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Documents%20and%20Settings/PAVOR/Local%20Settings/Temporary%20Internet%20Files/OLK7/2C%20Tornado%20RSRM%205.7v1.7%20072503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Jenny/Yuasa%20Mechatronics/MSOFFICE/EXCEL/MTHACCTS/MPSB'2K/MP2K1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Jenny/Yuasa%20Mechatronics/MSOFFICE/EXCEL/MTHACCTS/MPSB'2K/MP2K1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108/aws/WINDOWS/TEMP/anm%2019.10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108/aws/WINDOWS/TEMP/anm%2019.1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Clients/Audit%20files/Fong%20Soon%20Thye/2001/12%20-%20Nakanishi/Bernas/Non-Traditional/Ntb/Bernas%20Realty%20&amp;%20Development/Awps/BRD-AWP2000.xls" TargetMode="External"/></Relationships>
</file>

<file path=xl/externalLinks/_rels/externalLink118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Clients/Audit%20files/Fong%20Soon%20Thye/2001/12%20-%20Nakanishi/Bernas/Non-Traditional/Ntb/Bernas%20Realty%20&amp;%20Development/Awps/BRD-AWP2000.xls?4A2823EF" TargetMode="External"/><Relationship Id="rId1" Type="http://schemas.openxmlformats.org/officeDocument/2006/relationships/externalLinkPath" Target="file:///\\4A2823EF\BRD-AWP200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108/aws/WINDOWS/TEMP/Audited1999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108/aws/WINDOWS/TEMP/Audited1999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KJM/Kiso2002/Audit/MTC/Tax/YA00%20CYB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KJM/Kiso2002/Audit/MTC/Tax/YA00%20CYB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dorah.ming.tang/Desktop/Articulate2003/Art.CustCare2003/2003/Audit%202000/Metronic/MESB/99/A/A/Nespro/B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dorah.ming.tang/Desktop/Articulate2003/Art.CustCare2003/2003/Audit%202000/Metronic/MESB/99/A/A/Nespro/B?739EF6A5" TargetMode="External"/><Relationship Id="rId1" Type="http://schemas.openxmlformats.org/officeDocument/2006/relationships/externalLinkPath" Target="file:///\\739EF6A5\B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Audit%20sch-GD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Audit%20sch-GD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jick.ooi.lim/Desktop/DATA/Inter-Pacific%20Capital/Dormant/Inter-Pac%20Mgmt/IPM-AWPS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jick.ooi.lim/Desktop/DATA/Inter-Pacific%20Capital/Dormant/Inter-Pac%20Mgmt/IPM-AWPS.xls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Mybookworld/public/Users/user/Desktop/Cassie/GCL%20Transfer/Clients/2002/Tokyo%20Electric%20Power%20Services/DATA/Evelyn/Clients/Sapura/Sapura%20Poweraid%20Sdn%20Bhd%20-31.1.2001/Contractors%20schedule-Marang.xls?464E23A9" TargetMode="External"/><Relationship Id="rId1" Type="http://schemas.openxmlformats.org/officeDocument/2006/relationships/externalLinkPath" Target="file:///\\464E23A9\Contractors%20schedule-Marang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DATA/Bee%20Sing/KIL334/YE00/Ideal%20Reno/awpIR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DATA/Bee%20Sing/KIL334/YE00/Ideal%20Reno/awpIR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ULIE/Assurance/MillionGold_05/DATA/Bee%20Sing/KIL334/YE00/Ideal%20Reno/awpIR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ULIE/Assurance/MillionGold_05/DATA/Bee%20Sing/KIL334/YE00/Ideal%20Reno/awpIR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2/Company/Assurance/QuanCheng_05/DATA/Bee%20Sing/KIL334/YE00/Ideal%20Reno/awpIR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2/Company/Assurance/QuanCheng_05/DATA/Bee%20Sing/KIL334/YE00/Ideal%20Reno/awp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Company/Assurance/LifetimeDiscovery'05/DATA/Bee%20Sing/KIL334/YE00/Ideal%20Reno/awpIR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Company/Assurance/LifetimeDiscovery'05/DATA/Bee%20Sing/KIL334/YE00/Ideal%20Reno/awpI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KongJooHuat'05/DATA/Bee%20Sing/KIL334/YE00/Ideal%20Reno/awpIR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KongJooHuat'05/DATA/Bee%20Sing/KIL334/YE00/Ideal%20Reno/awpIR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AlamCerdik_05/DATA/Bee%20Sing/KIL334/YE00/Ideal%20Reno/awpIR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AlamCerdik_05/DATA/Bee%20Sing/KIL334/YE00/Ideal%20Reno/awpIR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Sengair_06/DATA/Bee%20Sing/KIL334/YE00/Ideal%20Reno/awpIR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Sengair_06/DATA/Bee%20Sing/KIL334/YE00/Ideal%20Reno/awpIR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OMPAQ7500/Assurance/Sengair_06/DATA/Bee%20Sing/KIL334/YE00/Ideal%20Reno/awpIR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OMPAQ7500/Assurance/Sengair_06/DATA/Bee%20Sing/KIL334/YE00/Ideal%20Reno/awpI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SinoMalay%2004/DATA/Bee%20Sing/KIL334/YE00/Ideal%20Reno/awpIR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SinoMalay%2004/DATA/Bee%20Sing/KIL334/YE00/Ideal%20Reno/awpIR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Taxamatic/AAA/KH%20Line_'99%20-%20'04/DATA/Bee%20Sing/KIL334/YE00/Ideal%20Reno/awpIR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Taxamatic/AAA/KH%20Line_'99%20-%20'04/DATA/Bee%20Sing/KIL334/YE00/Ideal%20Reno/awpIR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My%20Jobs/SoonYeResin'05/DATA/Bee%20Sing/KIL334/YE00/Ideal%20Reno/awpIR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My%20Jobs/SoonYeResin'05/DATA/Bee%20Sing/KIL334/YE00/Ideal%20Reno/awpIR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Assurance/EEM%20TECH_06/DATA/Bee%20Sing/KIL334/YE00/Ideal%20Reno/awpIR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Assurance/EEM%20TECH_06/DATA/Bee%20Sing/KIL334/YE00/Ideal%20Reno/awpIR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My%20Jobs/Royaparcel_06/DATA/Bee%20Sing/KIL334/YE00/Ideal%20Reno/awpIR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My%20Jobs/Royaparcel_06/DATA/Bee%20Sing/KIL334/YE00/Ideal%20Reno/awpIR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Jenny/Yuasa%20Mechatronics/DATA/dsfurniture/dsawps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Jenny/Yuasa%20Mechatronics/DATA/dsfurniture/dsawps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espro/gad_work/Data/Dec98/TWKSHT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espro/gad_work/Data/Dec98/TWKSHT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nie/2000/Dec00MGT(f)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nie/2000/Dec00MGT(f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microsoft.com/office/2006/relationships/xlExternalLinkPath/xlStartup" Target="TASJA/PL&amp;BSCUM/PT-CM-94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HKL/abacus/ABACUS-SCH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HKL/abacus/ABACUS-SCH1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C:/&#3591;&#3634;&#3609;%20ANS/CMO%20Group/55/Q2'12/CM%20Q2'12/WP_CM%20Q2'12/A4_Borrowings_CM_Q2'12/WORK/ANS/COMPANY/CMO%20Group/54/Q2'11/PM_Q2'11/WP%20PM_Q2'11_Fluk/WP_Q1_10/Data_Cus/Detail5212/Detail4908/Detail%20Jul'06.XLS?BC73A01C" TargetMode="External"/><Relationship Id="rId1" Type="http://schemas.openxmlformats.org/officeDocument/2006/relationships/externalLinkPath" Target="file:///\\BC73A01C\Detail%20Jul'06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bp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bpr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H:/Documents%20and%20Settings/admin/Local%20Settings/Temporary%20Internet%20Files/Content.IE5/674ZPQJ2/Auto%20Program/2005/profile/Financial%20statement/FS%202005/Report%202005/OpLeaseRegister%20Wilson%2020041110%20v_1.2.xls?3D3793CC" TargetMode="External"/><Relationship Id="rId1" Type="http://schemas.openxmlformats.org/officeDocument/2006/relationships/externalLinkPath" Target="file:///\\3D3793CC\OpLeaseRegister%20Wilson%2020041110%20v_1.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BYSEnt_06/T2000CY/Tax1/Chx056/COMP2000/Formc200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BYSEnt_06/T2000CY/Tax1/Chx056/COMP2000/Formc2000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Officedata/jobonhand/Assurance/Workings&amp;Account/TBS%20Asia%20Consultants'07/BYSEnt_06/T2000CY/Tax1/Chx056/COMP2000/Formc2000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Officedata/jobonhand/Assurance/Workings&amp;Account/TBS%20Asia%20Consultants'07/BYSEnt_06/T2000CY/Tax1/Chx056/COMP2000/Formc2000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BYSEnt_06/T2000CY/Tax1/Chx056/COMP2000/Formc2000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BYSEnt_06/T2000CY/Tax1/Chx056/COMP2000/Formc2000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DOWS/TEMP/lead-Abacus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DOWS/TEMP/lead-Abacus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Gerbang%20Perdana/2003/Client's%20schedules/Clients/Audit%20files/Stephen%20Wan/2001/TSI%20Holdings%20Sdn.%20Bhd/API%20ALUMINIUM/HKL/abacus/lead-Abacus1.xls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microsoft.com/office/2019/04/relationships/externalLinkLongPath" Target="/J:/Users/noogift/Desktop/D:/Users/noogift/Documents/Mybookworld/public/Users/user/Desktop/Cassie/GYL/Gerbang%20Perdana/2003/Client's%20schedules/Clients/Audit%20files/Stephen%20Wan/2001/TSI%20Holdings%20Sdn.%20Bhd/API%20ALUMINIUM/HKL/abacus/lead-Abacus1.xls?86E984C4" TargetMode="External"/><Relationship Id="rId1" Type="http://schemas.openxmlformats.org/officeDocument/2006/relationships/externalLinkPath" Target="file:///\\86E984C4\lead-Abacus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WINDOWS/TEMP/lead-Abacus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WINDOWS/TEMP/lead-Abacus1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WINDOWS/TEMP/AUDIT/1998/Exc036/Mmc_pl/MMC-PL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WINDOWS/TEMP/AUDIT/1998/Exc036/Mmc_pl/MMC-PL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ATA/ACCT/KIT/CONSOL/RESV0401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ATA/ACCT/KIT/CONSOL/RESV040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108/aws/ac-note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108/aws/ac-note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CTL_May02_FP%20Finance%20Plan%204.1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CTL_May02_FP%20Finance%20Plan%204.1.xls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A:/weihweihong/WHH/Scientex/07%20-%20Texland%20Group/Audit%20of%20holding%20company/Texland%20Sdn%20Bhd/Clients/Audit%20files/Desmond%20Yeoh/2002/Ishikawajima%20Harima/AWPs/AWPs-latest%2012.08.02/PK3/ISH033-AllAWPs%20(KL).xls?41B263F7" TargetMode="External"/><Relationship Id="rId1" Type="http://schemas.openxmlformats.org/officeDocument/2006/relationships/externalLinkPath" Target="file:///\\41B263F7\ISH033-AllAWPs%20(KL)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ssrv/Client/My%20Documents/Bluetooth%20Exchange%20Folder/PTTT/TCAS/Files48/GL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ssrv/Client/My%20Documents/Bluetooth%20Exchange%20Folder/PTTT/TCAS/Files48/GL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096/aws/Engagements/Preston%20Corporation%20Sdn%20Bhd/Preston%20Group%20of%20Companies%20YE%2030%20Sep%202002/Documents/Times%202001%20awp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096/aws/Engagements/Preston%20Corporation%20Sdn%20Bhd/Preston%20Group%20of%20Companies%20YE%2030%20Sep%202002/Documents/Times%202001%20awp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Jhb2_gen_mal_3/AabsData/DATA/Year_End_2000/Examples/Awp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Jhb2_gen_mal_3/AabsData/DATA/Year_End_2000/Examples/Awp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TheHunterGroup/Jhb2_gen_mal_3/AabsData/DATA/Year_End_2000/Examples/Awp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TheHunterGroup/Jhb2_gen_mal_3/AabsData/DATA/Year_End_2000/Examples/Awp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BAfile/Aud1/GLP334/Ye01/09-AWPs/Year_End_2000/Examples/Awp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BAfile/Aud1/GLP334/Ye01/09-AWPs/Year_End_2000/Examples/Awp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Jhb2_gen_mal_3/AabsData/DATA/Year_End_2000/Examples/Awp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Jhb2_gen_mal_3/AabsData/DATA/Year_End_2000/Examples/Awp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s-srv2/data/Client/MNS%2007/WP_TIK/Reconcile%20&#3616;&#3614;.30-YE'07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s-srv2/data/Client/MNS%2007/WP_TIK/Reconcile%20&#3616;&#3614;.30-YE'07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Engagements/Silicon%20Communications%20Sdn%20Bhd/YE%2031%20December%202001/Documents/MTC/Tax/YA00%20CYB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Engagements/Silicon%20Communications%20Sdn%20Bhd/YE%2031%20December%202001/Documents/MTC/Tax/YA00%20CY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chyekhoon/SG%2030.6.00/Multivenue/MTC/Tax/YA00%20CYB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chyekhoon/SG%2030.6.00/Multivenue/MTC/Tax/YA00%20CYB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25/aws/WLMAR/PowSin-E/audit%202000/Unrealised%20&amp;%20realised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25/aws/WLMAR/PowSin-E/audit%202000/Unrealised%20&amp;%20realised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Li.Yoong.Seow/My%20Documents/WINNT/TEMP/filing%20protocol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Li.Yoong.Seow/My%20Documents/WINNT/TEMP/filing%20protocol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My%20Jobs/Royaparcel_06/T2000CY/Tax1/Chx056/COMP2000/Formc2000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My%20Jobs/Royaparcel_06/T2000CY/Tax1/Chx056/COMP2000/Formc2000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gloria.chiam/Desktop/Reinhausen/2005/AWP/GYL/Reinhausen/Audsch01/Audit2001/Audsch01/Audit2001/Trade%20debtors.xls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gloria.chiam/Desktop/Reinhausen/2005/AWP/GYL/Reinhausen/Audsch01/Audit2001/Audsch01/Audit2001/Trade%20debtors.xls?3DA0E7F2" TargetMode="External"/><Relationship Id="rId1" Type="http://schemas.openxmlformats.org/officeDocument/2006/relationships/externalLinkPath" Target="file:///\\3DA0E7F2\Trade%20debtor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Skyline%20Group/YE2002/Slims/AWPs/GYL/Ranchcorp/Ranchcorp%20audit%20schedul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Skyline%20Group/YE2002/Slims/AWPs/GYL/Ranchcorp/Ranchcorp%20audit%20schedule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openingbalances010104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openingbalances010104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RanchCorp/BS&amp;PL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RanchCorp/BS&amp;PL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&#3591;&#3634;&#3609;%20ANS/CMO%20Group/55/Q2'12/CM%20Q2'12/WP_CM%20Q2'12/A4_Borrowings_CM_Q2'12/Documents%20and%20Settings/Piano/Desktop/CM_2552/Detail%20FS/3.Dec,%201130-1133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:/&#3591;&#3634;&#3609;%20ANS/CMO%20Group/55/Q2'12/CM%20Q2'12/WP_CM%20Q2'12/A4_Borrowings_CM_Q2'12/Documents%20and%20Settings/Piano/Desktop/CM_2552/Detail%20FS/3.Dec,%201130-1133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&#3591;&#3634;&#3609;%20ANS/CMO%20Group/55/Q2'12/CM%20Q2'12/WP_CM%20Q2'12/A4_Borrowings_CM_Q2'12/Client/CM%20Grup/54/Q1'11/CM_Q1'11/WP_CM%20Q1'11/A4_Borrowings%20CM-Q1'11/A4%20-%20Borrowings%20CM-Q1'11.xls" TargetMode="External"/></Relationships>
</file>

<file path=xl/externalLinks/_rels/externalLink225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C:/&#3591;&#3634;&#3609;%20ANS/CMO%20Group/55/Q2'12/CM%20Q2'12/WP_CM%20Q2'12/A4_Borrowings_CM_Q2'12/Client/CM%20Grup/54/Q1'11/CM_Q1'11/WP_CM%20Q1'11/A4_Borrowings%20CM-Q1'11/A4%20-%20Borrowings%20CM-Q1'11.xls?4B37C1EC" TargetMode="External"/><Relationship Id="rId1" Type="http://schemas.openxmlformats.org/officeDocument/2006/relationships/externalLinkPath" Target="file:///\\4B37C1EC\A4%20-%20Borrowings%20CM-Q1'1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MY%20Orchids_01/T2000CY/Tax1/Chx056/COMP2000/Formc2000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MY%20Orchids_01/T2000CY/Tax1/Chx056/COMP2000/Formc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AAA/YEAR%202004/Sengair%2004/T2000CY/Tax1/Chx056/COMP2000/Formc2000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AAA/YEAR%202004/Sengair%2004/T2000CY/Tax1/Chx056/COMP2000/Formc2000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2/Company/Assurance/QuanCheng_05/T2000CY/Tax1/Chx056/COMP2000/Formc2000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2/Company/Assurance/QuanCheng_05/T2000CY/Tax1/Chx056/COMP2000/Formc2000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ULIE/Assurance/MillionGold_05/T2000CY/Tax1/Chx056/COMP2000/Formc2000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ULIE/Assurance/MillionGold_05/T2000CY/Tax1/Chx056/COMP2000/Formc2000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ULIE/Assurance/Company/Assurance/LifetimeDiscovery'05/T2000CY/Tax1/Chx056/COMP2000/Formc2000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ULIE/Assurance/Company/Assurance/LifetimeDiscovery'05/T2000CY/Tax1/Chx056/COMP2000/Formc200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Pentiumiii550/workstation/Documents%20and%20Settings/User/Desktop/Sengair_06/T2000CY/Tax1/Chx056/COMP2000/Formc200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Pentiumiii550/workstation/Documents%20and%20Settings/User/Desktop/Sengair_06/T2000CY/Tax1/Chx056/COMP2000/Formc2000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SinoMalay%2004/T2000CY/Tax1/Chx056/COMP2000/Formc2000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SinoMalay%2004/T2000CY/Tax1/Chx056/COMP2000/Formc2000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SteadyGlobal'07/workstation/Assurance/YEAR%202006/Sengair_06/T2000CY/Tax1/Chx056/COMP2000/Formc2000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Lieh/backup/BackUp_210408/JobOnHand/Assurance/Workings&amp;Account/SoonYeResin'06/SteadyGlobal'07/workstation/Assurance/YEAR%202006/Sengair_06/T2000CY/Tax1/Chx056/COMP2000/Formc2000.xls?0C423FA7" TargetMode="External"/><Relationship Id="rId1" Type="http://schemas.openxmlformats.org/officeDocument/2006/relationships/externalLinkPath" Target="file:///\\0C423FA7\Formc2000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Assurance/RedFox_06/T2000CY/Tax1/Chx056/COMP2000/Formc2000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Assurance/RedFox_06/T2000CY/Tax1/Chx056/COMP2000/Formc2000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Company/Assurance/LifetimeDiscovery'05/T2000CY/Tax1/Chx056/COMP2000/Formc2000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Company/Assurance/LifetimeDiscovery'05/T2000CY/Tax1/Chx056/COMP2000/Formc2000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KongJooHuat'05/T2000CY/Tax1/Chx056/COMP2000/Formc2000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KongJooHuat'05/T2000CY/Tax1/Chx056/COMP2000/Formc2000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Company/Assurance/Dosca_04/T2000CY/Tax1/Chx056/COMP2000/Formc200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Company/Assurance/Dosca_04/T2000CY/Tax1/Chx056/COMP2000/Formc2000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AlamCerdik_05/T2000CY/Tax1/Chx056/COMP2000/Formc2000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AlamCerdik_05/T2000CY/Tax1/Chx056/COMP2000/Formc2000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Sengair_06/T2000CY/Tax1/Chx056/COMP2000/Formc2000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Sengair_06/T2000CY/Tax1/Chx056/COMP2000/Formc2000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OMPAQ7500/Assurance/Sengair_06/T2000CY/Tax1/Chx056/COMP2000/Formc2000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OMPAQ7500/Assurance/Sengair_06/T2000CY/Tax1/Chx056/COMP2000/Formc2000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Taxamatic/AAA/KH%20Line_'99%20-%20'04/T2000CY/Tax1/Chx056/COMP2000/Formc2000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Taxamatic/AAA/KH%20Line_'99%20-%20'04/T2000CY/Tax1/Chx056/COMP2000/Formc2000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Assurance/EEM%20TECH_06/T2000CY/Tax1/Chx056/COMP2000/Formc2000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Assurance/EEM%20TECH_06/T2000CY/Tax1/Chx056/COMP2000/Formc2000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My%20Jobs/Royaparcel_06/T2000CY/Tax1/Chx056/COMP2000/Formc2000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My%20Jobs/Royaparcel_06/T2000CY/Tax1/Chx056/COMP2000/Formc2000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LeepHong_04/T2000CY/Tax1/Chx056/COMP2000/Formc2000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LeepHong_04/T2000CY/Tax1/Chx056/COMP2000/Formc2000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Premium%20Tyre%20Retreading05/WeltaxcompPY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Premium%20Tyre%20Retreading05/WeltaxcompPY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Syafiza.Mohd.Norddin/Desktop/EY/Ondeo/Nalco-AWP2002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Syafiza.Mohd.Norddin/Desktop/EY/Ondeo/Nalco-AWP2002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Desmond.Wong/Audit%20files/2002/Rotol/WML/Food%20Chain/Shafiza's%20work/Rotol_Food%20Chain_2002(200303).xls" TargetMode="External"/></Relationships>
</file>

<file path=xl/externalLinks/_rels/externalLink269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Desmond.Wong/Audit%20files/2002/Rotol/WML/Food%20Chain/Shafiza's%20work/Rotol_Food%20Chain_2002(200303).xls?A8F0C9D9" TargetMode="External"/><Relationship Id="rId1" Type="http://schemas.openxmlformats.org/officeDocument/2006/relationships/externalLinkPath" Target="file:///\\A8F0C9D9\Rotol_Food%20Chain_2002(200303)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TLO-01/SYS/USERS/RODZI/JC/0497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TLO-01/SYS/USERS/RODZI/JC/0497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Premium%20Tyre%20Retreading05/T2000CY/Tax1/Chx056/COMP2000/Formc2000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Premium%20Tyre%20Retreading05/T2000CY/Tax1/Chx056/COMP2000/Formc2000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gloria.chiam/Desktop/Reinhausen/2005/AWP/Reinhausen/Reinhausen%202004/2004/AWP%202004/Reinhausen/2004/Trade%20debtors.xls" TargetMode="External"/></Relationships>
</file>

<file path=xl/externalLinks/_rels/externalLink275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gloria.chiam/Desktop/Reinhausen/2005/AWP/Reinhausen/Reinhausen%202004/2004/AWP%202004/Reinhausen/2004/Trade%20debtors.xls?A6D04AB5" TargetMode="External"/><Relationship Id="rId1" Type="http://schemas.openxmlformats.org/officeDocument/2006/relationships/externalLinkPath" Target="file:///\\A6D04AB5\Trade%20debtors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s-srv2/data/Client/CM%20Group/49/Year%20End%2006/PM/Client/Detail4908/Detail%20Jul'06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s-srv2/data/Client/CM%20Group/49/Year%20End%2006/PM/Client/Detail4908/Detail%20Jul'06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Ranchcorp/Ranchcorp%20audit%20schedule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Ranchcorp/Ranchcorp%20audit%20schedule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:/CLIENTS/Audit%20files/Cheng%20Siew%20Ming/2001/Anakku/Weltex%20Knitwear%20Ind.%20Sdn.%20Bhd/09-AWPs/DATA/AUDIT%20RESOURCES/Brown%20Covers/MASB%20Format%20-%20Brown%20Covers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:/CLIENTS/Audit%20files/Cheng%20Siew%20Ming/2001/Anakku/Weltex%20Knitwear%20Ind.%20Sdn.%20Bhd/09-AWPs/DATA/AUDIT%20RESOURCES/Brown%20Covers/MASB%20Format%20-%20Brown%20Covers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Officedata/jobonhand/Assurance/Workings&amp;Account/TBS%20Asia%20Consultants'07/IndexFurniture%2006/WeltaxcompPY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Officedata/jobonhand/Assurance/Workings&amp;Account/TBS%20Asia%20Consultants'07/IndexFurniture%2006/WeltaxcompPY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IndexFurniture%2006/WeltaxcompPY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IndexFurniture%2006/WeltaxcompPY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WeltaxcompPY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WeltaxcompPY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ULIE/Assurance/MillionGold_05/WeltaxcompPY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ULIE/Assurance/MillionGold_05/WeltaxcompPY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Company/Assurance/LifetimeDiscovery'05/WeltaxcompPY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Company/Assurance/LifetimeDiscovery'05/WeltaxcompPY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KongJooHuat'05/WeltaxcompPY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KongJooHuat'05/WeltaxcompPY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AlamCerdik_05/WeltaxcompPY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AlamCerdik_05/WeltaxcompPY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Sengair_06/WeltaxcompPY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Sengair_06/WeltaxcompPY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OMPAQ7500/Assurance/Sengair_06/WeltaxcompPY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OMPAQ7500/Assurance/Sengair_06/WeltaxcompPY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Assurance/SinoMalay%2004/WeltaxcompPY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Assurance/SinoMalay%2004/WeltaxcompPY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IL-YXRA5HG0HP5/Company/Taxamatic/AAA/KH%20Line_'99%20-%20'04/WeltaxcompPY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IL-YXRA5HG0HP5/Company/Taxamatic/AAA/KH%20Line_'99%20-%20'04/WeltaxcompPY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My%20Jobs/SoonYeResin'05/WeltaxcompPY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My%20Jobs/SoonYeResin'05/WeltaxcompPY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JobOnHand/Assurance/EEM%20TECH_06/WeltaxcompPY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JobOnHand/Assurance/EEM%20TECH_06/WeltaxcompPY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My%20Jobs/Royaparcel_06/WeltaxcompPY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My%20Jobs/Royaparcel_06/WeltaxcompPY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003/Assurance/SoonYeMarketing'05/WeltaxcompPY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003/Assurance/SoonYeMarketing'05/WeltaxcompPY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IBM413/aws/Documents%20and%20Settings/tiong.kiat.tan/Desktop/Alice%20Smith%20School/Audsche.2001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IBM413/aws/Documents%20and%20Settings/tiong.kiat.tan/Desktop/Alice%20Smith%20School/Audsche.2001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hstan%202000/Faber/Hotel/Merlin%20Management%20Corporation/ye300600/09%20-%20AWPs/LL%20files/bloom/1997/bloomconsol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hstan%202000/Faber/Hotel/Merlin%20Management%20Corporation/ye300600/09%20-%20AWPs/LL%20files/bloom/1997/bloomconsol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IRC%20March%2003%20Sch/Prepayment,%20accruals-others,%20doubtful%20debts,%20deposit/MTCO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IRC%20March%2003%20Sch/Prepayment,%20accruals-others,%20doubtful%20debts,%20deposit/MTCO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BKHeng/Desktop/ThengRealty/ThengRealty1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BKHeng/Desktop/ThengRealty/ThengRealty1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**&#3619;&#3656;&#3623;&#3617;&#3607;&#3640;&#3609;**/JV%20/M:/&#9679;&#37504;&#34892;&#20445;&#35388;/&#26178;&#31995;&#21015;&#26376;&#22577;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akt007/drive%20d/My%20Document/Audit%202000/Kota%20Bahru%20Jobs/Kesedar%20Group/Tax%20computation%20Kesedar%20Group/KDSB2000pyb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akt007/drive%20d/My%20Document/Audit%202000/Kota%20Bahru%20Jobs/Kesedar%20Group/Tax%20computation%20Kesedar%20Group/KDSB2000pyb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indy/jobonhand/My%20Jobs/White%20Deal%20'07/DATA/Bee%20Sing/KIL334/YE00/Ideal%20Reno/awpIR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indy/jobonhand/My%20Jobs/White%20Deal%20'07/DATA/Bee%20Sing/KIL334/YE00/Ideal%20Reno/awpIR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ChinLY/WorkStation/SELF/LOOSE2001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ChinLY/WorkStation/SELF/LOOSE2001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Documents%20and%20Settings/Administrator.TPT23/My%20Documents/Releases/2004/8.19/Build/test/DOCUME~1/ADMINI~1/MYDOCU~1/LQExample.xls" TargetMode="External"/></Relationships>
</file>

<file path=xl/externalLinks/_rels/externalLink328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Mybookworld/public/Users/user/Desktop/Cassie/Documents%20and%20Settings/Kong.Chek.Pang/Desktop/18.2.04%20Patco%20Awp/LYAWP/Rumpun%20Hijau/StatRec_02/RHC%20Mktg/DATA/Clients/D.R.B/DRP%20Construction/DRP%20Con-RCD-LAD.xls?88D3E782" TargetMode="External"/><Relationship Id="rId1" Type="http://schemas.openxmlformats.org/officeDocument/2006/relationships/externalLinkPath" Target="file:///\\88D3E782\DRP%20Con-RCD-LAD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royc/SK%20&#44544;&#47196;&#48268;/dtod%20&#44204;&#51201;&#49436;/DtoD%20V880&#50808;%20(0430)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Documents%20and%20Settings/R.K.%20&amp;%20ASSOCIATES/Desktop/sample%20audit/RK%20format/audit/Documents%20and%20Settings/DTeoCK/Desktop/CGUFinal/CGU(H)_Investment.xls" TargetMode="External"/></Relationships>
</file>

<file path=xl/externalLinks/_rels/externalLink331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Documents%20and%20Settings/R.K.%20&amp;%20ASSOCIATES/Desktop/sample%20audit/RK%20format/audit/Documents%20and%20Settings/DTeoCK/Desktop/CGUFinal/CGU(H)_Investment.xls?33D13445" TargetMode="External"/><Relationship Id="rId1" Type="http://schemas.openxmlformats.org/officeDocument/2006/relationships/externalLinkPath" Target="file:///\\33D13445\CGU(H)_Investment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Lieh/backup/BackUp_210408/JobOnHand/Assurance/Workings&amp;Account/SoonYeResin'06/Jhb2_gen_mal_3/AabsData/DATA/StandardDoc/Nst334_Awp1_without%20adj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Lieh/backup/BackUp_210408/JobOnHand/Assurance/Workings&amp;Account/SoonYeResin'06/Jhb2_gen_mal_3/AabsData/DATA/StandardDoc/Nst334_Awp1_without%20adj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hanesh/Faber/Faber%20Properties/debtors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hanesh/Faber/Faber%20Properties/debtors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094/aws/SJMAh/working%20paper/NihonDenkei02/NihonD-MainWP%20-mich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094/aws/SJMAh/working%20paper/NihonDenkei02/NihonD-MainWP%20-mich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Users/piangruk/AppData/Roaming/Microsoft/Excel/&#3591;&#3634;&#3609;%20ANS/Vintage%20Engineering%20PCL/2012/FS/X%20DocuPrint%20240A-AP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:/Users/piangruk/AppData/Roaming/Microsoft/Excel/&#3591;&#3634;&#3609;%20ANS/Vintage%20Engineering%20PCL/2012/FS/X%20DocuPrint%20240A-AP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BAfile/Aud1/GLP334/Ye01/09-AWPs/StandardDoc/Nst334_Awp1_without%20adj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BAfile/Aud1/GLP334/Ye01/09-AWPs/StandardDoc/Nst334_Awp1_without%20adj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~1/RKBFAC~1.&amp;AS/LOCALS~1/Temp/Temporary%20Directory%201%20for%20fwfalisting.zip/Preston/Preston/P-Corp%20awp%202002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~1/RKBFAC~1.&amp;AS/LOCALS~1/Temp/Temporary%20Directory%201%20for%20fwfalisting.zip/Preston/Preston/P-Corp%20awp%202002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Impiana%20Cherating%2000/DEC96/DEC95/B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Impiana%20Cherating%2000/DEC96/DEC95/B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WINDOWS/TEMP/DATA/PC-PBPM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WINDOWS/TEMP/DATA/PC-PBPM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Gerbang%20Perdana/2003/Client's%20schedules/Carre4-JB/AWP/Final/U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Gerbang%20Perdana/2003/Client's%20schedules/Carre4-JB/AWP/Final/U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Li.Yoong.Seow/My%20Documents/WINDOWS/TEMP/lead-Abacus1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Li.Yoong.Seow/My%20Documents/WINDOWS/TEMP/lead-Abacus1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Documents%20and%20Settings/R.K.%20&amp;%20ASSOCIATES/Desktop/sample%20audit/RK%20format/audit/Documents%20and%20Settings/DTeoCK/Desktop/CGUFinal/CGU(Client%20Sch)/BNMWS2001.xls" TargetMode="External"/></Relationships>
</file>

<file path=xl/externalLinks/_rels/externalLink353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Documents%20and%20Settings/R.K.%20&amp;%20ASSOCIATES/Desktop/sample%20audit/RK%20format/audit/Documents%20and%20Settings/DTeoCK/Desktop/CGUFinal/CGU(Client%20Sch)/BNMWS2001.xls?E3A8AD06" TargetMode="External"/><Relationship Id="rId1" Type="http://schemas.openxmlformats.org/officeDocument/2006/relationships/externalLinkPath" Target="file:///\\E3A8AD06\BNMWS2001.xls" TargetMode="External"/></Relationships>
</file>

<file path=xl/externalLinks/_rels/externalLink354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H:/Documents%20and%20Settings/admin/Local%20Settings/Temporary%20Internet%20Files/Content.IE5/674ZPQJ2/Auto%20Program/2005/profile/Financial%20statement/FS%202005/Report%202005/OpLeaseRegister%20Wilson%2020041027%20v_1.0.xls?3D3793CC" TargetMode="External"/><Relationship Id="rId1" Type="http://schemas.openxmlformats.org/officeDocument/2006/relationships/externalLinkPath" Target="file:///\\3D3793CC\OpLeaseRegister%20Wilson%2020041027%20v_1.0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Audit%202000/Metronic/MESB/99/A/A/Nespro/SIR2/1200-70.WK3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Audit%202000/Metronic/MESB/99/A/A/Nespro/SIR2/1200-70.WK3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Li.Yoong.Seow/My%20Documents/SLY's%20Folder/Audit%20files/filing%20protocol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Li.Yoong.Seow/My%20Documents/SLY's%20Folder/Audit%20files/filing%20protocol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**&#3619;&#3656;&#3623;&#3617;&#3607;&#3640;&#3609;**/NETPIE%20/B:/Documents%20and%20Settings/charrison.AMERICAS/Local%20Settings/Temporary%20Internet%20Files/OLK8C/Tornado%202.2%20and%204.7%20Consumer%20(Sp%20R03)2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Jick.Ooi.Lim/Desktop/Forum%20Digital/2001/windows/TEMP/REPORTS/Budget2000/REPORTS/Budget2000/StaffDbaseCatchaSdnBhd-June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055/aws/Documents%20and%20Settings/Joanne.Yu/My%20Documents/My%20Documents/Rotary%20PSL/Rotary-PSLGeotechnics-01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055/aws/Documents%20and%20Settings/Joanne.Yu/My%20Documents/My%20Documents/Rotary%20PSL/Rotary-PSLGeotechnics-01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CT/WCTP&amp;L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CT/WCTP&amp;L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:/DATA/CLIENT/Carta%20Bintang%20SJ%20Sec/SJ%20Sec/PM%20work-99%20final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:/DATA/CLIENT/Carta%20Bintang%20SJ%20Sec/SJ%20Sec/PM%20work-99%20final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Mybookworld%20public%20Billing%20RK%20Billing%20Proforma%20billing%20-%20new%20format.doc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Quotation_2004-201-300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Lee%20Yoon%20Sing/promet2003/PRESAB/Audit%20files/big%20tree/2001/Big%20Tree%20Outdoor/AWP/BIG%20TREE%20OUTDOOR/2001/Big%20Tree%20Outdoor/AWP/bto.xls" TargetMode="External"/></Relationships>
</file>

<file path=xl/externalLinks/_rels/externalLink370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Lee%20Yoon%20Sing/promet2003/PRESAB/Audit%20files/big%20tree/2001/Big%20Tree%20Outdoor/AWP/BIG%20TREE%20OUTDOOR/2001/Big%20Tree%20Outdoor/AWP/bto.xls?F95CA09A" TargetMode="External"/><Relationship Id="rId1" Type="http://schemas.openxmlformats.org/officeDocument/2006/relationships/externalLinkPath" Target="file:///\\F95CA09A\bto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Jick.Ooi.Lim/Desktop/Forum%20Digital/2001/windows/TEMP/REPORTS/Budget2000/REPORTS/Budget2000/SusanAnswers.xls" TargetMode="External"/></Relationships>
</file>

<file path=xl/externalLinks/_rels/externalLink372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Jick.Ooi.Lim/Desktop/Forum%20Digital/2001/windows/TEMP/REPORTS/Budget2000/REPORTS/Budget2000/SusanAnswers.xls?912C5374" TargetMode="External"/><Relationship Id="rId1" Type="http://schemas.openxmlformats.org/officeDocument/2006/relationships/externalLinkPath" Target="file:///\\912C5374\SusanAnswers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Kenix%20Wan/A%20to%20G%20Client/Golden%20Donuts/Audit%20fye%2031Jan%2003/Golden%20Donut%20draft%20tax%20compt%20YA%202003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Kenix%20Wan/A%20to%20G%20Client/Golden%20Donuts/Audit%20fye%2031Jan%2003/Golden%20Donut%20draft%20tax%20compt%20YA%202003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:/Documents%20and%20Settings/AAkmar/My%20Documents/P&amp;L-Spreadsheet-PTJ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:/Documents%20and%20Settings/AAkmar/My%20Documents/P&amp;L-Spreadsheet-PTJ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Lee%20Yoon%20Sing/promet2003/PRESAB/DATA/CLIENT/Dallah/Al-Baraka%20Samaha/Samaha-AllAWPs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Lee%20Yoon%20Sing/promet2003/PRESAB/DATA/CLIENT/Dallah/Al-Baraka%20Samaha/Samaha-AllAWPs.xls" TargetMode="External"/></Relationships>
</file>

<file path=xl/externalLinks/_rels/externalLink379.xml.rels><?xml version="1.0" encoding="UTF-8" standalone="yes"?>
<Relationships xmlns="http://schemas.openxmlformats.org/package/2006/relationships"><Relationship Id="rId2" Type="http://schemas.microsoft.com/office/2019/04/relationships/externalLinkLongPath" Target="/D:/Users/noogift/Documents/Mybookworld/public/Users/user/Desktop/Cassie/Client/Talam/2002/LT%20Sdn%20Bhd/Financial%20Reporting/DATA/2ndJob_norma/Embedded%20Wireless_2001/AWP/DATA/CLIENT/Carta%20Bintang%20SJ%20Sec/SJ%20Nominees%20(A)/SJ%20NOM%20(A)-%20AWP.xls?0304FA77" TargetMode="External"/><Relationship Id="rId1" Type="http://schemas.openxmlformats.org/officeDocument/2006/relationships/externalLinkPath" Target="file:///\\0304FA77\SJ%20NOM%20(A)-%20AWP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Voon.Yung.Chin/Desktop/Audit%20WP/MySEQ/MySeq%202002/N-others%20creditors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ocuments%20and%20Settings/Voon.Yung.Chin/Desktop/Audit%20WP/MySEQ/MySeq%202002/N-others%20creditors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Li.Yoong.Seow/My%20Documents/DATA/LL%20files/Tai%20Wah/Audit2001/TW%20Manufacturing%20Bhd/WINDOWS/TEMP/ABACUS-SCH1.XLS" TargetMode="External"/></Relationships>
</file>

<file path=xl/externalLinks/_rels/externalLink383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Li.Yoong.Seow/My%20Documents/DATA/LL%20files/Tai%20Wah/Audit2001/TW%20Manufacturing%20Bhd/WINDOWS/TEMP/ABACUS-SCH1.XLS?2CEB98D2" TargetMode="External"/><Relationship Id="rId1" Type="http://schemas.openxmlformats.org/officeDocument/2006/relationships/externalLinkPath" Target="file:///\\2CEB98D2\ABACUS-SCH1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&#3591;&#3634;&#3609;%20ANS/pataya%20group_2011/TTT/Ye'11/Detail%20from%20client/&#3627;&#3609;&#3637;&#3657;&#3626;&#3636;&#3609;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C:/&#3591;&#3634;&#3609;%20ANS/pataya%20group_2011/TTT/Ye'11/Detail%20from%20client/&#3627;&#3609;&#3637;&#3657;&#3626;&#3636;&#3609;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Gerbang%20Perdana/2003/Client's%20schedules/Clients/Audit%20files/Stephen%20Wan/2001/TSI%20Holdings%20Sdn.%20Bhd/API%20ALUMINIUM/HKL/abacus/ABACUS-SCH1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ocuments%20and%20Settings/Li.Yoong.Seow/My%20Documents/DATA/LL%20files/Tai%20Wah/Audit2001/TW%20Manufacturing%20Bhd/WINDOWS/TEMP/lead-Abacus1.xls" TargetMode="External"/></Relationships>
</file>

<file path=xl/externalLinks/_rels/externalLink388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Mybookworld/public/Users/user/Desktop/Cassie/Documents%20and%20Settings/Li.Yoong.Seow/My%20Documents/DATA/LL%20files/Tai%20Wah/Audit2001/TW%20Manufacturing%20Bhd/WINDOWS/TEMP/lead-Abacus1.xls?2CEB98D2" TargetMode="External"/><Relationship Id="rId1" Type="http://schemas.openxmlformats.org/officeDocument/2006/relationships/externalLinkPath" Target="file:///\\2CEB98D2\lead-Abacus1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nespro/gad_work/Sept%2099/CARAT-NESMAL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nespro/gad_work/Sept%2099/CARAT-NESMAL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DATA/Excel/Samarezhldgsbhd-superseded%20tabs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DATA/Excel/Samarezhldgsbhd-superseded%20tabs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MB%20Tech%20grp/MB%20Tech/2002/MBT-Audit%20schedule%202002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MB%20Tech%20grp/MB%20Tech/2002/MBT-Audit%20schedule%202002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GYL/MB%20Tech%20grp/Perunding%20Utama/2002/(C)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GYL/MB%20Tech%20grp/Perunding%20Utama/2002/(C)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Mybookworld/public/Users/user/Desktop/Cassie/WINNT/TEMP/PTK%20GROUP/PTK01/CityAxis%20Interior/Book1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Mybookworld/public/Users/user/Desktop/Cassie/WINNT/TEMP/PTK%20GROUP/PTK01/CityAxis%20Interior/Book1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intvdi-fs01/redirect/Documents%20and%20Settings/jakapan/My%20Documents/IBM%20Info/Tool%20&amp;%20configurator/APcfg8191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KLAUDNCOM108/aws/My%20Documents/audit31.12.01/audit1999/AuditedFStmts1999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KLAUDNCOM108/aws/My%20Documents/audit31.12.01/audit1999/AuditedFStmts1999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JB2/Company/Assurance/AAA/YEAR%202004/SoonYeResin'04/T2000CY/Tax1/Chx056/COMP2000/Formc2000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JB2/Company/Assurance/AAA/YEAR%202004/SoonYeResin'04/T2000CY/Tax1/Chx056/COMP2000/Formc2000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anssrv/Client/My%20Documents/Bluetooth%20Exchange%20Folder/TCAS/KMF/Detail/stock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anssrv/Client/My%20Documents/Bluetooth%20Exchange%20Folder/TCAS/KMF/Detail/stock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/J:/Users/noogift/Desktop/D:/Users/noogift/Documents/**&#3619;&#3656;&#3623;&#3617;&#3607;&#3640;&#3609;**/NETPIE%20/A:/WINDOWS/DESKTOP/ISAREE/&#3605;&#3621;&#3634;&#3604;&#3619;&#3629;&#3591;&#3626;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Users/piangruk/AppData/Roaming/Microsoft/Excel/AAA_&#3591;&#3634;&#3609;_ANS/Thai%20Storage%20Battery%20Group/TSB/2009/TSB_Q2'09/FS/WINDOWS/Temporary%20Internet%20Files/OLKA331/&#21517;&#33258;&#36554;&#31278;/NRZ/&#25237;&#36039;/&#20491;&#21830;&#20225;/&#25237;&#36039;.XLS" TargetMode="External"/></Relationships>
</file>

<file path=xl/externalLinks/_rels/externalLink408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C:/Users/piangruk/AppData/Roaming/Microsoft/Excel/AAA_&#3591;&#3634;&#3609;_ANS/Thai%20Storage%20Battery%20Group/TSB/2009/TSB_Q2'09/FS/WINDOWS/Temporary%20Internet%20Files/OLKA331/&#21517;&#33258;&#36554;&#31278;/NRZ/&#25237;&#36039;/&#20491;&#21830;&#20225;/&#25237;&#36039;.XLS?94949642" TargetMode="External"/><Relationship Id="rId1" Type="http://schemas.openxmlformats.org/officeDocument/2006/relationships/externalLinkPath" Target="file:///\\94949642\&#25237;&#36039;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PA4S1000/PA4S01/&#21517;&#33258;&#36554;&#31278;/&#65431;&#65437;&#65414;&#65437;&#65400;&#65438;/&#65331;&#65332;/01MY/&#30446;&#35542;&#35211;/&#35500;&#26126;&#36039;&#26009;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/G:/Users/noogift/Documents/D:/Users/noogift/Documents/PA4S1000/PA4S01/&#21517;&#33258;&#36554;&#31278;/&#65431;&#65437;&#65414;&#65437;&#65400;&#65438;/&#65331;&#65332;/01MY/&#30446;&#35542;&#35211;/&#35500;&#26126;&#36039;&#26009;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Users/noogift/Documents/C:/Users/piangruk/AppData/Roaming/Microsoft/Excel/AAA_&#3591;&#3634;&#3609;_ANS/Thai%20Storage%20Battery%20Group/TSB/2009/TSB_Q2'09/FS/WINDOWS/Temporary%20Internet%20Files/OLKA331/&#28023;&#22806;&#36554;&#31278;/05&#65408;&#65394;MSC&#38306;&#20418;/P&#27425;/&#37329;&#24037;&#33021;&#21147;/&#35211;&#31309;1.xls" TargetMode="External"/></Relationships>
</file>

<file path=xl/externalLinks/_rels/externalLink412.xml.rels><?xml version="1.0" encoding="UTF-8" standalone="yes"?>
<Relationships xmlns="http://schemas.openxmlformats.org/package/2006/relationships"><Relationship Id="rId2" Type="http://schemas.microsoft.com/office/2019/04/relationships/externalLinkLongPath" Target="/G:/Users/noogift/Documents/D:/Users/noogift/Documents/C:/Users/piangruk/AppData/Roaming/Microsoft/Excel/AAA_&#3591;&#3634;&#3609;_ANS/Thai%20Storage%20Battery%20Group/TSB/2009/TSB_Q2'09/FS/WINDOWS/Temporary%20Internet%20Files/OLKA331/&#28023;&#22806;&#36554;&#31278;/05&#65408;&#65394;MSC&#38306;&#20418;/P&#27425;/&#37329;&#24037;&#33021;&#21147;/&#35211;&#31309;1.xls?1F9672DD" TargetMode="External"/><Relationship Id="rId1" Type="http://schemas.openxmlformats.org/officeDocument/2006/relationships/externalLinkPath" Target="file:///\\1F9672DD\&#35211;&#31309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3"/>
      <sheetName val="FF_3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3"/>
      <sheetName val="FF_3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-10"/>
      <sheetName val="20"/>
      <sheetName val="30"/>
      <sheetName val="70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L"/>
      <sheetName val="M MM"/>
      <sheetName val="10"/>
      <sheetName val="30a"/>
      <sheetName val="30-Note"/>
      <sheetName val="U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-10"/>
      <sheetName val="20"/>
      <sheetName val="30"/>
      <sheetName val="70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L"/>
      <sheetName val="M MM"/>
      <sheetName val="10"/>
      <sheetName val="30a"/>
      <sheetName val="30-Note"/>
      <sheetName val="U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SECHKLIS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SECHKLIS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_100-PP30_VTE_Q2,10"/>
    </sheetNames>
    <definedNames>
      <definedName name="aafaf"/>
      <definedName name="AEGFQEWG"/>
      <definedName name="afafa"/>
      <definedName name="afafgg"/>
      <definedName name="afaq"/>
      <definedName name="afavaqv"/>
      <definedName name="afawfawf"/>
      <definedName name="afqegfqew"/>
      <definedName name="afqfqe"/>
      <definedName name="agege"/>
      <definedName name="agfqeg"/>
      <definedName name="asaewg"/>
      <definedName name="asdgtwegeg"/>
      <definedName name="asfagfeq"/>
      <definedName name="asff"/>
      <definedName name="asfwf"/>
      <definedName name="ASGEAGEQW"/>
      <definedName name="avav"/>
      <definedName name="avgavgbvg"/>
      <definedName name="awff"/>
      <definedName name="awtaqg"/>
      <definedName name="cccccccccc"/>
      <definedName name="cccccccccccccccccc"/>
      <definedName name="cccccccccccccccccccccc"/>
      <definedName name="dddd"/>
      <definedName name="DGASG"/>
      <definedName name="dsgrrerehhr"/>
      <definedName name="dtdyu"/>
      <definedName name="eee"/>
      <definedName name="efewgeg"/>
      <definedName name="efwegwge"/>
      <definedName name="egg2g31"/>
      <definedName name="egqeg"/>
      <definedName name="egtweg"/>
      <definedName name="egwg"/>
      <definedName name="egwgwrh"/>
      <definedName name="eqaavs"/>
      <definedName name="eqfqew"/>
      <definedName name="eryerur"/>
      <definedName name="ewgwege"/>
      <definedName name="ewtfwegw4g"/>
      <definedName name="ewtwg"/>
      <definedName name="EXPORT1"/>
      <definedName name="EXPORT2"/>
      <definedName name="faveawv"/>
      <definedName name="FFfs"/>
      <definedName name="fsavav"/>
      <definedName name="FWQFWQF"/>
      <definedName name="gfqgeqg"/>
      <definedName name="gguu"/>
      <definedName name="GoAssetChart"/>
      <definedName name="GoBack"/>
      <definedName name="GoBalanceSheet"/>
      <definedName name="GoCashFlow"/>
      <definedName name="GoData"/>
      <definedName name="GoIncomeChart"/>
      <definedName name="grewghrwh"/>
      <definedName name="gtwrrw"/>
      <definedName name="l"/>
      <definedName name="Printacbal"/>
      <definedName name="q3t3242t32"/>
      <definedName name="qffff"/>
      <definedName name="qgegqe"/>
      <definedName name="qq"/>
      <definedName name="qrfqwfwq"/>
      <definedName name="qtgwge"/>
      <definedName name="qwe"/>
      <definedName name="qwfwqf"/>
      <definedName name="qwtqt"/>
      <definedName name="safeffe"/>
      <definedName name="sdfasgfa"/>
      <definedName name="sdgesggewq"/>
      <definedName name="sfawfwqf"/>
      <definedName name="sg"/>
      <definedName name="sgegqeg"/>
      <definedName name="sgwesgweh"/>
      <definedName name="sgwsegwr"/>
      <definedName name="shwshrwhrewh"/>
      <definedName name="svavvvbw"/>
      <definedName name="t2gg43g"/>
      <definedName name="twgg4"/>
      <definedName name="ugop"/>
      <definedName name="vaava"/>
      <definedName name="Visible"/>
      <definedName name="wafqwqftwf"/>
      <definedName name="wegewgegwe"/>
      <definedName name="wet23gt23g32"/>
      <definedName name="wetweywy\"/>
      <definedName name="wetwgwtyw"/>
      <definedName name="weweg"/>
      <definedName name="what"/>
      <definedName name="whatever"/>
      <definedName name="wqfqfqfw"/>
      <definedName name="wqfwf"/>
      <definedName name="wqfwqfwqf"/>
      <definedName name="wqr"/>
      <definedName name="wrqwr"/>
      <definedName name="wtwyw24"/>
      <definedName name="_xlbgnm.weg33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_100-PP30_VTE_Q2,10"/>
    </sheetNames>
    <definedNames>
      <definedName name="aafaf"/>
      <definedName name="AEGFQEWG"/>
      <definedName name="afafa"/>
      <definedName name="afafgg"/>
      <definedName name="afaq"/>
      <definedName name="afavaqv"/>
      <definedName name="afawfawf"/>
      <definedName name="afqegfqew"/>
      <definedName name="afqfqe"/>
      <definedName name="agege"/>
      <definedName name="agfqeg"/>
      <definedName name="asaewg"/>
      <definedName name="asdgtwegeg"/>
      <definedName name="asfagfeq"/>
      <definedName name="asff"/>
      <definedName name="asfwf"/>
      <definedName name="ASGEAGEQW"/>
      <definedName name="avav"/>
      <definedName name="avgavgbvg"/>
      <definedName name="awff"/>
      <definedName name="awtaqg"/>
      <definedName name="cccccccccc"/>
      <definedName name="cccccccccccccccccc"/>
      <definedName name="cccccccccccccccccccccc"/>
      <definedName name="dddd"/>
      <definedName name="DGASG"/>
      <definedName name="dsgrrerehhr"/>
      <definedName name="dtdyu"/>
      <definedName name="eee"/>
      <definedName name="efewgeg"/>
      <definedName name="efwegwge"/>
      <definedName name="egg2g31"/>
      <definedName name="egqeg"/>
      <definedName name="egtweg"/>
      <definedName name="egwg"/>
      <definedName name="egwgwrh"/>
      <definedName name="eqaavs"/>
      <definedName name="eqfqew"/>
      <definedName name="eryerur"/>
      <definedName name="ewgwege"/>
      <definedName name="ewtfwegw4g"/>
      <definedName name="ewtwg"/>
      <definedName name="EXPORT1"/>
      <definedName name="EXPORT2"/>
      <definedName name="faveawv"/>
      <definedName name="FFfs"/>
      <definedName name="fsavav"/>
      <definedName name="FWQFWQF"/>
      <definedName name="gfqgeqg"/>
      <definedName name="gguu"/>
      <definedName name="GoAssetChart"/>
      <definedName name="GoBack"/>
      <definedName name="GoBalanceSheet"/>
      <definedName name="GoCashFlow"/>
      <definedName name="GoData"/>
      <definedName name="GoIncomeChart"/>
      <definedName name="grewghrwh"/>
      <definedName name="gtwrrw"/>
      <definedName name="l"/>
      <definedName name="Printacbal"/>
      <definedName name="q3t3242t32"/>
      <definedName name="qffff"/>
      <definedName name="qgegqe"/>
      <definedName name="qq"/>
      <definedName name="qrfqwfwq"/>
      <definedName name="qtgwge"/>
      <definedName name="qwe"/>
      <definedName name="qwfwqf"/>
      <definedName name="qwtqt"/>
      <definedName name="safeffe"/>
      <definedName name="sdfasgfa"/>
      <definedName name="sdgesggewq"/>
      <definedName name="sfawfwqf"/>
      <definedName name="sg"/>
      <definedName name="sgegqeg"/>
      <definedName name="sgwesgweh"/>
      <definedName name="sgwsegwr"/>
      <definedName name="shwshrwhrewh"/>
      <definedName name="svavvvbw"/>
      <definedName name="t2gg43g"/>
      <definedName name="twgg4"/>
      <definedName name="ugop"/>
      <definedName name="vaava"/>
      <definedName name="Visible"/>
      <definedName name="wafqwqftwf"/>
      <definedName name="wegewgegwe"/>
      <definedName name="wet23gt23g32"/>
      <definedName name="wetweywy\"/>
      <definedName name="wetwgwtyw"/>
      <definedName name="weweg"/>
      <definedName name="what"/>
      <definedName name="whatever"/>
      <definedName name="wqfqfqfw"/>
      <definedName name="wqfwf"/>
      <definedName name="wqfwqfwqf"/>
      <definedName name="wqr"/>
      <definedName name="wrqwr"/>
      <definedName name="wtwyw24"/>
      <definedName name="_xlbgnm.weg33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_100-PP30_VTE_Q2,10"/>
    </sheetNames>
    <definedNames>
      <definedName name="_xlbgnm.weg33"/>
    </defined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_100-PP30_VTE_Q2,10"/>
    </sheetNames>
    <definedNames>
      <definedName name="_xlbgnm.weg33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_100-PP30_VTE_Q2,10"/>
    </sheetNames>
    <definedNames>
      <definedName name="_xlbgnm.weg33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_100-PP30_VTE_Q2,10"/>
    </sheetNames>
    <definedNames>
      <definedName name="_xlbgnm.weg33"/>
    </defined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3"/>
      <sheetName val="FF_3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3"/>
      <sheetName val="FF_3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Box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Box"/>
      <sheetName val="MOLP C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 1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 1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-Detail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-Detail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Box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D95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D95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922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922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FF_2 _1_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FF_2 _1_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FF-2 (1)"/>
      <sheetName val="FSA"/>
      <sheetName val="FF_2 _1_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FF-2 (1)"/>
      <sheetName val="FSA"/>
      <sheetName val="FF_2 _1_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FF_2 _1_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FF_2 _1_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--&gt; Top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--&gt; Top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-ss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-ss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00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00"/>
    </sheetNames>
    <sheetDataSet>
      <sheetData sheetId="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00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00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.2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.2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nado 4.7 Component List"/>
      <sheetName val="Tornado 2.2 Component List"/>
    </sheetNames>
    <sheetDataSet>
      <sheetData sheetId="0" refreshError="1"/>
      <sheetData sheetId="1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nado 5.6 Component List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</sheetNames>
    <sheetDataSet>
      <sheetData sheetId="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 196 (SYS) (2)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 196 (SYS) (2)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x B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x B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 P&amp;L"/>
      <sheetName val="PLmth 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 P&amp;L"/>
      <sheetName val="PLmth "/>
    </sheetNames>
    <sheetDataSet>
      <sheetData sheetId="0" refreshError="1"/>
      <sheetData sheetId="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5"/>
    </sheetNames>
    <sheetDataSet>
      <sheetData sheetId="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5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6"/>
    </sheetNames>
    <sheetDataSet>
      <sheetData sheetId="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6"/>
    </sheetNames>
    <sheetDataSet>
      <sheetData sheetId="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heet"/>
      <sheetName val="Notes"/>
      <sheetName val="P&amp;L"/>
      <sheetName val="TB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heet"/>
      <sheetName val="Notes"/>
      <sheetName val="P&amp;L"/>
      <sheetName val="TB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.91-93"/>
      <sheetName val="Dec 94"/>
      <sheetName val="B_Sheet"/>
      <sheetName val="Notes"/>
      <sheetName val="P&amp;L"/>
      <sheetName val="TBal"/>
      <sheetName val="Cum_91_93"/>
      <sheetName val="CA Sheet"/>
      <sheetName val="BS"/>
      <sheetName val="Main orig"/>
      <sheetName val="MDN"/>
      <sheetName val="NGA"/>
      <sheetName val="sap"/>
      <sheetName val="Disposal"/>
      <sheetName val="HP"/>
      <sheetName val="c"/>
      <sheetName val="Profitability"/>
      <sheetName val="Input"/>
      <sheetName val="FF-3"/>
      <sheetName val="Company Info"/>
      <sheetName val="CA Comp"/>
      <sheetName val="CRA-Detail"/>
      <sheetName val="Sheet1"/>
      <sheetName val="cashflowcomp"/>
      <sheetName val="U"/>
      <sheetName val="U1|2"/>
      <sheetName val="PL"/>
      <sheetName val="tax-ss"/>
      <sheetName val="FF-6"/>
      <sheetName val="F-1 F-2"/>
      <sheetName val="C1-Cash"/>
      <sheetName val="FA_Rec"/>
      <sheetName val="CA"/>
      <sheetName val="SCH B"/>
      <sheetName val="F-3"/>
      <sheetName val="&lt;Q&gt; Lead"/>
      <sheetName val="N"/>
      <sheetName val="U-13-2(disc)"/>
      <sheetName val="FF-21(a)"/>
      <sheetName val="A-1"/>
      <sheetName val="Assumptions"/>
      <sheetName val="Cashflow"/>
      <sheetName val="Mscb97"/>
      <sheetName val="PROOF"/>
      <sheetName val="F-5"/>
      <sheetName val="B-3"/>
      <sheetName val="Banks Details"/>
      <sheetName val="ACEB"/>
      <sheetName val="1997"/>
      <sheetName val="U4-Recruitment"/>
      <sheetName val="P_L"/>
      <sheetName val="details"/>
      <sheetName val="0110"/>
      <sheetName val="Cum_91-93"/>
      <sheetName val="Dec_94"/>
      <sheetName val="Main_orig"/>
      <sheetName val="&lt;Q&gt;_Lead"/>
      <sheetName val="Company_Info"/>
      <sheetName val="CA_Comp"/>
      <sheetName val="CA_Sheet"/>
      <sheetName val="F-1_F-2"/>
      <sheetName val="SCH_B"/>
      <sheetName val="Banks_Details"/>
      <sheetName val="dr"/>
      <sheetName val="depn-Sep 03"/>
      <sheetName val="ｆシフト"/>
      <sheetName val="ＭＡＸＣＩ"/>
      <sheetName val="A"/>
      <sheetName val="不良TOTAL"/>
      <sheetName val="起動不良推移"/>
      <sheetName val="#REF"/>
      <sheetName val="発振器工程不良"/>
      <sheetName val="異物付着確認"/>
      <sheetName val="不良目標"/>
      <sheetName val="TPM-0013"/>
      <sheetName val="P12.4"/>
      <sheetName val="FF-1"/>
      <sheetName val="FA-LISTING"/>
      <sheetName val="CF"/>
      <sheetName val="Workings"/>
      <sheetName val="DetailPL1"/>
      <sheetName val="Settings"/>
      <sheetName val="Director"/>
      <sheetName val="0100"/>
      <sheetName val="BP-BREAK"/>
      <sheetName val="5 Analysis"/>
      <sheetName val="FSA"/>
      <sheetName val="M_Maincomp"/>
      <sheetName val="Cost centre expenditure"/>
      <sheetName val="PT-CM-94"/>
      <sheetName val="Customize Your Loan Manager"/>
      <sheetName val="Loan Amortization Table"/>
      <sheetName val="coeff"/>
      <sheetName val="BlSheet"/>
      <sheetName val="PLOSS"/>
      <sheetName val="accumdeprn"/>
      <sheetName val="U1"/>
      <sheetName val="taux"/>
      <sheetName val="FS"/>
      <sheetName val="FSL"/>
      <sheetName val="D-PL"/>
      <sheetName val="Anx1"/>
      <sheetName val="Cum_91-931"/>
      <sheetName val="Dec_941"/>
      <sheetName val="CA_Sheet1"/>
      <sheetName val="F-1_F-21"/>
      <sheetName val="Company_Info1"/>
      <sheetName val="Main_orig1"/>
      <sheetName val="Banks_Details1"/>
      <sheetName val="&lt;Q&gt;_Lead1"/>
      <sheetName val="CA_Comp1"/>
      <sheetName val="SCH_B1"/>
      <sheetName val="depn-Sep_03"/>
      <sheetName val="5_Analysis"/>
      <sheetName val="P12_4"/>
      <sheetName val="AFA"/>
      <sheetName val="1 LeadSchedule"/>
      <sheetName val="TMS2000"/>
      <sheetName val="detailed"/>
      <sheetName val="Matched"/>
      <sheetName val="Unmatched"/>
      <sheetName val="Addition"/>
      <sheetName val="SCH 4 - 7"/>
      <sheetName val="B"/>
      <sheetName val="IBACOMP.XLS"/>
      <sheetName val="FF-2 (1)"/>
      <sheetName val="Cost_centre_expenditure"/>
      <sheetName val="Customize_Your_Loan_Manager"/>
      <sheetName val="Loan_Amortization_Table"/>
      <sheetName val="C1.2"/>
      <sheetName val="C2"/>
      <sheetName val="Template"/>
      <sheetName val="Paramdata"/>
      <sheetName val="O3"/>
      <sheetName val="acs"/>
      <sheetName val="YR99 RENTAL ACCRUAL"/>
      <sheetName val="120AG"/>
      <sheetName val="Dir"/>
      <sheetName val="Anex1-NA"/>
      <sheetName val="Interim --&gt; Top"/>
      <sheetName val="B200_Puch &amp; Pay flowchart"/>
      <sheetName val="Assumptions 1"/>
      <sheetName val="Assumptions 2"/>
      <sheetName val="Traffic Tables"/>
      <sheetName val="allGL (2)"/>
      <sheetName val="K701"/>
    </sheetNames>
    <sheetDataSet>
      <sheetData sheetId="0">
        <row r="238">
          <cell r="AG238">
            <v>613794.37</v>
          </cell>
          <cell r="AH238">
            <v>0</v>
          </cell>
          <cell r="AI238">
            <v>0</v>
          </cell>
          <cell r="AJ238">
            <v>0</v>
          </cell>
          <cell r="AQ238">
            <v>163500.95000000001</v>
          </cell>
        </row>
        <row r="240">
          <cell r="AE240">
            <v>843113.25000000012</v>
          </cell>
          <cell r="AG240">
            <v>-1.0400000000372529</v>
          </cell>
          <cell r="AH240">
            <v>0</v>
          </cell>
          <cell r="AI240">
            <v>0</v>
          </cell>
          <cell r="AJ240">
            <v>0</v>
          </cell>
          <cell r="AQ240">
            <v>0</v>
          </cell>
        </row>
        <row r="241">
          <cell r="AE241">
            <v>0.91670519736278788</v>
          </cell>
          <cell r="AG241" t="e">
            <v>#DIV/0!</v>
          </cell>
          <cell r="AH241" t="e">
            <v>#DIV/0!</v>
          </cell>
          <cell r="AI241" t="e">
            <v>#DIV/0!</v>
          </cell>
          <cell r="AJ241" t="e">
            <v>#DIV/0!</v>
          </cell>
          <cell r="AQ241" t="e">
            <v>#DIV/0!</v>
          </cell>
        </row>
        <row r="243">
          <cell r="AE243">
            <v>0</v>
          </cell>
          <cell r="AG243">
            <v>67</v>
          </cell>
          <cell r="AH243">
            <v>0</v>
          </cell>
          <cell r="AI243">
            <v>0</v>
          </cell>
          <cell r="AJ243">
            <v>0</v>
          </cell>
          <cell r="AQ243">
            <v>-2200</v>
          </cell>
        </row>
        <row r="245">
          <cell r="AE245" t="str">
            <v>-</v>
          </cell>
          <cell r="AG245" t="str">
            <v>-</v>
          </cell>
          <cell r="AH245" t="str">
            <v>-</v>
          </cell>
          <cell r="AI245" t="str">
            <v>-</v>
          </cell>
          <cell r="AJ245" t="str">
            <v>-</v>
          </cell>
          <cell r="AQ245" t="str">
            <v>-</v>
          </cell>
        </row>
        <row r="246">
          <cell r="AE246">
            <v>843113.25000000012</v>
          </cell>
          <cell r="AG246">
            <v>-68.040000000037253</v>
          </cell>
          <cell r="AH246">
            <v>0</v>
          </cell>
          <cell r="AI246">
            <v>0</v>
          </cell>
          <cell r="AJ246">
            <v>0</v>
          </cell>
          <cell r="AQ246">
            <v>2200</v>
          </cell>
        </row>
        <row r="247">
          <cell r="AE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Q247" t="str">
            <v>-</v>
          </cell>
        </row>
        <row r="249">
          <cell r="AE249">
            <v>843113.25000000012</v>
          </cell>
          <cell r="AG249">
            <v>-68.040000000037253</v>
          </cell>
          <cell r="AH249">
            <v>0</v>
          </cell>
          <cell r="AI249">
            <v>0</v>
          </cell>
          <cell r="AJ249">
            <v>0</v>
          </cell>
          <cell r="AQ249">
            <v>2200</v>
          </cell>
        </row>
        <row r="251">
          <cell r="AE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Q251">
            <v>0</v>
          </cell>
        </row>
        <row r="253">
          <cell r="AE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Q253" t="str">
            <v>-</v>
          </cell>
        </row>
        <row r="254">
          <cell r="AE254">
            <v>843113.25000000012</v>
          </cell>
          <cell r="AG254">
            <v>-68.040000000037253</v>
          </cell>
          <cell r="AH254">
            <v>0</v>
          </cell>
          <cell r="AI254">
            <v>0</v>
          </cell>
          <cell r="AJ254">
            <v>0</v>
          </cell>
          <cell r="AQ254">
            <v>2200</v>
          </cell>
        </row>
        <row r="255">
          <cell r="AE255" t="str">
            <v>-</v>
          </cell>
          <cell r="AG255" t="str">
            <v>-</v>
          </cell>
          <cell r="AH255" t="str">
            <v>-</v>
          </cell>
          <cell r="AI255" t="str">
            <v>-</v>
          </cell>
          <cell r="AJ255" t="str">
            <v>-</v>
          </cell>
          <cell r="AQ255" t="str">
            <v>-</v>
          </cell>
        </row>
      </sheetData>
      <sheetData sheetId="1">
        <row r="1">
          <cell r="A1">
            <v>0</v>
          </cell>
          <cell r="D1" t="str">
            <v>PEMBINAAN TASJA SDN BHD</v>
          </cell>
          <cell r="AT1">
            <v>34990.708834375</v>
          </cell>
        </row>
        <row r="2">
          <cell r="D2" t="str">
            <v>PROFIT &amp; LOSS POSITION AS AT 31ST DECEMBER 1994</v>
          </cell>
          <cell r="AT2">
            <v>34990.708834375</v>
          </cell>
        </row>
        <row r="3">
          <cell r="D3" t="str">
            <v>FN :</v>
          </cell>
          <cell r="E3" t="str">
            <v>PTSB-P&amp;L94</v>
          </cell>
        </row>
        <row r="5">
          <cell r="D5" t="str">
            <v>EXPENSES SCHEDULE</v>
          </cell>
        </row>
        <row r="6">
          <cell r="D6" t="str">
            <v xml:space="preserve"> </v>
          </cell>
          <cell r="E6" t="str">
            <v xml:space="preserve"> </v>
          </cell>
        </row>
        <row r="7">
          <cell r="C7" t="str">
            <v xml:space="preserve"> </v>
          </cell>
          <cell r="D7" t="str">
            <v xml:space="preserve"> </v>
          </cell>
          <cell r="F7" t="str">
            <v>H.Q.</v>
          </cell>
          <cell r="G7" t="str">
            <v>CENEH</v>
          </cell>
          <cell r="H7" t="str">
            <v>DURIAN</v>
          </cell>
          <cell r="I7" t="str">
            <v>FELDA</v>
          </cell>
          <cell r="J7" t="str">
            <v>MUKIM</v>
          </cell>
          <cell r="L7" t="str">
            <v>BT</v>
          </cell>
          <cell r="M7" t="str">
            <v>BT CAVES</v>
          </cell>
          <cell r="N7" t="str">
            <v>SAMPADI</v>
          </cell>
          <cell r="O7" t="str">
            <v>SAMPADI</v>
          </cell>
          <cell r="P7" t="str">
            <v>SAMPADI</v>
          </cell>
          <cell r="Q7" t="str">
            <v>SAMPADI</v>
          </cell>
          <cell r="R7" t="str">
            <v>SAMPADI</v>
          </cell>
          <cell r="S7" t="str">
            <v>SAMPADI</v>
          </cell>
          <cell r="U7" t="str">
            <v>SAMPADI</v>
          </cell>
          <cell r="X7" t="str">
            <v>SAMPADI</v>
          </cell>
          <cell r="Y7" t="str">
            <v>WATER</v>
          </cell>
          <cell r="Z7" t="str">
            <v>SAMPADI</v>
          </cell>
          <cell r="AA7" t="str">
            <v>SAMPADI</v>
          </cell>
          <cell r="AB7" t="str">
            <v>SAMPADI</v>
          </cell>
        </row>
        <row r="8">
          <cell r="F8" t="str">
            <v>OFFICE</v>
          </cell>
          <cell r="G8" t="str">
            <v>BARU</v>
          </cell>
          <cell r="H8" t="str">
            <v>MAS</v>
          </cell>
          <cell r="I8" t="str">
            <v>HQ</v>
          </cell>
          <cell r="J8" t="str">
            <v>PLENTONG</v>
          </cell>
          <cell r="K8" t="str">
            <v>UM</v>
          </cell>
          <cell r="L8" t="str">
            <v>CAVES</v>
          </cell>
          <cell r="M8" t="str">
            <v>FASA 2</v>
          </cell>
          <cell r="N8" t="str">
            <v>1</v>
          </cell>
          <cell r="O8" t="str">
            <v>3</v>
          </cell>
          <cell r="P8" t="str">
            <v>1A</v>
          </cell>
          <cell r="Q8" t="str">
            <v>2A</v>
          </cell>
          <cell r="R8" t="str">
            <v>3A</v>
          </cell>
          <cell r="S8" t="str">
            <v>6</v>
          </cell>
          <cell r="T8" t="str">
            <v>POM</v>
          </cell>
          <cell r="U8" t="str">
            <v>3B</v>
          </cell>
          <cell r="V8" t="str">
            <v>LAYAR</v>
          </cell>
          <cell r="W8" t="str">
            <v>ROBAN</v>
          </cell>
          <cell r="X8" t="str">
            <v>3C</v>
          </cell>
          <cell r="Y8" t="str">
            <v>SUPPLY</v>
          </cell>
          <cell r="Z8" t="str">
            <v>5</v>
          </cell>
          <cell r="AA8" t="str">
            <v>6A</v>
          </cell>
          <cell r="AB8" t="str">
            <v>4</v>
          </cell>
          <cell r="AC8" t="str">
            <v>BINA</v>
          </cell>
          <cell r="AD8" t="str">
            <v>EUROPLUS</v>
          </cell>
          <cell r="AE8" t="str">
            <v>LABUAN</v>
          </cell>
          <cell r="AF8" t="str">
            <v>PETRONAS</v>
          </cell>
          <cell r="AG8" t="str">
            <v>JAKAR</v>
          </cell>
          <cell r="AH8" t="str">
            <v>KESBAN</v>
          </cell>
          <cell r="AI8" t="str">
            <v>DM2</v>
          </cell>
          <cell r="AJ8" t="str">
            <v>P9B</v>
          </cell>
          <cell r="AK8" t="str">
            <v>ITM BOTA</v>
          </cell>
          <cell r="AL8" t="str">
            <v>TEPUS</v>
          </cell>
          <cell r="AM8" t="str">
            <v>JSEDC</v>
          </cell>
          <cell r="AN8" t="str">
            <v>MIEL III</v>
          </cell>
          <cell r="AO8" t="str">
            <v>KINRARA</v>
          </cell>
          <cell r="AP8" t="str">
            <v>UM2</v>
          </cell>
          <cell r="AQ8" t="str">
            <v>BANTING</v>
          </cell>
          <cell r="AR8" t="str">
            <v>POLYTECH</v>
          </cell>
          <cell r="AT8" t="str">
            <v>GRAND</v>
          </cell>
        </row>
        <row r="9">
          <cell r="F9" t="str">
            <v>[1000]</v>
          </cell>
          <cell r="G9" t="str">
            <v>[10]</v>
          </cell>
          <cell r="H9" t="str">
            <v>[20]</v>
          </cell>
          <cell r="I9" t="str">
            <v>[30]</v>
          </cell>
          <cell r="J9" t="str">
            <v>[40]</v>
          </cell>
          <cell r="K9" t="str">
            <v>[50]</v>
          </cell>
          <cell r="L9" t="str">
            <v>[60]</v>
          </cell>
          <cell r="M9" t="str">
            <v>[70]</v>
          </cell>
          <cell r="N9" t="str">
            <v>[300]</v>
          </cell>
          <cell r="O9" t="str">
            <v>[400]</v>
          </cell>
          <cell r="P9" t="str">
            <v>[500]</v>
          </cell>
          <cell r="Q9" t="str">
            <v>[600]</v>
          </cell>
          <cell r="R9" t="str">
            <v>[700]</v>
          </cell>
          <cell r="S9" t="str">
            <v>[800]</v>
          </cell>
          <cell r="T9" t="str">
            <v>[900]</v>
          </cell>
          <cell r="U9" t="str">
            <v>[1100]</v>
          </cell>
          <cell r="V9" t="str">
            <v>[1200]</v>
          </cell>
          <cell r="W9" t="str">
            <v>[1300]</v>
          </cell>
          <cell r="X9" t="str">
            <v>[1400]</v>
          </cell>
          <cell r="Y9" t="str">
            <v>[1500]</v>
          </cell>
          <cell r="Z9" t="str">
            <v>[1600]</v>
          </cell>
          <cell r="AA9" t="str">
            <v>[1700]</v>
          </cell>
          <cell r="AB9" t="str">
            <v>[1800]</v>
          </cell>
          <cell r="AC9" t="str">
            <v>[1900]</v>
          </cell>
          <cell r="AD9" t="str">
            <v>[2000]</v>
          </cell>
          <cell r="AE9" t="str">
            <v>[2100]</v>
          </cell>
          <cell r="AF9" t="str">
            <v>[2200]</v>
          </cell>
          <cell r="AG9" t="str">
            <v>[2300]</v>
          </cell>
          <cell r="AH9" t="str">
            <v>[2310]</v>
          </cell>
          <cell r="AI9" t="str">
            <v>[2320]</v>
          </cell>
          <cell r="AJ9" t="str">
            <v>[2330]</v>
          </cell>
          <cell r="AK9" t="str">
            <v>[2340]</v>
          </cell>
          <cell r="AL9" t="str">
            <v>[2350]</v>
          </cell>
          <cell r="AM9" t="str">
            <v>[2360]</v>
          </cell>
          <cell r="AN9" t="str">
            <v>[2370]</v>
          </cell>
          <cell r="AO9" t="str">
            <v>[2380]</v>
          </cell>
          <cell r="AP9" t="str">
            <v>[2390]</v>
          </cell>
          <cell r="AQ9" t="str">
            <v>[2400]</v>
          </cell>
          <cell r="AR9" t="str">
            <v>[2401]</v>
          </cell>
          <cell r="AT9" t="str">
            <v>TOTAL</v>
          </cell>
        </row>
        <row r="11">
          <cell r="B11" t="str">
            <v>CODE</v>
          </cell>
          <cell r="F11" t="str">
            <v>RM</v>
          </cell>
          <cell r="G11" t="str">
            <v>RM</v>
          </cell>
          <cell r="H11" t="str">
            <v>RM</v>
          </cell>
          <cell r="I11" t="str">
            <v>RM</v>
          </cell>
          <cell r="J11" t="str">
            <v>RM</v>
          </cell>
          <cell r="K11" t="str">
            <v>RM</v>
          </cell>
          <cell r="L11" t="str">
            <v>RM</v>
          </cell>
          <cell r="M11" t="str">
            <v>RM</v>
          </cell>
          <cell r="N11" t="str">
            <v>RM</v>
          </cell>
          <cell r="O11" t="str">
            <v>RM</v>
          </cell>
          <cell r="P11" t="str">
            <v>RM</v>
          </cell>
          <cell r="Q11" t="str">
            <v>RM</v>
          </cell>
          <cell r="R11" t="str">
            <v>RM</v>
          </cell>
          <cell r="S11" t="str">
            <v>RM</v>
          </cell>
          <cell r="T11" t="str">
            <v>RM</v>
          </cell>
          <cell r="U11" t="str">
            <v>RM</v>
          </cell>
          <cell r="V11" t="str">
            <v>RM</v>
          </cell>
          <cell r="W11" t="str">
            <v>RM</v>
          </cell>
          <cell r="X11" t="str">
            <v>RM</v>
          </cell>
          <cell r="Y11" t="str">
            <v>RM</v>
          </cell>
          <cell r="Z11" t="str">
            <v>RM</v>
          </cell>
          <cell r="AA11" t="str">
            <v>RM</v>
          </cell>
          <cell r="AB11" t="str">
            <v>RM</v>
          </cell>
          <cell r="AC11" t="str">
            <v>RM</v>
          </cell>
          <cell r="AD11" t="str">
            <v>RM</v>
          </cell>
          <cell r="AE11" t="str">
            <v>RM</v>
          </cell>
          <cell r="AF11" t="str">
            <v>RM</v>
          </cell>
          <cell r="AG11" t="str">
            <v>RM</v>
          </cell>
          <cell r="AH11" t="str">
            <v>RM</v>
          </cell>
          <cell r="AI11" t="str">
            <v>RM</v>
          </cell>
          <cell r="AJ11" t="str">
            <v>RM</v>
          </cell>
          <cell r="AK11" t="str">
            <v>RM</v>
          </cell>
          <cell r="AL11" t="str">
            <v>RM</v>
          </cell>
          <cell r="AM11" t="str">
            <v>RM</v>
          </cell>
          <cell r="AN11" t="str">
            <v>RM</v>
          </cell>
          <cell r="AO11" t="str">
            <v>RM</v>
          </cell>
          <cell r="AP11" t="str">
            <v>RM</v>
          </cell>
          <cell r="AQ11" t="str">
            <v>RM</v>
          </cell>
          <cell r="AR11" t="str">
            <v>RM</v>
          </cell>
          <cell r="AT11" t="str">
            <v>RM</v>
          </cell>
        </row>
        <row r="13">
          <cell r="C13" t="str">
            <v>1</v>
          </cell>
          <cell r="D13" t="str">
            <v>Direct Materials :</v>
          </cell>
        </row>
        <row r="15">
          <cell r="A15">
            <v>15</v>
          </cell>
          <cell r="B15">
            <v>6000</v>
          </cell>
          <cell r="C15" t="str">
            <v xml:space="preserve">   309</v>
          </cell>
          <cell r="D15" t="str">
            <v>Aggregate, Sand &amp; Stones</v>
          </cell>
          <cell r="J15">
            <v>1435630</v>
          </cell>
          <cell r="Q15">
            <v>1946.4</v>
          </cell>
          <cell r="T15">
            <v>-576893.09000000008</v>
          </cell>
          <cell r="U15">
            <v>7368.6</v>
          </cell>
          <cell r="X15">
            <v>-1727.5</v>
          </cell>
          <cell r="Y15">
            <v>-2771.7</v>
          </cell>
          <cell r="Z15">
            <v>-43704.03</v>
          </cell>
          <cell r="AA15">
            <v>109983.7</v>
          </cell>
          <cell r="AB15">
            <v>98681.85</v>
          </cell>
          <cell r="AC15">
            <v>-15955.3</v>
          </cell>
          <cell r="AF15">
            <v>80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1012639</v>
          </cell>
        </row>
        <row r="16">
          <cell r="A16">
            <v>16</v>
          </cell>
          <cell r="B16">
            <v>6013</v>
          </cell>
          <cell r="C16" t="str">
            <v xml:space="preserve">   200</v>
          </cell>
          <cell r="D16" t="str">
            <v>Bricks</v>
          </cell>
          <cell r="I16">
            <v>-16086</v>
          </cell>
          <cell r="T16">
            <v>17196</v>
          </cell>
          <cell r="AT16">
            <v>1110</v>
          </cell>
        </row>
        <row r="17">
          <cell r="A17">
            <v>17</v>
          </cell>
          <cell r="B17">
            <v>6005</v>
          </cell>
          <cell r="C17" t="str">
            <v xml:space="preserve">   219</v>
          </cell>
          <cell r="D17" t="str">
            <v>Building Materials</v>
          </cell>
          <cell r="Q17">
            <v>400</v>
          </cell>
          <cell r="T17">
            <v>8270</v>
          </cell>
          <cell r="U17">
            <v>300</v>
          </cell>
          <cell r="V17">
            <v>3000</v>
          </cell>
          <cell r="W17">
            <v>3000</v>
          </cell>
          <cell r="Y17">
            <v>180</v>
          </cell>
          <cell r="Z17">
            <v>519179.96</v>
          </cell>
          <cell r="AA17">
            <v>-88285.06</v>
          </cell>
          <cell r="AB17">
            <v>371379.96</v>
          </cell>
          <cell r="AE17">
            <v>-215840</v>
          </cell>
          <cell r="AG17">
            <v>3600</v>
          </cell>
          <cell r="AT17">
            <v>605185</v>
          </cell>
        </row>
        <row r="18">
          <cell r="A18">
            <v>18</v>
          </cell>
          <cell r="B18">
            <v>6001</v>
          </cell>
          <cell r="C18" t="str">
            <v xml:space="preserve">   210</v>
          </cell>
          <cell r="D18" t="str">
            <v>Cement</v>
          </cell>
          <cell r="J18">
            <v>554782</v>
          </cell>
          <cell r="L18">
            <v>1978234</v>
          </cell>
          <cell r="S18">
            <v>-2968</v>
          </cell>
          <cell r="T18">
            <v>-129297</v>
          </cell>
          <cell r="Y18">
            <v>-605</v>
          </cell>
          <cell r="Z18">
            <v>-6347</v>
          </cell>
          <cell r="AA18">
            <v>8702</v>
          </cell>
          <cell r="AF18">
            <v>192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2402693</v>
          </cell>
        </row>
        <row r="19">
          <cell r="A19">
            <v>19</v>
          </cell>
          <cell r="B19">
            <v>6022</v>
          </cell>
          <cell r="D19" t="str">
            <v>Chemical</v>
          </cell>
          <cell r="F19">
            <v>9002</v>
          </cell>
          <cell r="AT19">
            <v>9002</v>
          </cell>
        </row>
        <row r="20">
          <cell r="A20">
            <v>20</v>
          </cell>
          <cell r="B20">
            <v>6018</v>
          </cell>
          <cell r="C20" t="str">
            <v xml:space="preserve">   214</v>
          </cell>
          <cell r="D20" t="str">
            <v>Concrete Products</v>
          </cell>
          <cell r="F20">
            <v>29010.47</v>
          </cell>
          <cell r="I20">
            <v>3882.6699999999983</v>
          </cell>
          <cell r="K20">
            <v>1078342</v>
          </cell>
          <cell r="T20">
            <v>151584.54999999999</v>
          </cell>
          <cell r="Y20">
            <v>-184</v>
          </cell>
          <cell r="Z20">
            <v>166676.96</v>
          </cell>
          <cell r="AA20">
            <v>-476926.87999999989</v>
          </cell>
          <cell r="AB20">
            <v>39390.660000000003</v>
          </cell>
          <cell r="AT20">
            <v>991776</v>
          </cell>
        </row>
        <row r="21">
          <cell r="A21">
            <v>21</v>
          </cell>
          <cell r="D21" t="str">
            <v>Crusher Run</v>
          </cell>
          <cell r="AT21">
            <v>0</v>
          </cell>
        </row>
        <row r="22">
          <cell r="A22">
            <v>22</v>
          </cell>
          <cell r="B22">
            <v>6021</v>
          </cell>
          <cell r="D22" t="str">
            <v>Culvert</v>
          </cell>
          <cell r="F22">
            <v>1331762</v>
          </cell>
          <cell r="I22">
            <v>-271424.38</v>
          </cell>
          <cell r="Y22">
            <v>-1103</v>
          </cell>
          <cell r="Z22">
            <v>269997.38</v>
          </cell>
          <cell r="AA22">
            <v>2530</v>
          </cell>
          <cell r="AT22">
            <v>1331762</v>
          </cell>
        </row>
        <row r="23">
          <cell r="A23">
            <v>23</v>
          </cell>
          <cell r="B23">
            <v>7040</v>
          </cell>
          <cell r="C23" t="str">
            <v xml:space="preserve">   229</v>
          </cell>
          <cell r="D23" t="str">
            <v>Diesel/Gas &amp; Lubricant</v>
          </cell>
          <cell r="F23">
            <v>1422.2</v>
          </cell>
          <cell r="P23">
            <v>303.54000000000002</v>
          </cell>
          <cell r="Q23">
            <v>802.76</v>
          </cell>
          <cell r="T23">
            <v>5886.76</v>
          </cell>
          <cell r="U23">
            <v>2374.12</v>
          </cell>
          <cell r="V23">
            <v>265.8</v>
          </cell>
          <cell r="W23">
            <v>265.8</v>
          </cell>
          <cell r="X23">
            <v>298.8</v>
          </cell>
          <cell r="Y23">
            <v>744.1</v>
          </cell>
          <cell r="Z23">
            <v>27642.32</v>
          </cell>
          <cell r="AA23">
            <v>48441.2</v>
          </cell>
          <cell r="AB23">
            <v>77116.710000000006</v>
          </cell>
          <cell r="AF23">
            <v>1648.1</v>
          </cell>
          <cell r="AG23">
            <v>626.9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167839</v>
          </cell>
        </row>
        <row r="24">
          <cell r="A24">
            <v>24</v>
          </cell>
          <cell r="B24">
            <v>6020</v>
          </cell>
          <cell r="D24" t="str">
            <v>Door</v>
          </cell>
          <cell r="T24">
            <v>785</v>
          </cell>
          <cell r="AT24">
            <v>785</v>
          </cell>
        </row>
        <row r="25">
          <cell r="A25">
            <v>25</v>
          </cell>
          <cell r="B25">
            <v>7013</v>
          </cell>
          <cell r="C25" t="str">
            <v xml:space="preserve">   228</v>
          </cell>
          <cell r="D25" t="str">
            <v>Electrical Appliances</v>
          </cell>
          <cell r="T25">
            <v>2323.25</v>
          </cell>
          <cell r="Z25">
            <v>36.200000000000003</v>
          </cell>
          <cell r="AA25">
            <v>222.4</v>
          </cell>
          <cell r="AB25">
            <v>222.4</v>
          </cell>
          <cell r="AF25">
            <v>507.5</v>
          </cell>
          <cell r="AG25">
            <v>2116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5428</v>
          </cell>
        </row>
        <row r="26">
          <cell r="A26">
            <v>26</v>
          </cell>
          <cell r="D26" t="str">
            <v>Ghoxitile</v>
          </cell>
          <cell r="AT26">
            <v>0</v>
          </cell>
        </row>
        <row r="27">
          <cell r="A27">
            <v>27</v>
          </cell>
          <cell r="B27">
            <v>6019</v>
          </cell>
          <cell r="D27" t="str">
            <v>Glass</v>
          </cell>
          <cell r="T27">
            <v>863.2</v>
          </cell>
          <cell r="AT27">
            <v>863</v>
          </cell>
        </row>
        <row r="28">
          <cell r="A28">
            <v>28</v>
          </cell>
          <cell r="B28">
            <v>6002</v>
          </cell>
          <cell r="C28" t="str">
            <v xml:space="preserve">   233</v>
          </cell>
          <cell r="D28" t="str">
            <v>Hardware</v>
          </cell>
          <cell r="T28">
            <v>-1293.3499999999995</v>
          </cell>
          <cell r="Y28">
            <v>5.5</v>
          </cell>
          <cell r="Z28">
            <v>815.45</v>
          </cell>
          <cell r="AA28">
            <v>1100.45</v>
          </cell>
          <cell r="AB28">
            <v>2161.0500000000002</v>
          </cell>
          <cell r="AF28">
            <v>2192.9499999999998</v>
          </cell>
          <cell r="AG28">
            <v>328.4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5310</v>
          </cell>
        </row>
        <row r="29">
          <cell r="A29">
            <v>29</v>
          </cell>
          <cell r="D29" t="str">
            <v>Landscaping</v>
          </cell>
          <cell r="AT29">
            <v>0</v>
          </cell>
        </row>
        <row r="30">
          <cell r="A30">
            <v>30</v>
          </cell>
          <cell r="B30">
            <v>6012</v>
          </cell>
          <cell r="C30" t="str">
            <v xml:space="preserve">   270</v>
          </cell>
          <cell r="D30" t="str">
            <v>Paint</v>
          </cell>
          <cell r="T30">
            <v>1441.6</v>
          </cell>
          <cell r="AA30">
            <v>1635.5</v>
          </cell>
          <cell r="AT30">
            <v>3077</v>
          </cell>
        </row>
        <row r="31">
          <cell r="A31">
            <v>31</v>
          </cell>
          <cell r="D31" t="str">
            <v>Partition</v>
          </cell>
          <cell r="AT31">
            <v>0</v>
          </cell>
        </row>
        <row r="32">
          <cell r="A32">
            <v>32</v>
          </cell>
          <cell r="D32" t="str">
            <v>Piles</v>
          </cell>
          <cell r="AT32">
            <v>0</v>
          </cell>
        </row>
        <row r="33">
          <cell r="A33">
            <v>33</v>
          </cell>
          <cell r="B33">
            <v>6007</v>
          </cell>
          <cell r="C33" t="str">
            <v xml:space="preserve">   311</v>
          </cell>
          <cell r="D33" t="str">
            <v>Pipes &amp; Drain</v>
          </cell>
          <cell r="F33">
            <v>353008</v>
          </cell>
          <cell r="T33">
            <v>15128.2</v>
          </cell>
          <cell r="X33">
            <v>-300</v>
          </cell>
          <cell r="Y33">
            <v>-170</v>
          </cell>
          <cell r="Z33">
            <v>163937</v>
          </cell>
          <cell r="AA33">
            <v>-284524.32</v>
          </cell>
          <cell r="AT33">
            <v>247079</v>
          </cell>
        </row>
        <row r="34">
          <cell r="A34">
            <v>34</v>
          </cell>
          <cell r="B34">
            <v>6023</v>
          </cell>
          <cell r="D34" t="str">
            <v>Premix</v>
          </cell>
          <cell r="T34">
            <v>1094.4000000000001</v>
          </cell>
          <cell r="AT34">
            <v>1094</v>
          </cell>
        </row>
        <row r="35">
          <cell r="A35">
            <v>35</v>
          </cell>
          <cell r="B35">
            <v>6014</v>
          </cell>
          <cell r="C35" t="str">
            <v xml:space="preserve">   221</v>
          </cell>
          <cell r="D35" t="str">
            <v>Purchases</v>
          </cell>
          <cell r="F35">
            <v>22351.13</v>
          </cell>
          <cell r="T35">
            <v>12080.43</v>
          </cell>
          <cell r="AT35">
            <v>34432</v>
          </cell>
        </row>
        <row r="36">
          <cell r="A36">
            <v>36</v>
          </cell>
          <cell r="D36" t="str">
            <v>Rock</v>
          </cell>
          <cell r="AT36">
            <v>0</v>
          </cell>
        </row>
        <row r="37">
          <cell r="A37">
            <v>37</v>
          </cell>
          <cell r="B37">
            <v>6009</v>
          </cell>
          <cell r="D37" t="str">
            <v>Roofing</v>
          </cell>
          <cell r="F37">
            <v>112952</v>
          </cell>
          <cell r="T37">
            <v>460000</v>
          </cell>
          <cell r="AA37">
            <v>-227630.6</v>
          </cell>
          <cell r="AE37">
            <v>72349.420000000013</v>
          </cell>
          <cell r="AT37">
            <v>417671</v>
          </cell>
        </row>
        <row r="38">
          <cell r="A38">
            <v>38</v>
          </cell>
          <cell r="B38">
            <v>6011</v>
          </cell>
          <cell r="C38" t="str">
            <v xml:space="preserve">   286</v>
          </cell>
          <cell r="D38" t="str">
            <v>Sanitary Fittings &amp; Fixtures</v>
          </cell>
          <cell r="AF38">
            <v>186.5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T38">
            <v>187</v>
          </cell>
        </row>
        <row r="39">
          <cell r="A39">
            <v>39</v>
          </cell>
          <cell r="B39">
            <v>6003</v>
          </cell>
          <cell r="C39" t="str">
            <v xml:space="preserve">   239</v>
          </cell>
          <cell r="D39" t="str">
            <v>Steel Bars &amp; Iron</v>
          </cell>
          <cell r="F39">
            <v>322822</v>
          </cell>
          <cell r="K39">
            <v>1185437</v>
          </cell>
          <cell r="T39">
            <v>223552</v>
          </cell>
          <cell r="Y39">
            <v>-2115</v>
          </cell>
          <cell r="Z39">
            <v>69405.850000000006</v>
          </cell>
          <cell r="AA39">
            <v>14204.2</v>
          </cell>
          <cell r="AB39">
            <v>513064</v>
          </cell>
          <cell r="AE39">
            <v>-297301.84999999998</v>
          </cell>
          <cell r="AF39">
            <v>63500</v>
          </cell>
          <cell r="AG39">
            <v>-2649.69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2089919</v>
          </cell>
        </row>
        <row r="40">
          <cell r="A40">
            <v>40</v>
          </cell>
          <cell r="B40">
            <v>6006</v>
          </cell>
          <cell r="D40" t="str">
            <v>Tank</v>
          </cell>
          <cell r="AF40">
            <v>3600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T40">
            <v>3600</v>
          </cell>
        </row>
        <row r="41">
          <cell r="A41">
            <v>41</v>
          </cell>
          <cell r="D41" t="str">
            <v>Tiles &amp; Mosaic</v>
          </cell>
          <cell r="AT41">
            <v>0</v>
          </cell>
        </row>
        <row r="42">
          <cell r="A42">
            <v>42</v>
          </cell>
          <cell r="B42">
            <v>6004</v>
          </cell>
          <cell r="C42" t="str">
            <v xml:space="preserve">   296</v>
          </cell>
          <cell r="D42" t="str">
            <v>Timber &amp; Plywood</v>
          </cell>
          <cell r="F42">
            <v>232954</v>
          </cell>
          <cell r="T42">
            <v>1995.78</v>
          </cell>
          <cell r="Z42">
            <v>-815</v>
          </cell>
          <cell r="AA42">
            <v>17160</v>
          </cell>
          <cell r="AE42">
            <v>517400.22</v>
          </cell>
          <cell r="AF42">
            <v>23654.13</v>
          </cell>
          <cell r="AG42">
            <v>837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793186</v>
          </cell>
        </row>
        <row r="43">
          <cell r="A43">
            <v>43</v>
          </cell>
          <cell r="D43" t="str">
            <v>Turfing</v>
          </cell>
          <cell r="AT43">
            <v>0</v>
          </cell>
        </row>
        <row r="44">
          <cell r="A44">
            <v>44</v>
          </cell>
          <cell r="B44">
            <v>6010</v>
          </cell>
          <cell r="D44" t="str">
            <v>Welding Material</v>
          </cell>
          <cell r="I44">
            <v>-1120.6500000000001</v>
          </cell>
          <cell r="T44">
            <v>637.25</v>
          </cell>
          <cell r="Z44">
            <v>103.1</v>
          </cell>
          <cell r="AA44">
            <v>1661.4</v>
          </cell>
          <cell r="AB44">
            <v>103.1</v>
          </cell>
          <cell r="AT44">
            <v>1384</v>
          </cell>
        </row>
        <row r="45">
          <cell r="A45">
            <v>45</v>
          </cell>
          <cell r="B45">
            <v>6017</v>
          </cell>
          <cell r="D45" t="str">
            <v>Window Frame</v>
          </cell>
          <cell r="T45">
            <v>844.1</v>
          </cell>
          <cell r="AT45">
            <v>844</v>
          </cell>
        </row>
        <row r="46">
          <cell r="A46">
            <v>46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 t="str">
            <v>-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  <cell r="AM46" t="str">
            <v>-</v>
          </cell>
          <cell r="AN46" t="str">
            <v>-</v>
          </cell>
          <cell r="AO46" t="str">
            <v>-</v>
          </cell>
          <cell r="AP46" t="str">
            <v>-</v>
          </cell>
          <cell r="AQ46" t="str">
            <v>-</v>
          </cell>
          <cell r="AR46" t="str">
            <v>-</v>
          </cell>
          <cell r="AT46" t="str">
            <v>-</v>
          </cell>
        </row>
        <row r="47">
          <cell r="A47">
            <v>47</v>
          </cell>
          <cell r="D47" t="str">
            <v>Direct Material Costs</v>
          </cell>
          <cell r="F47">
            <v>2415284</v>
          </cell>
          <cell r="G47">
            <v>0</v>
          </cell>
          <cell r="H47">
            <v>0</v>
          </cell>
          <cell r="I47">
            <v>-284748</v>
          </cell>
          <cell r="J47">
            <v>1990412</v>
          </cell>
          <cell r="K47">
            <v>2263779</v>
          </cell>
          <cell r="L47">
            <v>1978234</v>
          </cell>
          <cell r="M47">
            <v>0</v>
          </cell>
          <cell r="N47">
            <v>0</v>
          </cell>
          <cell r="O47">
            <v>0</v>
          </cell>
          <cell r="P47">
            <v>304</v>
          </cell>
          <cell r="Q47">
            <v>3149</v>
          </cell>
          <cell r="R47">
            <v>0</v>
          </cell>
          <cell r="S47">
            <v>-2968</v>
          </cell>
          <cell r="T47">
            <v>196199</v>
          </cell>
          <cell r="U47">
            <v>10043</v>
          </cell>
          <cell r="V47">
            <v>3266</v>
          </cell>
          <cell r="W47">
            <v>3266</v>
          </cell>
          <cell r="X47">
            <v>-1729</v>
          </cell>
          <cell r="Y47">
            <v>-6019</v>
          </cell>
          <cell r="Z47">
            <v>1166928</v>
          </cell>
          <cell r="AA47">
            <v>-871726</v>
          </cell>
          <cell r="AB47">
            <v>1102120</v>
          </cell>
          <cell r="AC47">
            <v>-15955</v>
          </cell>
          <cell r="AD47">
            <v>0</v>
          </cell>
          <cell r="AE47">
            <v>76608</v>
          </cell>
          <cell r="AF47">
            <v>95561</v>
          </cell>
          <cell r="AG47">
            <v>4859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10126867</v>
          </cell>
        </row>
        <row r="48">
          <cell r="A48">
            <v>48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 t="str">
            <v>-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 t="str">
            <v>-</v>
          </cell>
          <cell r="AQ48" t="str">
            <v>-</v>
          </cell>
          <cell r="AR48" t="str">
            <v>-</v>
          </cell>
          <cell r="AT48" t="str">
            <v>-</v>
          </cell>
        </row>
        <row r="49">
          <cell r="A49">
            <v>49</v>
          </cell>
        </row>
        <row r="50">
          <cell r="A50">
            <v>50</v>
          </cell>
          <cell r="C50" t="str">
            <v>2</v>
          </cell>
          <cell r="D50" t="str">
            <v>Labour Costs :</v>
          </cell>
        </row>
        <row r="51">
          <cell r="A51">
            <v>51</v>
          </cell>
        </row>
        <row r="52">
          <cell r="A52">
            <v>52</v>
          </cell>
          <cell r="B52">
            <v>7003</v>
          </cell>
          <cell r="C52" t="str">
            <v xml:space="preserve">   244</v>
          </cell>
          <cell r="D52" t="str">
            <v>Ang Pow</v>
          </cell>
          <cell r="F52">
            <v>2570</v>
          </cell>
          <cell r="T52">
            <v>500</v>
          </cell>
          <cell r="V52">
            <v>50</v>
          </cell>
          <cell r="W52">
            <v>50</v>
          </cell>
          <cell r="AT52">
            <v>3170</v>
          </cell>
        </row>
        <row r="53">
          <cell r="A53">
            <v>53</v>
          </cell>
          <cell r="B53">
            <v>7007</v>
          </cell>
          <cell r="C53" t="str">
            <v xml:space="preserve">   213</v>
          </cell>
          <cell r="D53" t="str">
            <v>Bonus</v>
          </cell>
          <cell r="F53">
            <v>12010</v>
          </cell>
          <cell r="AT53">
            <v>12010</v>
          </cell>
        </row>
        <row r="54">
          <cell r="A54">
            <v>54</v>
          </cell>
          <cell r="B54">
            <v>7031</v>
          </cell>
          <cell r="D54" t="str">
            <v>Casual Labour</v>
          </cell>
          <cell r="AF54">
            <v>50</v>
          </cell>
          <cell r="AG54">
            <v>250</v>
          </cell>
          <cell r="AH54">
            <v>0</v>
          </cell>
          <cell r="AI54">
            <v>0</v>
          </cell>
          <cell r="AJ54">
            <v>0</v>
          </cell>
          <cell r="AT54">
            <v>300</v>
          </cell>
        </row>
        <row r="55">
          <cell r="A55">
            <v>55</v>
          </cell>
          <cell r="B55">
            <v>7008</v>
          </cell>
          <cell r="D55" t="str">
            <v>Commission</v>
          </cell>
          <cell r="F55">
            <v>3000</v>
          </cell>
          <cell r="Q55">
            <v>1257.52</v>
          </cell>
          <cell r="R55">
            <v>3086.93</v>
          </cell>
          <cell r="Z55">
            <v>600</v>
          </cell>
          <cell r="AA55">
            <v>600</v>
          </cell>
          <cell r="AB55">
            <v>600</v>
          </cell>
          <cell r="AT55">
            <v>9144</v>
          </cell>
        </row>
        <row r="56">
          <cell r="A56">
            <v>56</v>
          </cell>
          <cell r="B56">
            <v>7012</v>
          </cell>
          <cell r="C56" t="str">
            <v xml:space="preserve">   231</v>
          </cell>
          <cell r="D56" t="str">
            <v>EPF Contribution</v>
          </cell>
          <cell r="F56">
            <v>22039</v>
          </cell>
          <cell r="AT56">
            <v>22039</v>
          </cell>
        </row>
        <row r="57">
          <cell r="A57">
            <v>57</v>
          </cell>
          <cell r="B57" t="str">
            <v>7027</v>
          </cell>
          <cell r="D57" t="str">
            <v>Incentives</v>
          </cell>
          <cell r="Z57">
            <v>14999</v>
          </cell>
          <cell r="AA57">
            <v>15002</v>
          </cell>
          <cell r="AB57">
            <v>14999</v>
          </cell>
          <cell r="AT57">
            <v>45000</v>
          </cell>
        </row>
        <row r="58">
          <cell r="A58">
            <v>58</v>
          </cell>
          <cell r="B58">
            <v>7032</v>
          </cell>
          <cell r="D58" t="str">
            <v>Leave Compensation</v>
          </cell>
          <cell r="F58">
            <v>4454.6000000000004</v>
          </cell>
          <cell r="Z58">
            <v>840</v>
          </cell>
          <cell r="AB58">
            <v>422.3</v>
          </cell>
          <cell r="AT58">
            <v>5717</v>
          </cell>
        </row>
        <row r="59">
          <cell r="A59">
            <v>59</v>
          </cell>
          <cell r="B59">
            <v>7068</v>
          </cell>
          <cell r="D59" t="str">
            <v>Retrenchment Benefit</v>
          </cell>
          <cell r="T59">
            <v>3294.64</v>
          </cell>
          <cell r="AT59">
            <v>3295</v>
          </cell>
        </row>
        <row r="60">
          <cell r="A60">
            <v>60</v>
          </cell>
          <cell r="B60">
            <v>7050</v>
          </cell>
          <cell r="D60" t="str">
            <v>Salary</v>
          </cell>
          <cell r="F60">
            <v>29385.78</v>
          </cell>
          <cell r="P60">
            <v>61.53</v>
          </cell>
          <cell r="Q60">
            <v>302.3</v>
          </cell>
          <cell r="T60">
            <v>18768.419999999998</v>
          </cell>
          <cell r="U60">
            <v>2252.09</v>
          </cell>
          <cell r="V60">
            <v>575</v>
          </cell>
          <cell r="W60">
            <v>575</v>
          </cell>
          <cell r="X60">
            <v>788.83</v>
          </cell>
          <cell r="Y60">
            <v>1437.24</v>
          </cell>
          <cell r="Z60">
            <v>59579.71</v>
          </cell>
          <cell r="AA60">
            <v>32179.13</v>
          </cell>
          <cell r="AB60">
            <v>42267.28</v>
          </cell>
          <cell r="AF60">
            <v>14250</v>
          </cell>
          <cell r="AG60">
            <v>3700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206122</v>
          </cell>
        </row>
        <row r="61">
          <cell r="A61">
            <v>61</v>
          </cell>
          <cell r="B61">
            <v>7001</v>
          </cell>
          <cell r="C61" t="str">
            <v>=</v>
          </cell>
          <cell r="D61" t="str">
            <v>Salary - Allowance</v>
          </cell>
          <cell r="F61">
            <v>6607.69</v>
          </cell>
          <cell r="P61">
            <v>57.69</v>
          </cell>
          <cell r="Q61">
            <v>234.6</v>
          </cell>
          <cell r="T61">
            <v>10998.01</v>
          </cell>
          <cell r="U61">
            <v>1908.62</v>
          </cell>
          <cell r="V61">
            <v>725</v>
          </cell>
          <cell r="W61">
            <v>725</v>
          </cell>
          <cell r="X61">
            <v>387.29</v>
          </cell>
          <cell r="Y61">
            <v>993.41</v>
          </cell>
          <cell r="Z61">
            <v>50769.69</v>
          </cell>
          <cell r="AA61">
            <v>24003.919999999998</v>
          </cell>
          <cell r="AB61">
            <v>32864.050000000003</v>
          </cell>
          <cell r="AF61">
            <v>2550</v>
          </cell>
          <cell r="AG61">
            <v>2100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134925</v>
          </cell>
        </row>
        <row r="62">
          <cell r="A62">
            <v>62</v>
          </cell>
          <cell r="B62">
            <v>7039</v>
          </cell>
          <cell r="C62" t="str">
            <v xml:space="preserve">   264</v>
          </cell>
          <cell r="D62" t="str">
            <v xml:space="preserve">Salary - Overtime </v>
          </cell>
          <cell r="F62">
            <v>681.48</v>
          </cell>
          <cell r="P62">
            <v>42</v>
          </cell>
          <cell r="Q62">
            <v>138</v>
          </cell>
          <cell r="T62">
            <v>3599.92</v>
          </cell>
          <cell r="U62">
            <v>1088.73</v>
          </cell>
          <cell r="X62">
            <v>110.5</v>
          </cell>
          <cell r="Y62">
            <v>355.5</v>
          </cell>
          <cell r="Z62">
            <v>20075.28</v>
          </cell>
          <cell r="AA62">
            <v>10244.870000000001</v>
          </cell>
          <cell r="AB62">
            <v>15305.31</v>
          </cell>
          <cell r="AT62">
            <v>51642</v>
          </cell>
        </row>
        <row r="63">
          <cell r="A63">
            <v>63</v>
          </cell>
          <cell r="B63">
            <v>7051</v>
          </cell>
          <cell r="C63" t="str">
            <v xml:space="preserve">   280</v>
          </cell>
          <cell r="D63" t="str">
            <v>Socso</v>
          </cell>
          <cell r="F63">
            <v>2866.4</v>
          </cell>
          <cell r="AT63">
            <v>2866</v>
          </cell>
        </row>
        <row r="64">
          <cell r="A64">
            <v>64</v>
          </cell>
          <cell r="B64">
            <v>7067</v>
          </cell>
          <cell r="C64" t="str">
            <v xml:space="preserve">   281</v>
          </cell>
          <cell r="D64" t="str">
            <v>Staff Welfare</v>
          </cell>
          <cell r="F64">
            <v>322.5</v>
          </cell>
          <cell r="AG64">
            <v>1200</v>
          </cell>
          <cell r="AT64">
            <v>1523</v>
          </cell>
        </row>
        <row r="65">
          <cell r="A65">
            <v>65</v>
          </cell>
          <cell r="B65">
            <v>7070</v>
          </cell>
          <cell r="C65" t="str">
            <v xml:space="preserve">   295</v>
          </cell>
          <cell r="D65" t="str">
            <v>Wages</v>
          </cell>
          <cell r="T65">
            <v>18465.5</v>
          </cell>
          <cell r="U65">
            <v>780.25</v>
          </cell>
          <cell r="X65">
            <v>2200</v>
          </cell>
          <cell r="Z65">
            <v>15275.54</v>
          </cell>
          <cell r="AA65">
            <v>6013.51</v>
          </cell>
          <cell r="AB65">
            <v>14495.74</v>
          </cell>
          <cell r="AC65">
            <v>51.92</v>
          </cell>
          <cell r="AF65">
            <v>5418.64</v>
          </cell>
          <cell r="AG65">
            <v>1400.67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64102</v>
          </cell>
        </row>
        <row r="66">
          <cell r="A66">
            <v>66</v>
          </cell>
          <cell r="B66">
            <v>7071</v>
          </cell>
          <cell r="D66" t="str">
            <v>Wages Allowance</v>
          </cell>
          <cell r="T66">
            <v>100</v>
          </cell>
          <cell r="Z66">
            <v>1381.97</v>
          </cell>
          <cell r="AA66">
            <v>389.9</v>
          </cell>
          <cell r="AB66">
            <v>4297.3599999999997</v>
          </cell>
          <cell r="AT66">
            <v>6169</v>
          </cell>
        </row>
        <row r="67">
          <cell r="A67">
            <v>67</v>
          </cell>
          <cell r="B67">
            <v>7072</v>
          </cell>
          <cell r="D67" t="str">
            <v>Wages Overtime</v>
          </cell>
          <cell r="T67">
            <v>1181.0899999999999</v>
          </cell>
          <cell r="U67">
            <v>100.5</v>
          </cell>
          <cell r="Z67">
            <v>2305.6799999999998</v>
          </cell>
          <cell r="AA67">
            <v>1947.06</v>
          </cell>
          <cell r="AB67">
            <v>5649.39</v>
          </cell>
          <cell r="AC67">
            <v>24</v>
          </cell>
          <cell r="AF67">
            <v>148.03</v>
          </cell>
          <cell r="AG67">
            <v>3632.9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14989</v>
          </cell>
        </row>
        <row r="68">
          <cell r="A68">
            <v>68</v>
          </cell>
        </row>
        <row r="69">
          <cell r="A69">
            <v>69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T69" t="str">
            <v>-</v>
          </cell>
        </row>
        <row r="70">
          <cell r="A70">
            <v>70</v>
          </cell>
          <cell r="D70" t="str">
            <v>Labour Costs</v>
          </cell>
          <cell r="F70">
            <v>83937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161</v>
          </cell>
          <cell r="Q70">
            <v>1932</v>
          </cell>
          <cell r="R70">
            <v>3087</v>
          </cell>
          <cell r="S70">
            <v>0</v>
          </cell>
          <cell r="T70">
            <v>56908</v>
          </cell>
          <cell r="U70">
            <v>6130</v>
          </cell>
          <cell r="V70">
            <v>1350</v>
          </cell>
          <cell r="W70">
            <v>1350</v>
          </cell>
          <cell r="X70">
            <v>3487</v>
          </cell>
          <cell r="Y70">
            <v>2786</v>
          </cell>
          <cell r="Z70">
            <v>165827</v>
          </cell>
          <cell r="AA70">
            <v>90380</v>
          </cell>
          <cell r="AB70">
            <v>130900</v>
          </cell>
          <cell r="AC70">
            <v>76</v>
          </cell>
          <cell r="AD70">
            <v>0</v>
          </cell>
          <cell r="AE70">
            <v>0</v>
          </cell>
          <cell r="AF70">
            <v>22417</v>
          </cell>
          <cell r="AG70">
            <v>12284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583012</v>
          </cell>
        </row>
        <row r="71">
          <cell r="A71">
            <v>71</v>
          </cell>
          <cell r="F71" t="str">
            <v>-</v>
          </cell>
          <cell r="G71" t="str">
            <v>-</v>
          </cell>
          <cell r="H71" t="str">
            <v>-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 t="str">
            <v>-</v>
          </cell>
          <cell r="AH71" t="str">
            <v>-</v>
          </cell>
          <cell r="AI71" t="str">
            <v>-</v>
          </cell>
          <cell r="AJ71" t="str">
            <v>-</v>
          </cell>
          <cell r="AK71" t="str">
            <v>-</v>
          </cell>
          <cell r="AL71" t="str">
            <v>-</v>
          </cell>
          <cell r="AM71" t="str">
            <v>-</v>
          </cell>
          <cell r="AN71" t="str">
            <v>-</v>
          </cell>
          <cell r="AO71" t="str">
            <v>-</v>
          </cell>
          <cell r="AP71" t="str">
            <v>-</v>
          </cell>
          <cell r="AQ71" t="str">
            <v>-</v>
          </cell>
          <cell r="AR71" t="str">
            <v>-</v>
          </cell>
          <cell r="AT71" t="str">
            <v>-</v>
          </cell>
        </row>
        <row r="72">
          <cell r="A72">
            <v>72</v>
          </cell>
          <cell r="C72" t="str">
            <v xml:space="preserve"> </v>
          </cell>
        </row>
        <row r="73">
          <cell r="A73">
            <v>73</v>
          </cell>
        </row>
        <row r="74">
          <cell r="A74">
            <v>74</v>
          </cell>
          <cell r="C74" t="str">
            <v xml:space="preserve"> </v>
          </cell>
        </row>
        <row r="75">
          <cell r="A75">
            <v>75</v>
          </cell>
          <cell r="C75" t="str">
            <v>3</v>
          </cell>
          <cell r="D75" t="str">
            <v>Sub Contractors' Works</v>
          </cell>
          <cell r="J75">
            <v>500652</v>
          </cell>
          <cell r="K75">
            <v>1777583</v>
          </cell>
          <cell r="L75">
            <v>1169000</v>
          </cell>
          <cell r="T75">
            <v>140322.91</v>
          </cell>
          <cell r="U75">
            <v>30339</v>
          </cell>
          <cell r="V75">
            <v>-20408.79</v>
          </cell>
          <cell r="W75">
            <v>-11745</v>
          </cell>
          <cell r="X75">
            <v>105588</v>
          </cell>
          <cell r="Y75">
            <v>317198.2</v>
          </cell>
          <cell r="Z75">
            <v>434514.5</v>
          </cell>
          <cell r="AA75">
            <v>922312.71</v>
          </cell>
          <cell r="AB75">
            <v>766452.64</v>
          </cell>
          <cell r="AD75">
            <v>1971020.05</v>
          </cell>
          <cell r="AF75">
            <v>9005</v>
          </cell>
          <cell r="AG75">
            <v>576397.41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163500.95000000001</v>
          </cell>
          <cell r="AR75">
            <v>0</v>
          </cell>
          <cell r="AS75">
            <v>0</v>
          </cell>
          <cell r="AT75">
            <v>8851733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  <cell r="C78" t="str">
            <v xml:space="preserve"> </v>
          </cell>
        </row>
        <row r="79">
          <cell r="A79">
            <v>79</v>
          </cell>
          <cell r="C79" t="str">
            <v>::</v>
          </cell>
        </row>
        <row r="80">
          <cell r="A80">
            <v>80</v>
          </cell>
          <cell r="C80" t="str">
            <v>4</v>
          </cell>
          <cell r="D80" t="str">
            <v>Lease, Upkeep &amp; Transport :</v>
          </cell>
        </row>
        <row r="81">
          <cell r="A81">
            <v>81</v>
          </cell>
        </row>
        <row r="82">
          <cell r="A82">
            <v>82</v>
          </cell>
          <cell r="B82">
            <v>7100</v>
          </cell>
          <cell r="D82" t="str">
            <v xml:space="preserve">Depreciation </v>
          </cell>
          <cell r="F82">
            <v>458998.82</v>
          </cell>
          <cell r="T82">
            <v>11169.16</v>
          </cell>
          <cell r="AF82">
            <v>1102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471270</v>
          </cell>
        </row>
        <row r="83">
          <cell r="A83">
            <v>83</v>
          </cell>
          <cell r="D83" t="str">
            <v>Depreciation On Lease Assets</v>
          </cell>
          <cell r="AT83">
            <v>0</v>
          </cell>
        </row>
        <row r="84">
          <cell r="A84">
            <v>84</v>
          </cell>
          <cell r="B84">
            <v>7024</v>
          </cell>
          <cell r="C84">
            <v>454</v>
          </cell>
          <cell r="D84" t="str">
            <v>Hire Of Equip. &amp; Machineries</v>
          </cell>
          <cell r="Q84">
            <v>888.3</v>
          </cell>
          <cell r="T84">
            <v>12796.8</v>
          </cell>
          <cell r="U84">
            <v>1538.4</v>
          </cell>
          <cell r="X84">
            <v>-1500</v>
          </cell>
          <cell r="Y84">
            <v>-19396.25</v>
          </cell>
          <cell r="Z84">
            <v>36231.949999999997</v>
          </cell>
          <cell r="AA84">
            <v>237356.61</v>
          </cell>
          <cell r="AB84">
            <v>44267.35</v>
          </cell>
          <cell r="AF84">
            <v>1890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314073</v>
          </cell>
        </row>
        <row r="85">
          <cell r="A85">
            <v>85</v>
          </cell>
          <cell r="B85">
            <v>7044</v>
          </cell>
          <cell r="D85" t="str">
            <v>Hire Of Motor Vehicle</v>
          </cell>
          <cell r="T85">
            <v>-1366</v>
          </cell>
          <cell r="AT85">
            <v>-1366</v>
          </cell>
        </row>
        <row r="86">
          <cell r="A86">
            <v>86</v>
          </cell>
          <cell r="B86">
            <v>7400</v>
          </cell>
          <cell r="D86" t="str">
            <v>Lease Rental</v>
          </cell>
          <cell r="F86">
            <v>544581.36</v>
          </cell>
          <cell r="AT86">
            <v>544581</v>
          </cell>
        </row>
        <row r="87">
          <cell r="A87">
            <v>87</v>
          </cell>
          <cell r="D87" t="str">
            <v>Site House Expenses</v>
          </cell>
          <cell r="AT87">
            <v>0</v>
          </cell>
        </row>
        <row r="88">
          <cell r="A88">
            <v>88</v>
          </cell>
          <cell r="B88">
            <v>7058</v>
          </cell>
          <cell r="C88" t="str">
            <v xml:space="preserve">   274</v>
          </cell>
          <cell r="D88" t="str">
            <v>Transport Charges</v>
          </cell>
          <cell r="P88">
            <v>500</v>
          </cell>
          <cell r="U88">
            <v>9133.75</v>
          </cell>
          <cell r="X88">
            <v>1727.5</v>
          </cell>
          <cell r="Y88">
            <v>2866.9</v>
          </cell>
          <cell r="AA88">
            <v>70276.700000000012</v>
          </cell>
          <cell r="AB88">
            <v>170597.6</v>
          </cell>
          <cell r="AC88">
            <v>15685.25</v>
          </cell>
          <cell r="AF88">
            <v>3830</v>
          </cell>
          <cell r="AG88">
            <v>180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274798</v>
          </cell>
        </row>
        <row r="89">
          <cell r="A89">
            <v>89</v>
          </cell>
          <cell r="B89">
            <v>7045</v>
          </cell>
          <cell r="C89" t="str">
            <v xml:space="preserve">   289</v>
          </cell>
          <cell r="D89" t="str">
            <v>Upkeep Of Equipment &amp; Machinery</v>
          </cell>
          <cell r="T89">
            <v>16930.22</v>
          </cell>
          <cell r="U89">
            <v>1468.67</v>
          </cell>
          <cell r="X89">
            <v>168.5</v>
          </cell>
          <cell r="Z89">
            <v>75561.960000000006</v>
          </cell>
          <cell r="AA89">
            <v>37212.160000000003</v>
          </cell>
          <cell r="AB89">
            <v>41509.18</v>
          </cell>
          <cell r="AC89">
            <v>22240.799999999999</v>
          </cell>
          <cell r="AF89">
            <v>161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195252</v>
          </cell>
        </row>
        <row r="90">
          <cell r="A90">
            <v>90</v>
          </cell>
          <cell r="B90">
            <v>7048</v>
          </cell>
          <cell r="C90" t="str">
            <v xml:space="preserve">   300</v>
          </cell>
          <cell r="D90" t="str">
            <v>Upkeep Of Motor Vehicles</v>
          </cell>
          <cell r="F90">
            <v>7629.46</v>
          </cell>
          <cell r="T90">
            <v>11357.14</v>
          </cell>
          <cell r="U90">
            <v>24</v>
          </cell>
          <cell r="V90">
            <v>635.15</v>
          </cell>
          <cell r="W90">
            <v>286</v>
          </cell>
          <cell r="Z90">
            <v>8069.78</v>
          </cell>
          <cell r="AA90">
            <v>10516.8</v>
          </cell>
          <cell r="AB90">
            <v>8755.65</v>
          </cell>
          <cell r="AF90">
            <v>810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48084</v>
          </cell>
        </row>
        <row r="91">
          <cell r="A91">
            <v>91</v>
          </cell>
          <cell r="B91">
            <v>7038</v>
          </cell>
          <cell r="C91" t="str">
            <v xml:space="preserve">   301</v>
          </cell>
          <cell r="D91" t="str">
            <v>Upkeep of Office</v>
          </cell>
          <cell r="F91">
            <v>362.69</v>
          </cell>
          <cell r="T91">
            <v>60</v>
          </cell>
          <cell r="AF91">
            <v>2335.79</v>
          </cell>
          <cell r="AG91">
            <v>781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3539</v>
          </cell>
        </row>
        <row r="92">
          <cell r="A92">
            <v>92</v>
          </cell>
        </row>
        <row r="93">
          <cell r="A93">
            <v>93</v>
          </cell>
          <cell r="F93" t="str">
            <v>-</v>
          </cell>
          <cell r="G93" t="str">
            <v>-</v>
          </cell>
          <cell r="H93" t="str">
            <v>-</v>
          </cell>
          <cell r="I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 t="str">
            <v>-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T93" t="str">
            <v>-</v>
          </cell>
        </row>
        <row r="94">
          <cell r="A94">
            <v>94</v>
          </cell>
          <cell r="D94" t="str">
            <v>Lease, Upkeep &amp; Transport</v>
          </cell>
          <cell r="F94">
            <v>1011572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500</v>
          </cell>
          <cell r="Q94">
            <v>888</v>
          </cell>
          <cell r="R94">
            <v>0</v>
          </cell>
          <cell r="S94">
            <v>0</v>
          </cell>
          <cell r="T94">
            <v>50947</v>
          </cell>
          <cell r="U94">
            <v>12165</v>
          </cell>
          <cell r="V94">
            <v>635</v>
          </cell>
          <cell r="W94">
            <v>286</v>
          </cell>
          <cell r="X94">
            <v>396</v>
          </cell>
          <cell r="Y94">
            <v>-16529</v>
          </cell>
          <cell r="Z94">
            <v>119864</v>
          </cell>
          <cell r="AA94">
            <v>355362</v>
          </cell>
          <cell r="AB94">
            <v>265130</v>
          </cell>
          <cell r="AC94">
            <v>37926</v>
          </cell>
          <cell r="AD94">
            <v>0</v>
          </cell>
          <cell r="AE94">
            <v>0</v>
          </cell>
          <cell r="AF94">
            <v>10129</v>
          </cell>
          <cell r="AG94">
            <v>961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T94">
            <v>1850232</v>
          </cell>
        </row>
        <row r="95">
          <cell r="A95">
            <v>95</v>
          </cell>
          <cell r="F95" t="str">
            <v>-</v>
          </cell>
          <cell r="G95" t="str">
            <v>-</v>
          </cell>
          <cell r="H95" t="str">
            <v>-</v>
          </cell>
          <cell r="I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 t="str">
            <v>-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T95" t="str">
            <v>-</v>
          </cell>
        </row>
        <row r="96">
          <cell r="A96">
            <v>96</v>
          </cell>
        </row>
        <row r="97">
          <cell r="A97">
            <v>97</v>
          </cell>
          <cell r="C97" t="str">
            <v xml:space="preserve"> </v>
          </cell>
        </row>
        <row r="98">
          <cell r="A98">
            <v>98</v>
          </cell>
          <cell r="C98" t="str">
            <v>5</v>
          </cell>
          <cell r="D98" t="str">
            <v>Site Overheads :</v>
          </cell>
        </row>
        <row r="99">
          <cell r="A99">
            <v>99</v>
          </cell>
        </row>
        <row r="100">
          <cell r="A100">
            <v>100</v>
          </cell>
          <cell r="B100">
            <v>7023</v>
          </cell>
          <cell r="D100" t="str">
            <v>Accomodation</v>
          </cell>
          <cell r="F100">
            <v>558.6</v>
          </cell>
          <cell r="T100">
            <v>1297.0999999999999</v>
          </cell>
          <cell r="V100">
            <v>210</v>
          </cell>
          <cell r="W100">
            <v>210</v>
          </cell>
          <cell r="Z100">
            <v>572</v>
          </cell>
          <cell r="AA100">
            <v>50</v>
          </cell>
          <cell r="AB100">
            <v>50</v>
          </cell>
          <cell r="AF100">
            <v>253.85</v>
          </cell>
          <cell r="AG100">
            <v>300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3502</v>
          </cell>
        </row>
        <row r="101">
          <cell r="A101">
            <v>101</v>
          </cell>
          <cell r="B101">
            <v>7002</v>
          </cell>
          <cell r="D101" t="str">
            <v>Advertisement</v>
          </cell>
          <cell r="F101">
            <v>1042.54</v>
          </cell>
          <cell r="Z101">
            <v>67.2</v>
          </cell>
          <cell r="AA101">
            <v>67.2</v>
          </cell>
          <cell r="AB101">
            <v>67.2</v>
          </cell>
          <cell r="AT101">
            <v>1244</v>
          </cell>
        </row>
        <row r="102">
          <cell r="A102">
            <v>102</v>
          </cell>
          <cell r="B102">
            <v>7000</v>
          </cell>
          <cell r="D102" t="str">
            <v>Air Tickets</v>
          </cell>
          <cell r="F102">
            <v>23674.5</v>
          </cell>
          <cell r="T102">
            <v>990</v>
          </cell>
          <cell r="AA102">
            <v>344</v>
          </cell>
          <cell r="AB102">
            <v>174</v>
          </cell>
          <cell r="AT102">
            <v>25183</v>
          </cell>
        </row>
        <row r="103">
          <cell r="A103">
            <v>103</v>
          </cell>
          <cell r="B103">
            <v>7061</v>
          </cell>
          <cell r="D103" t="str">
            <v>Assessment &amp; Quit Rent</v>
          </cell>
          <cell r="AT103">
            <v>0</v>
          </cell>
        </row>
        <row r="104">
          <cell r="A104">
            <v>104</v>
          </cell>
          <cell r="B104">
            <v>7300</v>
          </cell>
          <cell r="D104" t="str">
            <v>Bad Debts Written Off</v>
          </cell>
          <cell r="AT104">
            <v>0</v>
          </cell>
        </row>
        <row r="105">
          <cell r="A105">
            <v>105</v>
          </cell>
          <cell r="D105" t="str">
            <v>Commit/Facility Fee</v>
          </cell>
          <cell r="AT105">
            <v>0</v>
          </cell>
        </row>
        <row r="106">
          <cell r="A106">
            <v>106</v>
          </cell>
          <cell r="B106">
            <v>7022</v>
          </cell>
          <cell r="C106" t="str">
            <v xml:space="preserve">   201</v>
          </cell>
          <cell r="D106" t="str">
            <v>Consumable Equipment &amp; Tools</v>
          </cell>
          <cell r="AT106">
            <v>0</v>
          </cell>
        </row>
        <row r="107">
          <cell r="A107">
            <v>107</v>
          </cell>
          <cell r="D107" t="str">
            <v>Documentaion &amp; Searching Fees</v>
          </cell>
          <cell r="AT107">
            <v>0</v>
          </cell>
        </row>
        <row r="108">
          <cell r="A108">
            <v>108</v>
          </cell>
          <cell r="B108">
            <v>7028</v>
          </cell>
          <cell r="C108" t="str">
            <v xml:space="preserve">   310</v>
          </cell>
          <cell r="D108" t="str">
            <v>Drawing Fees</v>
          </cell>
          <cell r="AT108">
            <v>0</v>
          </cell>
        </row>
        <row r="109">
          <cell r="A109">
            <v>109</v>
          </cell>
          <cell r="B109">
            <v>7010</v>
          </cell>
          <cell r="C109">
            <v>434</v>
          </cell>
          <cell r="D109" t="str">
            <v>Electricity</v>
          </cell>
          <cell r="F109">
            <v>5726.75</v>
          </cell>
          <cell r="T109">
            <v>60</v>
          </cell>
          <cell r="AG109">
            <v>412.54</v>
          </cell>
          <cell r="AT109">
            <v>6199</v>
          </cell>
        </row>
        <row r="110">
          <cell r="A110">
            <v>110</v>
          </cell>
          <cell r="C110">
            <v>418</v>
          </cell>
          <cell r="D110" t="str">
            <v>Entertainment</v>
          </cell>
          <cell r="AT110">
            <v>0</v>
          </cell>
        </row>
        <row r="111">
          <cell r="A111">
            <v>111</v>
          </cell>
          <cell r="B111">
            <v>7015</v>
          </cell>
          <cell r="D111" t="str">
            <v>Fines &amp; Penalty</v>
          </cell>
          <cell r="AT111">
            <v>0</v>
          </cell>
        </row>
        <row r="112">
          <cell r="A112">
            <v>112</v>
          </cell>
          <cell r="D112" t="str">
            <v>Food &amp; Refreshment</v>
          </cell>
          <cell r="AT112">
            <v>0</v>
          </cell>
        </row>
        <row r="113">
          <cell r="A113">
            <v>113</v>
          </cell>
          <cell r="B113">
            <v>7018</v>
          </cell>
          <cell r="D113" t="str">
            <v>Forwarding Charges</v>
          </cell>
          <cell r="AT113">
            <v>0</v>
          </cell>
        </row>
        <row r="114">
          <cell r="A114">
            <v>114</v>
          </cell>
          <cell r="B114">
            <v>7021</v>
          </cell>
          <cell r="D114" t="str">
            <v>Gases</v>
          </cell>
          <cell r="T114">
            <v>1389.5</v>
          </cell>
          <cell r="Z114">
            <v>109.5</v>
          </cell>
          <cell r="AA114">
            <v>1985.5</v>
          </cell>
          <cell r="AB114">
            <v>215.5</v>
          </cell>
          <cell r="AF114">
            <v>134.68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3835</v>
          </cell>
        </row>
        <row r="115">
          <cell r="A115">
            <v>115</v>
          </cell>
          <cell r="B115">
            <v>7020</v>
          </cell>
          <cell r="C115" t="str">
            <v xml:space="preserve">   216</v>
          </cell>
          <cell r="D115" t="str">
            <v>Gift, Donation &amp; Condolence</v>
          </cell>
          <cell r="F115">
            <v>1300</v>
          </cell>
          <cell r="U115">
            <v>500</v>
          </cell>
          <cell r="AG115">
            <v>500</v>
          </cell>
          <cell r="AT115">
            <v>2300</v>
          </cell>
        </row>
        <row r="116">
          <cell r="A116">
            <v>116</v>
          </cell>
          <cell r="B116">
            <v>7026</v>
          </cell>
          <cell r="C116" t="str">
            <v xml:space="preserve">   234</v>
          </cell>
          <cell r="D116" t="str">
            <v>Insurance</v>
          </cell>
          <cell r="F116">
            <v>21585.05</v>
          </cell>
          <cell r="R116">
            <v>2298.75</v>
          </cell>
          <cell r="T116">
            <v>5953.31</v>
          </cell>
          <cell r="X116">
            <v>3689.13</v>
          </cell>
          <cell r="Z116">
            <v>3041.63</v>
          </cell>
          <cell r="AA116">
            <v>2423.8000000000002</v>
          </cell>
          <cell r="AB116">
            <v>2341.59</v>
          </cell>
          <cell r="AG116">
            <v>11742.93</v>
          </cell>
          <cell r="AT116">
            <v>53076</v>
          </cell>
        </row>
        <row r="117">
          <cell r="A117">
            <v>117</v>
          </cell>
          <cell r="B117">
            <v>7030</v>
          </cell>
          <cell r="D117" t="str">
            <v>Licence &amp; Business Registration</v>
          </cell>
          <cell r="F117">
            <v>1609</v>
          </cell>
          <cell r="AT117">
            <v>1609</v>
          </cell>
        </row>
        <row r="118">
          <cell r="A118">
            <v>118</v>
          </cell>
          <cell r="D118" t="str">
            <v>Liquidated Damages</v>
          </cell>
          <cell r="AT118">
            <v>0</v>
          </cell>
        </row>
        <row r="119">
          <cell r="A119">
            <v>119</v>
          </cell>
          <cell r="D119" t="str">
            <v>Listing Charges</v>
          </cell>
          <cell r="AT119">
            <v>0</v>
          </cell>
        </row>
        <row r="120">
          <cell r="A120">
            <v>120</v>
          </cell>
          <cell r="B120">
            <v>7301</v>
          </cell>
          <cell r="D120" t="str">
            <v>Loss On Disposal</v>
          </cell>
          <cell r="AT120">
            <v>0</v>
          </cell>
        </row>
        <row r="121">
          <cell r="A121">
            <v>121</v>
          </cell>
          <cell r="B121">
            <v>7035</v>
          </cell>
          <cell r="C121" t="str">
            <v xml:space="preserve">   246</v>
          </cell>
          <cell r="D121" t="str">
            <v>Medical Expenses</v>
          </cell>
          <cell r="F121">
            <v>346</v>
          </cell>
          <cell r="T121">
            <v>259</v>
          </cell>
          <cell r="Z121">
            <v>914.26</v>
          </cell>
          <cell r="AA121">
            <v>139.97999999999999</v>
          </cell>
          <cell r="AB121">
            <v>182.76</v>
          </cell>
          <cell r="AF121">
            <v>34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1876</v>
          </cell>
        </row>
        <row r="122">
          <cell r="A122">
            <v>122</v>
          </cell>
          <cell r="B122">
            <v>7036</v>
          </cell>
          <cell r="D122" t="str">
            <v>Membership Subscription Fee</v>
          </cell>
          <cell r="F122">
            <v>221.71</v>
          </cell>
          <cell r="AT122">
            <v>222</v>
          </cell>
        </row>
        <row r="123">
          <cell r="A123">
            <v>123</v>
          </cell>
          <cell r="B123">
            <v>7034</v>
          </cell>
          <cell r="D123" t="str">
            <v>Messing</v>
          </cell>
          <cell r="F123">
            <v>12027.1</v>
          </cell>
          <cell r="P123">
            <v>8.1999999999999993</v>
          </cell>
          <cell r="T123">
            <v>4275.8900000000003</v>
          </cell>
          <cell r="U123">
            <v>266.89999999999998</v>
          </cell>
          <cell r="V123">
            <v>689.2</v>
          </cell>
          <cell r="W123">
            <v>954.5</v>
          </cell>
          <cell r="X123">
            <v>316.8</v>
          </cell>
          <cell r="Y123">
            <v>878.55</v>
          </cell>
          <cell r="Z123">
            <v>3227.88</v>
          </cell>
          <cell r="AA123">
            <v>492.6</v>
          </cell>
          <cell r="AB123">
            <v>1328.85</v>
          </cell>
          <cell r="AC123">
            <v>10.9</v>
          </cell>
          <cell r="AF123">
            <v>1663.01</v>
          </cell>
          <cell r="AG123">
            <v>1805.27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27946</v>
          </cell>
        </row>
        <row r="124">
          <cell r="A124">
            <v>124</v>
          </cell>
          <cell r="B124">
            <v>7037</v>
          </cell>
          <cell r="C124" t="str">
            <v xml:space="preserve">   253</v>
          </cell>
          <cell r="D124" t="str">
            <v>Newspaper &amp; Periodicals</v>
          </cell>
          <cell r="F124">
            <v>374.8</v>
          </cell>
          <cell r="AT124">
            <v>375</v>
          </cell>
        </row>
        <row r="125">
          <cell r="A125">
            <v>125</v>
          </cell>
          <cell r="B125">
            <v>7049</v>
          </cell>
          <cell r="D125" t="str">
            <v>Parking Fee</v>
          </cell>
          <cell r="F125">
            <v>142</v>
          </cell>
          <cell r="T125">
            <v>141.30000000000001</v>
          </cell>
          <cell r="U125">
            <v>10</v>
          </cell>
          <cell r="V125">
            <v>0.5</v>
          </cell>
          <cell r="W125">
            <v>0.5</v>
          </cell>
          <cell r="Z125">
            <v>49.5</v>
          </cell>
          <cell r="AA125">
            <v>21.65</v>
          </cell>
          <cell r="AB125">
            <v>21.65</v>
          </cell>
          <cell r="AF125">
            <v>0.63</v>
          </cell>
          <cell r="AG125">
            <v>10.44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398</v>
          </cell>
        </row>
        <row r="126">
          <cell r="A126">
            <v>126</v>
          </cell>
          <cell r="B126">
            <v>7041</v>
          </cell>
          <cell r="C126" t="str">
            <v xml:space="preserve">   202</v>
          </cell>
          <cell r="D126" t="str">
            <v>Postage, Stamp &amp; Courier Charges</v>
          </cell>
          <cell r="F126">
            <v>3376</v>
          </cell>
          <cell r="T126">
            <v>39.1</v>
          </cell>
          <cell r="AG126">
            <v>5</v>
          </cell>
          <cell r="AT126">
            <v>3420</v>
          </cell>
        </row>
        <row r="127">
          <cell r="A127">
            <v>127</v>
          </cell>
          <cell r="B127">
            <v>7042</v>
          </cell>
          <cell r="C127" t="str">
            <v xml:space="preserve">   269</v>
          </cell>
          <cell r="D127" t="str">
            <v>Printing &amp; Stationery</v>
          </cell>
          <cell r="F127">
            <v>2234.11</v>
          </cell>
          <cell r="Q127">
            <v>58</v>
          </cell>
          <cell r="T127">
            <v>435.55</v>
          </cell>
          <cell r="U127">
            <v>49.9</v>
          </cell>
          <cell r="V127">
            <v>16.100000000000001</v>
          </cell>
          <cell r="W127">
            <v>71.099999999999994</v>
          </cell>
          <cell r="X127">
            <v>55.95</v>
          </cell>
          <cell r="Z127">
            <v>247.8</v>
          </cell>
          <cell r="AA127">
            <v>248.91</v>
          </cell>
          <cell r="AB127">
            <v>136.5</v>
          </cell>
          <cell r="AF127">
            <v>199.55</v>
          </cell>
          <cell r="AG127">
            <v>650.08000000000004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4404</v>
          </cell>
        </row>
        <row r="128">
          <cell r="A128">
            <v>128</v>
          </cell>
          <cell r="D128" t="str">
            <v>Professional Fees</v>
          </cell>
          <cell r="AT128">
            <v>0</v>
          </cell>
        </row>
        <row r="129">
          <cell r="A129">
            <v>129</v>
          </cell>
          <cell r="D129" t="str">
            <v>Registration fee</v>
          </cell>
          <cell r="AT129">
            <v>0</v>
          </cell>
        </row>
        <row r="130">
          <cell r="A130">
            <v>130</v>
          </cell>
          <cell r="D130" t="str">
            <v>Renovation Works</v>
          </cell>
          <cell r="AT130">
            <v>0</v>
          </cell>
        </row>
        <row r="131">
          <cell r="A131">
            <v>131</v>
          </cell>
          <cell r="B131">
            <v>7043</v>
          </cell>
          <cell r="D131" t="str">
            <v>Rental</v>
          </cell>
          <cell r="F131">
            <v>13570</v>
          </cell>
          <cell r="AT131">
            <v>13570</v>
          </cell>
        </row>
        <row r="132">
          <cell r="A132">
            <v>132</v>
          </cell>
          <cell r="B132">
            <v>7046</v>
          </cell>
          <cell r="C132" t="str">
            <v xml:space="preserve">   252</v>
          </cell>
          <cell r="D132" t="str">
            <v>Road Tax &amp; Permit</v>
          </cell>
          <cell r="F132">
            <v>8094.7</v>
          </cell>
          <cell r="Z132">
            <v>131.6</v>
          </cell>
          <cell r="AA132">
            <v>197.8</v>
          </cell>
          <cell r="AB132">
            <v>196.6</v>
          </cell>
          <cell r="AG132">
            <v>53</v>
          </cell>
          <cell r="AT132">
            <v>8674</v>
          </cell>
        </row>
        <row r="133">
          <cell r="A133">
            <v>133</v>
          </cell>
          <cell r="B133">
            <v>7062</v>
          </cell>
          <cell r="C133" t="str">
            <v xml:space="preserve">   279</v>
          </cell>
          <cell r="D133" t="str">
            <v>Security Charges</v>
          </cell>
          <cell r="AT133">
            <v>0</v>
          </cell>
        </row>
        <row r="134">
          <cell r="A134">
            <v>134</v>
          </cell>
          <cell r="C134" t="str">
            <v xml:space="preserve">   273</v>
          </cell>
          <cell r="D134" t="str">
            <v>Site House Rental</v>
          </cell>
          <cell r="AT134">
            <v>0</v>
          </cell>
        </row>
        <row r="135">
          <cell r="A135">
            <v>135</v>
          </cell>
          <cell r="B135">
            <v>7052</v>
          </cell>
          <cell r="C135" t="str">
            <v xml:space="preserve">   284</v>
          </cell>
          <cell r="D135" t="str">
            <v>Sundry Expenses</v>
          </cell>
          <cell r="AT135">
            <v>0</v>
          </cell>
        </row>
        <row r="136">
          <cell r="A136">
            <v>136</v>
          </cell>
          <cell r="B136">
            <v>7053</v>
          </cell>
          <cell r="C136">
            <v>566</v>
          </cell>
          <cell r="D136" t="str">
            <v>Survey Fee</v>
          </cell>
          <cell r="AT136">
            <v>0</v>
          </cell>
        </row>
        <row r="137">
          <cell r="A137">
            <v>137</v>
          </cell>
          <cell r="D137" t="str">
            <v>Tax</v>
          </cell>
          <cell r="AT137">
            <v>0</v>
          </cell>
        </row>
        <row r="138">
          <cell r="A138">
            <v>138</v>
          </cell>
          <cell r="B138">
            <v>7055</v>
          </cell>
          <cell r="C138" t="str">
            <v xml:space="preserve">   287</v>
          </cell>
          <cell r="D138" t="str">
            <v>Telephone &amp; Fax Charges</v>
          </cell>
          <cell r="F138">
            <v>24837.42</v>
          </cell>
          <cell r="T138">
            <v>1361.85</v>
          </cell>
          <cell r="Z138">
            <v>52.1</v>
          </cell>
          <cell r="AA138">
            <v>55.7</v>
          </cell>
          <cell r="AB138">
            <v>54.9</v>
          </cell>
          <cell r="AF138">
            <v>634.04</v>
          </cell>
          <cell r="AG138">
            <v>3814.52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30811</v>
          </cell>
        </row>
        <row r="139">
          <cell r="A139">
            <v>139</v>
          </cell>
          <cell r="B139">
            <v>7059</v>
          </cell>
          <cell r="C139">
            <v>576</v>
          </cell>
          <cell r="D139" t="str">
            <v>Tender Document &amp; Expenses</v>
          </cell>
          <cell r="F139">
            <v>4380</v>
          </cell>
          <cell r="AT139">
            <v>4380</v>
          </cell>
        </row>
        <row r="140">
          <cell r="A140">
            <v>140</v>
          </cell>
          <cell r="B140">
            <v>7060</v>
          </cell>
          <cell r="C140" t="str">
            <v xml:space="preserve">   292</v>
          </cell>
          <cell r="D140" t="str">
            <v>Testing Fee (Cube)</v>
          </cell>
          <cell r="T140">
            <v>-554</v>
          </cell>
          <cell r="AT140">
            <v>-554</v>
          </cell>
        </row>
        <row r="141">
          <cell r="A141">
            <v>141</v>
          </cell>
          <cell r="B141">
            <v>7056</v>
          </cell>
          <cell r="D141" t="str">
            <v>Tol Fee</v>
          </cell>
          <cell r="F141">
            <v>115</v>
          </cell>
          <cell r="Z141">
            <v>14.2</v>
          </cell>
          <cell r="AA141">
            <v>14.4</v>
          </cell>
          <cell r="AB141">
            <v>14.2</v>
          </cell>
          <cell r="AF141">
            <v>5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163</v>
          </cell>
        </row>
        <row r="142">
          <cell r="A142">
            <v>142</v>
          </cell>
          <cell r="B142">
            <v>7057</v>
          </cell>
          <cell r="C142" t="str">
            <v xml:space="preserve">   290</v>
          </cell>
          <cell r="D142" t="str">
            <v>Travelling Expenses</v>
          </cell>
          <cell r="F142">
            <v>139.1</v>
          </cell>
          <cell r="T142">
            <v>76.5</v>
          </cell>
          <cell r="V142">
            <v>53</v>
          </cell>
          <cell r="W142">
            <v>53</v>
          </cell>
          <cell r="AB142">
            <v>10</v>
          </cell>
          <cell r="AT142">
            <v>332</v>
          </cell>
        </row>
        <row r="143">
          <cell r="A143">
            <v>143</v>
          </cell>
          <cell r="B143">
            <v>7063</v>
          </cell>
          <cell r="D143" t="str">
            <v>Unloading Charges</v>
          </cell>
          <cell r="T143">
            <v>30</v>
          </cell>
          <cell r="AT143">
            <v>30</v>
          </cell>
        </row>
        <row r="144">
          <cell r="A144">
            <v>144</v>
          </cell>
          <cell r="D144" t="str">
            <v>Upkeep Of Office Equipment</v>
          </cell>
          <cell r="AT144">
            <v>0</v>
          </cell>
        </row>
        <row r="145">
          <cell r="A145">
            <v>145</v>
          </cell>
          <cell r="D145" t="str">
            <v>Upkeep Of Survey Instrument</v>
          </cell>
          <cell r="AT145">
            <v>0</v>
          </cell>
        </row>
        <row r="146">
          <cell r="A146">
            <v>146</v>
          </cell>
          <cell r="D146" t="str">
            <v>Video/Film &amp; Processing</v>
          </cell>
          <cell r="F146">
            <v>1216.3499999999999</v>
          </cell>
          <cell r="AT146">
            <v>1216</v>
          </cell>
        </row>
        <row r="147">
          <cell r="A147">
            <v>147</v>
          </cell>
          <cell r="B147">
            <v>7065</v>
          </cell>
          <cell r="D147" t="str">
            <v>Water Charges</v>
          </cell>
          <cell r="AT147">
            <v>0</v>
          </cell>
        </row>
        <row r="148">
          <cell r="A148">
            <v>148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T148" t="str">
            <v>-</v>
          </cell>
        </row>
        <row r="149">
          <cell r="A149">
            <v>149</v>
          </cell>
          <cell r="D149" t="str">
            <v>Site Overheads :</v>
          </cell>
          <cell r="F149">
            <v>126571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8</v>
          </cell>
          <cell r="Q149">
            <v>58</v>
          </cell>
          <cell r="R149">
            <v>2299</v>
          </cell>
          <cell r="S149">
            <v>0</v>
          </cell>
          <cell r="T149">
            <v>15755</v>
          </cell>
          <cell r="U149">
            <v>827</v>
          </cell>
          <cell r="V149">
            <v>969</v>
          </cell>
          <cell r="W149">
            <v>1289</v>
          </cell>
          <cell r="X149">
            <v>4062</v>
          </cell>
          <cell r="Y149">
            <v>879</v>
          </cell>
          <cell r="Z149">
            <v>8428</v>
          </cell>
          <cell r="AA149">
            <v>6042</v>
          </cell>
          <cell r="AB149">
            <v>4794</v>
          </cell>
          <cell r="AC149">
            <v>11</v>
          </cell>
          <cell r="AD149">
            <v>0</v>
          </cell>
          <cell r="AE149">
            <v>0</v>
          </cell>
          <cell r="AF149">
            <v>2925</v>
          </cell>
          <cell r="AG149">
            <v>19294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T149">
            <v>194211</v>
          </cell>
        </row>
        <row r="150">
          <cell r="A150">
            <v>150</v>
          </cell>
          <cell r="F150" t="str">
            <v>-</v>
          </cell>
          <cell r="G150" t="str">
            <v>-</v>
          </cell>
          <cell r="H150" t="str">
            <v>-</v>
          </cell>
          <cell r="I150" t="str">
            <v>-</v>
          </cell>
          <cell r="J150" t="str">
            <v>-</v>
          </cell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T150" t="str">
            <v>-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  <cell r="C153" t="str">
            <v xml:space="preserve"> </v>
          </cell>
        </row>
        <row r="154">
          <cell r="A154">
            <v>154</v>
          </cell>
          <cell r="C154" t="str">
            <v>6</v>
          </cell>
          <cell r="D154" t="str">
            <v xml:space="preserve">Other Admin Expenses </v>
          </cell>
        </row>
        <row r="155">
          <cell r="A155">
            <v>155</v>
          </cell>
        </row>
        <row r="156">
          <cell r="A156">
            <v>156</v>
          </cell>
          <cell r="B156">
            <v>7004</v>
          </cell>
          <cell r="C156">
            <v>412</v>
          </cell>
          <cell r="D156" t="str">
            <v>Audit Fee</v>
          </cell>
          <cell r="F156">
            <v>7500</v>
          </cell>
          <cell r="AT156">
            <v>7500</v>
          </cell>
        </row>
        <row r="157">
          <cell r="A157">
            <v>157</v>
          </cell>
          <cell r="B157">
            <v>7005</v>
          </cell>
          <cell r="C157">
            <v>422</v>
          </cell>
          <cell r="D157" t="str">
            <v>Bank Charges</v>
          </cell>
          <cell r="F157">
            <v>3288.1</v>
          </cell>
          <cell r="Z157">
            <v>0.7</v>
          </cell>
          <cell r="AB157">
            <v>0.6</v>
          </cell>
          <cell r="AT157">
            <v>3289</v>
          </cell>
        </row>
        <row r="158">
          <cell r="A158">
            <v>158</v>
          </cell>
          <cell r="B158">
            <v>7019</v>
          </cell>
          <cell r="C158">
            <v>424</v>
          </cell>
          <cell r="D158" t="str">
            <v>Bank Guarantee Comm/Charges</v>
          </cell>
          <cell r="F158">
            <v>482</v>
          </cell>
          <cell r="Y158">
            <v>446.55</v>
          </cell>
          <cell r="AG158">
            <v>7063.53</v>
          </cell>
          <cell r="AT158">
            <v>7992</v>
          </cell>
        </row>
        <row r="159">
          <cell r="A159">
            <v>159</v>
          </cell>
          <cell r="B159">
            <v>7006</v>
          </cell>
          <cell r="D159" t="str">
            <v>Bank Interest</v>
          </cell>
          <cell r="F159">
            <v>5400</v>
          </cell>
          <cell r="AT159">
            <v>5400</v>
          </cell>
        </row>
        <row r="160">
          <cell r="A160">
            <v>160</v>
          </cell>
          <cell r="B160">
            <v>7080</v>
          </cell>
          <cell r="C160">
            <v>410</v>
          </cell>
          <cell r="D160" t="str">
            <v>Director Remuneration</v>
          </cell>
          <cell r="F160">
            <v>60000</v>
          </cell>
          <cell r="AT160">
            <v>60000</v>
          </cell>
        </row>
        <row r="161">
          <cell r="A161">
            <v>161</v>
          </cell>
          <cell r="B161">
            <v>7015</v>
          </cell>
          <cell r="C161">
            <v>700</v>
          </cell>
          <cell r="D161" t="str">
            <v>Filing &amp; Attestation Fees</v>
          </cell>
          <cell r="F161">
            <v>6958.6</v>
          </cell>
          <cell r="AT161">
            <v>6959</v>
          </cell>
        </row>
        <row r="162">
          <cell r="A162">
            <v>162</v>
          </cell>
          <cell r="B162">
            <v>7090</v>
          </cell>
          <cell r="C162">
            <v>472</v>
          </cell>
          <cell r="D162" t="str">
            <v>Hire Purchase Interest</v>
          </cell>
          <cell r="F162">
            <v>8539.93</v>
          </cell>
          <cell r="AT162">
            <v>8540</v>
          </cell>
        </row>
        <row r="163">
          <cell r="A163">
            <v>163</v>
          </cell>
          <cell r="D163" t="str">
            <v>Lease Interest</v>
          </cell>
          <cell r="AT163">
            <v>0</v>
          </cell>
        </row>
        <row r="164">
          <cell r="A164">
            <v>164</v>
          </cell>
          <cell r="B164">
            <v>7054</v>
          </cell>
          <cell r="C164">
            <v>496</v>
          </cell>
          <cell r="D164" t="str">
            <v>Service Charges</v>
          </cell>
          <cell r="X164">
            <v>-8413.52</v>
          </cell>
          <cell r="Y164">
            <v>-7615.65</v>
          </cell>
          <cell r="AC164">
            <v>-1886.44</v>
          </cell>
          <cell r="AF164">
            <v>-32</v>
          </cell>
          <cell r="AG164">
            <v>-6996.75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-2200</v>
          </cell>
          <cell r="AR164">
            <v>0</v>
          </cell>
          <cell r="AS164">
            <v>0</v>
          </cell>
          <cell r="AT164">
            <v>-27144</v>
          </cell>
        </row>
        <row r="165">
          <cell r="A165">
            <v>165</v>
          </cell>
          <cell r="B165">
            <v>7066</v>
          </cell>
          <cell r="D165" t="str">
            <v>Stamp Duty</v>
          </cell>
          <cell r="AT165">
            <v>0</v>
          </cell>
        </row>
        <row r="166">
          <cell r="A166">
            <v>166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T166" t="str">
            <v>-</v>
          </cell>
        </row>
        <row r="167">
          <cell r="A167">
            <v>167</v>
          </cell>
          <cell r="F167">
            <v>92169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-8414</v>
          </cell>
          <cell r="Y167">
            <v>-7169</v>
          </cell>
          <cell r="Z167">
            <v>1</v>
          </cell>
          <cell r="AA167">
            <v>0</v>
          </cell>
          <cell r="AB167">
            <v>1</v>
          </cell>
          <cell r="AC167">
            <v>-1886</v>
          </cell>
          <cell r="AD167">
            <v>0</v>
          </cell>
          <cell r="AE167">
            <v>0</v>
          </cell>
          <cell r="AF167">
            <v>-32</v>
          </cell>
          <cell r="AG167">
            <v>67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-2200</v>
          </cell>
          <cell r="AR167">
            <v>0</v>
          </cell>
          <cell r="AT167">
            <v>72537</v>
          </cell>
        </row>
        <row r="168">
          <cell r="A168">
            <v>168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T168" t="str">
            <v>-</v>
          </cell>
        </row>
        <row r="169">
          <cell r="A169">
            <v>169</v>
          </cell>
        </row>
        <row r="170">
          <cell r="A170">
            <v>170</v>
          </cell>
          <cell r="C170" t="str">
            <v>7</v>
          </cell>
          <cell r="D170" t="str">
            <v>Other Income :</v>
          </cell>
        </row>
        <row r="171">
          <cell r="A171">
            <v>171</v>
          </cell>
        </row>
        <row r="172">
          <cell r="A172">
            <v>172</v>
          </cell>
          <cell r="D172" t="str">
            <v>Bonus Point</v>
          </cell>
          <cell r="AT172">
            <v>0</v>
          </cell>
        </row>
        <row r="173">
          <cell r="A173">
            <v>173</v>
          </cell>
          <cell r="B173">
            <v>4992</v>
          </cell>
          <cell r="C173">
            <v>616</v>
          </cell>
          <cell r="D173" t="str">
            <v>F.D. &amp; Repo Interest</v>
          </cell>
          <cell r="F173">
            <v>460.25</v>
          </cell>
          <cell r="AT173">
            <v>460</v>
          </cell>
        </row>
        <row r="174">
          <cell r="A174">
            <v>174</v>
          </cell>
          <cell r="B174">
            <v>4991</v>
          </cell>
          <cell r="C174">
            <v>476</v>
          </cell>
          <cell r="D174" t="str">
            <v>Gain On Disposal Of Asset</v>
          </cell>
          <cell r="F174">
            <v>37</v>
          </cell>
          <cell r="AT174">
            <v>37</v>
          </cell>
        </row>
        <row r="175">
          <cell r="A175">
            <v>175</v>
          </cell>
          <cell r="B175">
            <v>4624</v>
          </cell>
          <cell r="D175" t="str">
            <v>Hiring Of Machinery Received</v>
          </cell>
          <cell r="AC175">
            <v>288000</v>
          </cell>
          <cell r="AT175">
            <v>288000</v>
          </cell>
        </row>
        <row r="176">
          <cell r="A176">
            <v>176</v>
          </cell>
          <cell r="B176">
            <v>4500</v>
          </cell>
          <cell r="D176" t="str">
            <v>Sales</v>
          </cell>
          <cell r="F176">
            <v>39500</v>
          </cell>
          <cell r="AT176">
            <v>39500</v>
          </cell>
        </row>
        <row r="177">
          <cell r="A177">
            <v>177</v>
          </cell>
          <cell r="B177">
            <v>4990</v>
          </cell>
          <cell r="D177" t="str">
            <v>Sundry Income</v>
          </cell>
          <cell r="AT177">
            <v>0</v>
          </cell>
        </row>
        <row r="178">
          <cell r="A178">
            <v>178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T178" t="str">
            <v>-</v>
          </cell>
        </row>
        <row r="179">
          <cell r="A179">
            <v>179</v>
          </cell>
          <cell r="F179">
            <v>39997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288000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T179">
            <v>327997</v>
          </cell>
        </row>
        <row r="180">
          <cell r="A180">
            <v>180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T180" t="str">
            <v>-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  <cell r="F211" t="str">
            <v>PEMBINAAN TASJA SDN BHD</v>
          </cell>
        </row>
        <row r="212">
          <cell r="A212">
            <v>212</v>
          </cell>
          <cell r="F212" t="str">
            <v xml:space="preserve">Profit &amp; Loss Statement for </v>
          </cell>
        </row>
        <row r="213">
          <cell r="A213">
            <v>213</v>
          </cell>
          <cell r="F213" t="str">
            <v>Year Ending 31ST DECEMBER 1994</v>
          </cell>
        </row>
        <row r="214">
          <cell r="A214">
            <v>214</v>
          </cell>
          <cell r="F214" t="str">
            <v>FN :</v>
          </cell>
          <cell r="G214" t="str">
            <v>PTSB-P&amp;L</v>
          </cell>
        </row>
        <row r="215">
          <cell r="A215">
            <v>215</v>
          </cell>
        </row>
        <row r="216">
          <cell r="A216">
            <v>216</v>
          </cell>
          <cell r="D216" t="str">
            <v xml:space="preserve"> </v>
          </cell>
          <cell r="E216" t="str">
            <v xml:space="preserve"> </v>
          </cell>
        </row>
        <row r="217">
          <cell r="A217">
            <v>217</v>
          </cell>
          <cell r="C217" t="str">
            <v xml:space="preserve"> </v>
          </cell>
          <cell r="D217" t="str">
            <v xml:space="preserve"> </v>
          </cell>
          <cell r="F217" t="str">
            <v>H.Q.</v>
          </cell>
          <cell r="G217" t="str">
            <v>CENEH</v>
          </cell>
          <cell r="H217" t="str">
            <v>DURIAN</v>
          </cell>
          <cell r="I217" t="str">
            <v>FELDA</v>
          </cell>
          <cell r="J217" t="str">
            <v>MUKIM</v>
          </cell>
          <cell r="L217" t="str">
            <v>BT</v>
          </cell>
          <cell r="M217" t="str">
            <v>BT CAVES</v>
          </cell>
          <cell r="N217" t="str">
            <v>SAMPADI</v>
          </cell>
          <cell r="O217" t="str">
            <v>SAMPADI</v>
          </cell>
          <cell r="P217" t="str">
            <v>SAMPADI</v>
          </cell>
          <cell r="Q217" t="str">
            <v>SAMPADI</v>
          </cell>
          <cell r="R217" t="str">
            <v>SAMPADI</v>
          </cell>
          <cell r="S217" t="str">
            <v>SAMPADI</v>
          </cell>
          <cell r="U217" t="str">
            <v>SAMPADI</v>
          </cell>
          <cell r="X217" t="str">
            <v>SAMPADI</v>
          </cell>
          <cell r="Y217" t="str">
            <v>WATER</v>
          </cell>
          <cell r="Z217" t="str">
            <v>SAMPADI</v>
          </cell>
          <cell r="AA217" t="str">
            <v>SAMPADI</v>
          </cell>
          <cell r="AB217" t="str">
            <v>SAMPADI</v>
          </cell>
          <cell r="AT217" t="str">
            <v>GRAND</v>
          </cell>
        </row>
        <row r="218">
          <cell r="A218">
            <v>218</v>
          </cell>
          <cell r="F218" t="str">
            <v>OFFICE</v>
          </cell>
          <cell r="G218" t="str">
            <v>BARU</v>
          </cell>
          <cell r="H218" t="str">
            <v>MAS</v>
          </cell>
          <cell r="I218" t="str">
            <v>HQ</v>
          </cell>
          <cell r="J218" t="str">
            <v>PLENTONG</v>
          </cell>
          <cell r="K218" t="str">
            <v>UM</v>
          </cell>
          <cell r="L218" t="str">
            <v>CAVES</v>
          </cell>
          <cell r="M218" t="str">
            <v>FASA 2</v>
          </cell>
          <cell r="N218" t="str">
            <v>1</v>
          </cell>
          <cell r="O218" t="str">
            <v>3</v>
          </cell>
          <cell r="P218" t="str">
            <v>1A</v>
          </cell>
          <cell r="Q218" t="str">
            <v>2A</v>
          </cell>
          <cell r="R218" t="str">
            <v>3A</v>
          </cell>
          <cell r="S218" t="str">
            <v>6</v>
          </cell>
          <cell r="T218" t="str">
            <v>POM</v>
          </cell>
          <cell r="U218" t="str">
            <v>3B</v>
          </cell>
          <cell r="V218" t="str">
            <v>LAYAR</v>
          </cell>
          <cell r="W218" t="str">
            <v>ROBAN</v>
          </cell>
          <cell r="X218" t="str">
            <v>3C</v>
          </cell>
          <cell r="Y218" t="str">
            <v>SUPPLY</v>
          </cell>
          <cell r="Z218" t="str">
            <v>5</v>
          </cell>
          <cell r="AA218" t="str">
            <v>6A</v>
          </cell>
          <cell r="AB218" t="str">
            <v>4</v>
          </cell>
          <cell r="AC218" t="str">
            <v>BINA</v>
          </cell>
          <cell r="AD218" t="str">
            <v>EUROPLUS</v>
          </cell>
          <cell r="AE218" t="str">
            <v>LABUAN</v>
          </cell>
          <cell r="AF218" t="str">
            <v>PETRONAS</v>
          </cell>
          <cell r="AG218" t="str">
            <v>JAKAR</v>
          </cell>
          <cell r="AH218" t="str">
            <v>KESBAN</v>
          </cell>
          <cell r="AI218" t="str">
            <v>DM2</v>
          </cell>
          <cell r="AJ218" t="str">
            <v>P9B</v>
          </cell>
          <cell r="AK218" t="str">
            <v>ITM BOTA</v>
          </cell>
          <cell r="AL218" t="str">
            <v>TEPUS</v>
          </cell>
          <cell r="AM218" t="str">
            <v>JSEDC</v>
          </cell>
          <cell r="AN218" t="str">
            <v>MIEL III</v>
          </cell>
          <cell r="AO218" t="str">
            <v>KINRARA</v>
          </cell>
          <cell r="AP218" t="str">
            <v>UM2</v>
          </cell>
          <cell r="AQ218" t="str">
            <v>BANTING</v>
          </cell>
          <cell r="AR218" t="str">
            <v>POLYTECH</v>
          </cell>
          <cell r="AT218" t="str">
            <v>TOTAL</v>
          </cell>
        </row>
        <row r="219">
          <cell r="A219">
            <v>219</v>
          </cell>
          <cell r="F219" t="str">
            <v>[1000]</v>
          </cell>
          <cell r="G219" t="str">
            <v>[10]</v>
          </cell>
          <cell r="H219" t="str">
            <v>[20]</v>
          </cell>
          <cell r="I219" t="str">
            <v>[30]</v>
          </cell>
          <cell r="J219" t="str">
            <v>[40]</v>
          </cell>
          <cell r="K219" t="str">
            <v>[50]</v>
          </cell>
          <cell r="L219" t="str">
            <v>[60]</v>
          </cell>
          <cell r="M219" t="str">
            <v>[70]</v>
          </cell>
          <cell r="N219" t="str">
            <v>[300]</v>
          </cell>
          <cell r="O219" t="str">
            <v>[400]</v>
          </cell>
          <cell r="P219" t="str">
            <v>[500]</v>
          </cell>
          <cell r="Q219" t="str">
            <v>[600]</v>
          </cell>
          <cell r="R219" t="str">
            <v>[700]</v>
          </cell>
          <cell r="S219" t="str">
            <v>[800]</v>
          </cell>
          <cell r="T219" t="str">
            <v>[900]</v>
          </cell>
          <cell r="U219" t="str">
            <v>[1100]</v>
          </cell>
          <cell r="V219" t="str">
            <v>[1200]</v>
          </cell>
          <cell r="W219" t="str">
            <v>[1300]</v>
          </cell>
          <cell r="X219" t="str">
            <v>[1400]</v>
          </cell>
          <cell r="Y219" t="str">
            <v>[1500]</v>
          </cell>
          <cell r="Z219" t="str">
            <v>[1600]</v>
          </cell>
          <cell r="AA219" t="str">
            <v>[1700]</v>
          </cell>
          <cell r="AB219" t="str">
            <v>[1800]</v>
          </cell>
          <cell r="AC219" t="str">
            <v>[1900]</v>
          </cell>
          <cell r="AD219" t="str">
            <v>[2000]</v>
          </cell>
          <cell r="AE219" t="str">
            <v>[2100]</v>
          </cell>
          <cell r="AF219" t="str">
            <v>[2200]</v>
          </cell>
          <cell r="AG219" t="str">
            <v>[2300]</v>
          </cell>
          <cell r="AH219" t="str">
            <v>[2310]</v>
          </cell>
          <cell r="AI219" t="str">
            <v>[2320]</v>
          </cell>
          <cell r="AJ219" t="str">
            <v>[2330]</v>
          </cell>
          <cell r="AK219" t="str">
            <v>[2340]</v>
          </cell>
          <cell r="AL219" t="str">
            <v>[2350]</v>
          </cell>
          <cell r="AM219" t="str">
            <v>[2360]</v>
          </cell>
          <cell r="AN219" t="str">
            <v>[2370]</v>
          </cell>
          <cell r="AO219" t="str">
            <v>[2380]</v>
          </cell>
          <cell r="AP219" t="str">
            <v>[2390]</v>
          </cell>
          <cell r="AQ219" t="str">
            <v>[2400]</v>
          </cell>
          <cell r="AR219" t="str">
            <v>[2401]</v>
          </cell>
          <cell r="AT219" t="str">
            <v>RM</v>
          </cell>
        </row>
        <row r="220">
          <cell r="A220">
            <v>220</v>
          </cell>
        </row>
        <row r="221">
          <cell r="A221">
            <v>221</v>
          </cell>
          <cell r="F221" t="str">
            <v>RM</v>
          </cell>
          <cell r="G221" t="str">
            <v>RM</v>
          </cell>
          <cell r="H221" t="str">
            <v>RM</v>
          </cell>
          <cell r="I221" t="str">
            <v>RM</v>
          </cell>
          <cell r="J221" t="str">
            <v>RM</v>
          </cell>
          <cell r="K221" t="str">
            <v>RM</v>
          </cell>
          <cell r="L221" t="str">
            <v>RM</v>
          </cell>
          <cell r="M221" t="str">
            <v>RM</v>
          </cell>
          <cell r="N221" t="str">
            <v>RM</v>
          </cell>
          <cell r="O221" t="str">
            <v>RM</v>
          </cell>
          <cell r="P221" t="str">
            <v>RM</v>
          </cell>
          <cell r="Q221" t="str">
            <v>RM</v>
          </cell>
          <cell r="R221" t="str">
            <v>RM</v>
          </cell>
          <cell r="S221" t="str">
            <v>RM</v>
          </cell>
          <cell r="T221" t="str">
            <v>RM</v>
          </cell>
          <cell r="U221" t="str">
            <v>RM</v>
          </cell>
          <cell r="V221" t="str">
            <v>RM</v>
          </cell>
          <cell r="W221" t="str">
            <v>RM</v>
          </cell>
          <cell r="X221" t="str">
            <v>RM</v>
          </cell>
          <cell r="Y221" t="str">
            <v>RM</v>
          </cell>
          <cell r="Z221" t="str">
            <v>RM</v>
          </cell>
          <cell r="AA221" t="str">
            <v>RM</v>
          </cell>
          <cell r="AB221" t="str">
            <v>RM</v>
          </cell>
          <cell r="AC221" t="str">
            <v>RM</v>
          </cell>
          <cell r="AD221" t="str">
            <v>RM</v>
          </cell>
          <cell r="AE221" t="str">
            <v>RM</v>
          </cell>
          <cell r="AF221" t="str">
            <v>RM</v>
          </cell>
          <cell r="AG221" t="str">
            <v>RM</v>
          </cell>
          <cell r="AH221" t="str">
            <v>RM</v>
          </cell>
          <cell r="AI221" t="str">
            <v>RM</v>
          </cell>
          <cell r="AJ221" t="str">
            <v>RM</v>
          </cell>
          <cell r="AK221" t="str">
            <v>RM</v>
          </cell>
          <cell r="AL221" t="str">
            <v>RM</v>
          </cell>
          <cell r="AM221" t="str">
            <v>RM</v>
          </cell>
          <cell r="AN221" t="str">
            <v>RM</v>
          </cell>
          <cell r="AO221" t="str">
            <v>RM</v>
          </cell>
          <cell r="AP221" t="str">
            <v>RM</v>
          </cell>
          <cell r="AQ221" t="str">
            <v>RM</v>
          </cell>
          <cell r="AR221" t="str">
            <v>RM</v>
          </cell>
          <cell r="AT221" t="str">
            <v>RM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  <cell r="C224" t="str">
            <v>1</v>
          </cell>
          <cell r="D224" t="str">
            <v>Contract Revenue</v>
          </cell>
          <cell r="J224">
            <v>3514899</v>
          </cell>
          <cell r="K224">
            <v>4588908</v>
          </cell>
          <cell r="L224">
            <v>3853856</v>
          </cell>
          <cell r="Q224">
            <v>567473.79</v>
          </cell>
          <cell r="S224">
            <v>101240.95</v>
          </cell>
          <cell r="T224">
            <v>950417.01</v>
          </cell>
          <cell r="U224">
            <v>333786.03999999998</v>
          </cell>
          <cell r="X224">
            <v>352008</v>
          </cell>
          <cell r="Y224">
            <v>639649.25</v>
          </cell>
          <cell r="Z224">
            <v>1169850</v>
          </cell>
          <cell r="AA224">
            <v>2787432.35</v>
          </cell>
          <cell r="AB224">
            <v>2743834.17</v>
          </cell>
          <cell r="AD224">
            <v>2733784.36</v>
          </cell>
          <cell r="AE224">
            <v>919721.25000000012</v>
          </cell>
          <cell r="AT224">
            <v>25256860.169999994</v>
          </cell>
        </row>
        <row r="225">
          <cell r="A225">
            <v>225</v>
          </cell>
          <cell r="F225" t="str">
            <v xml:space="preserve"> </v>
          </cell>
          <cell r="G225" t="str">
            <v xml:space="preserve"> </v>
          </cell>
          <cell r="H225" t="str">
            <v xml:space="preserve"> </v>
          </cell>
          <cell r="I225" t="str">
            <v xml:space="preserve"> </v>
          </cell>
          <cell r="J225" t="str">
            <v xml:space="preserve"> </v>
          </cell>
          <cell r="K225" t="str">
            <v xml:space="preserve"> </v>
          </cell>
          <cell r="L225" t="str">
            <v xml:space="preserve"> </v>
          </cell>
          <cell r="P225" t="str">
            <v xml:space="preserve"> </v>
          </cell>
        </row>
        <row r="226">
          <cell r="A226">
            <v>226</v>
          </cell>
          <cell r="C226" t="str">
            <v>2</v>
          </cell>
          <cell r="D226" t="str">
            <v>Cost Of Construction :-</v>
          </cell>
        </row>
        <row r="227">
          <cell r="A227">
            <v>227</v>
          </cell>
        </row>
        <row r="228">
          <cell r="A228">
            <v>228</v>
          </cell>
          <cell r="C228" t="str">
            <v>A</v>
          </cell>
          <cell r="D228" t="str">
            <v>Opening WIP</v>
          </cell>
          <cell r="T228">
            <v>662451</v>
          </cell>
          <cell r="AT228">
            <v>662451</v>
          </cell>
        </row>
        <row r="229">
          <cell r="A229">
            <v>229</v>
          </cell>
          <cell r="C229" t="str">
            <v>B</v>
          </cell>
          <cell r="D229" t="str">
            <v>Direct Materials :</v>
          </cell>
          <cell r="F229">
            <v>2415284</v>
          </cell>
          <cell r="G229">
            <v>0</v>
          </cell>
          <cell r="H229">
            <v>0</v>
          </cell>
          <cell r="I229">
            <v>-284748</v>
          </cell>
          <cell r="J229">
            <v>1990412</v>
          </cell>
          <cell r="K229">
            <v>2263779</v>
          </cell>
          <cell r="L229">
            <v>1978234</v>
          </cell>
          <cell r="M229">
            <v>0</v>
          </cell>
          <cell r="N229">
            <v>0</v>
          </cell>
          <cell r="O229">
            <v>0</v>
          </cell>
          <cell r="P229">
            <v>304</v>
          </cell>
          <cell r="Q229">
            <v>3149</v>
          </cell>
          <cell r="R229">
            <v>0</v>
          </cell>
          <cell r="S229">
            <v>-2968</v>
          </cell>
          <cell r="T229">
            <v>196199</v>
          </cell>
          <cell r="U229">
            <v>10043</v>
          </cell>
          <cell r="V229">
            <v>3266</v>
          </cell>
          <cell r="W229">
            <v>3266</v>
          </cell>
          <cell r="X229">
            <v>-1729</v>
          </cell>
          <cell r="Y229">
            <v>-6019</v>
          </cell>
          <cell r="Z229">
            <v>1166928</v>
          </cell>
          <cell r="AA229">
            <v>-871726</v>
          </cell>
          <cell r="AB229">
            <v>1102120</v>
          </cell>
          <cell r="AC229">
            <v>-15955</v>
          </cell>
          <cell r="AD229">
            <v>0</v>
          </cell>
          <cell r="AE229">
            <v>76608</v>
          </cell>
          <cell r="AF229">
            <v>95561</v>
          </cell>
          <cell r="AG229">
            <v>4859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T229">
            <v>10126867</v>
          </cell>
        </row>
        <row r="230">
          <cell r="A230">
            <v>230</v>
          </cell>
          <cell r="C230" t="str">
            <v>C</v>
          </cell>
          <cell r="D230" t="str">
            <v>Labour Costs</v>
          </cell>
          <cell r="F230">
            <v>83937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161</v>
          </cell>
          <cell r="Q230">
            <v>1932</v>
          </cell>
          <cell r="R230">
            <v>3087</v>
          </cell>
          <cell r="S230">
            <v>0</v>
          </cell>
          <cell r="T230">
            <v>56908</v>
          </cell>
          <cell r="U230">
            <v>6130</v>
          </cell>
          <cell r="V230">
            <v>1350</v>
          </cell>
          <cell r="W230">
            <v>1350</v>
          </cell>
          <cell r="X230">
            <v>3487</v>
          </cell>
          <cell r="Y230">
            <v>2786</v>
          </cell>
          <cell r="Z230">
            <v>165827</v>
          </cell>
          <cell r="AA230">
            <v>90380</v>
          </cell>
          <cell r="AB230">
            <v>130900</v>
          </cell>
          <cell r="AC230">
            <v>76</v>
          </cell>
          <cell r="AD230">
            <v>0</v>
          </cell>
          <cell r="AE230">
            <v>0</v>
          </cell>
          <cell r="AF230">
            <v>22417</v>
          </cell>
          <cell r="AG230">
            <v>12284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T230">
            <v>583012</v>
          </cell>
        </row>
        <row r="231">
          <cell r="A231">
            <v>231</v>
          </cell>
          <cell r="C231" t="str">
            <v>D</v>
          </cell>
          <cell r="D231" t="str">
            <v>Sub Contractors' Works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500652</v>
          </cell>
          <cell r="K231">
            <v>1777583</v>
          </cell>
          <cell r="L231">
            <v>1169000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140322.91</v>
          </cell>
          <cell r="U231">
            <v>30339</v>
          </cell>
          <cell r="V231">
            <v>-20408.79</v>
          </cell>
          <cell r="W231">
            <v>-11745</v>
          </cell>
          <cell r="X231">
            <v>105588</v>
          </cell>
          <cell r="Y231">
            <v>317198.2</v>
          </cell>
          <cell r="Z231">
            <v>434514.5</v>
          </cell>
          <cell r="AA231">
            <v>922312.71</v>
          </cell>
          <cell r="AB231">
            <v>766452.64</v>
          </cell>
          <cell r="AC231">
            <v>0</v>
          </cell>
          <cell r="AD231">
            <v>1971020.05</v>
          </cell>
          <cell r="AE231">
            <v>0</v>
          </cell>
          <cell r="AF231">
            <v>9005</v>
          </cell>
          <cell r="AG231">
            <v>576397.41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163500.95000000001</v>
          </cell>
          <cell r="AR231">
            <v>0</v>
          </cell>
          <cell r="AT231">
            <v>8851732.5799999982</v>
          </cell>
        </row>
        <row r="232">
          <cell r="A232">
            <v>232</v>
          </cell>
          <cell r="C232" t="str">
            <v>E</v>
          </cell>
          <cell r="D232" t="str">
            <v>Lease, Upkeep &amp; Transport</v>
          </cell>
          <cell r="F232">
            <v>1011572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500</v>
          </cell>
          <cell r="Q232">
            <v>888</v>
          </cell>
          <cell r="R232">
            <v>0</v>
          </cell>
          <cell r="S232">
            <v>0</v>
          </cell>
          <cell r="T232">
            <v>50947</v>
          </cell>
          <cell r="U232">
            <v>12165</v>
          </cell>
          <cell r="V232">
            <v>635</v>
          </cell>
          <cell r="W232">
            <v>286</v>
          </cell>
          <cell r="X232">
            <v>396</v>
          </cell>
          <cell r="Y232">
            <v>-16529</v>
          </cell>
          <cell r="Z232">
            <v>119864</v>
          </cell>
          <cell r="AA232">
            <v>355362</v>
          </cell>
          <cell r="AB232">
            <v>265130</v>
          </cell>
          <cell r="AC232">
            <v>37926</v>
          </cell>
          <cell r="AD232">
            <v>0</v>
          </cell>
          <cell r="AE232">
            <v>0</v>
          </cell>
          <cell r="AF232">
            <v>10129</v>
          </cell>
          <cell r="AG232">
            <v>961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T232">
            <v>1850232</v>
          </cell>
        </row>
        <row r="233">
          <cell r="A233">
            <v>233</v>
          </cell>
          <cell r="C233" t="str">
            <v>F</v>
          </cell>
          <cell r="D233" t="str">
            <v xml:space="preserve">Site Overheads </v>
          </cell>
          <cell r="F233">
            <v>126571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8</v>
          </cell>
          <cell r="Q233">
            <v>58</v>
          </cell>
          <cell r="R233">
            <v>2299</v>
          </cell>
          <cell r="S233">
            <v>0</v>
          </cell>
          <cell r="T233">
            <v>15755</v>
          </cell>
          <cell r="U233">
            <v>827</v>
          </cell>
          <cell r="V233">
            <v>969</v>
          </cell>
          <cell r="W233">
            <v>1289</v>
          </cell>
          <cell r="X233">
            <v>4062</v>
          </cell>
          <cell r="Y233">
            <v>879</v>
          </cell>
          <cell r="Z233">
            <v>8428</v>
          </cell>
          <cell r="AA233">
            <v>6042</v>
          </cell>
          <cell r="AB233">
            <v>4794</v>
          </cell>
          <cell r="AC233">
            <v>11</v>
          </cell>
          <cell r="AD233">
            <v>0</v>
          </cell>
          <cell r="AE233">
            <v>0</v>
          </cell>
          <cell r="AF233">
            <v>2925</v>
          </cell>
          <cell r="AG233">
            <v>19294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T233">
            <v>194211</v>
          </cell>
        </row>
        <row r="234">
          <cell r="A234">
            <v>234</v>
          </cell>
          <cell r="F234" t="str">
            <v>-</v>
          </cell>
          <cell r="G234" t="str">
            <v>-</v>
          </cell>
          <cell r="H234" t="str">
            <v>-</v>
          </cell>
          <cell r="I234" t="str">
            <v>-</v>
          </cell>
          <cell r="J234" t="str">
            <v>-</v>
          </cell>
          <cell r="K234" t="str">
            <v>-</v>
          </cell>
          <cell r="L234" t="str">
            <v>-</v>
          </cell>
          <cell r="M234" t="str">
            <v>-</v>
          </cell>
          <cell r="N234" t="str">
            <v>-</v>
          </cell>
          <cell r="O234" t="str">
            <v>-</v>
          </cell>
          <cell r="P234" t="str">
            <v>-</v>
          </cell>
          <cell r="Q234" t="str">
            <v>-</v>
          </cell>
          <cell r="R234" t="str">
            <v>-</v>
          </cell>
          <cell r="S234" t="str">
            <v>-</v>
          </cell>
          <cell r="T234" t="str">
            <v>-</v>
          </cell>
          <cell r="U234" t="str">
            <v>-</v>
          </cell>
          <cell r="V234" t="str">
            <v>-</v>
          </cell>
          <cell r="W234" t="str">
            <v>-</v>
          </cell>
          <cell r="X234" t="str">
            <v>-</v>
          </cell>
          <cell r="Y234" t="str">
            <v>-</v>
          </cell>
          <cell r="Z234" t="str">
            <v>-</v>
          </cell>
          <cell r="AA234" t="str">
            <v>-</v>
          </cell>
          <cell r="AB234" t="str">
            <v>-</v>
          </cell>
          <cell r="AC234" t="str">
            <v>-</v>
          </cell>
          <cell r="AD234" t="str">
            <v>-</v>
          </cell>
          <cell r="AE234" t="str">
            <v>-</v>
          </cell>
          <cell r="AF234" t="str">
            <v>-</v>
          </cell>
          <cell r="AG234" t="str">
            <v>-</v>
          </cell>
          <cell r="AH234" t="str">
            <v>-</v>
          </cell>
          <cell r="AI234" t="str">
            <v>-</v>
          </cell>
          <cell r="AJ234" t="str">
            <v>-</v>
          </cell>
          <cell r="AK234" t="str">
            <v>-</v>
          </cell>
          <cell r="AL234" t="str">
            <v>-</v>
          </cell>
          <cell r="AM234" t="str">
            <v>-</v>
          </cell>
          <cell r="AN234" t="str">
            <v>-</v>
          </cell>
          <cell r="AO234" t="str">
            <v>-</v>
          </cell>
          <cell r="AP234" t="str">
            <v>-</v>
          </cell>
          <cell r="AQ234" t="str">
            <v>-</v>
          </cell>
          <cell r="AR234" t="str">
            <v>-</v>
          </cell>
        </row>
        <row r="235">
          <cell r="A235">
            <v>235</v>
          </cell>
          <cell r="F235">
            <v>3637364</v>
          </cell>
          <cell r="G235">
            <v>0</v>
          </cell>
          <cell r="H235">
            <v>0</v>
          </cell>
          <cell r="I235">
            <v>-284748</v>
          </cell>
          <cell r="J235">
            <v>2491064</v>
          </cell>
          <cell r="K235">
            <v>4041362</v>
          </cell>
          <cell r="L235">
            <v>3147234</v>
          </cell>
          <cell r="M235">
            <v>0</v>
          </cell>
          <cell r="N235">
            <v>0</v>
          </cell>
          <cell r="O235">
            <v>0</v>
          </cell>
          <cell r="P235">
            <v>973</v>
          </cell>
          <cell r="Q235">
            <v>6027</v>
          </cell>
          <cell r="R235">
            <v>5386</v>
          </cell>
          <cell r="S235">
            <v>-2968</v>
          </cell>
          <cell r="T235">
            <v>1122582.9099999999</v>
          </cell>
          <cell r="U235">
            <v>59504</v>
          </cell>
          <cell r="V235">
            <v>-14188.79</v>
          </cell>
          <cell r="W235">
            <v>-5554</v>
          </cell>
          <cell r="X235">
            <v>111804</v>
          </cell>
          <cell r="Y235">
            <v>298315.2</v>
          </cell>
          <cell r="Z235">
            <v>1895561.5</v>
          </cell>
          <cell r="AA235">
            <v>502370.70999999996</v>
          </cell>
          <cell r="AB235">
            <v>2269396.64</v>
          </cell>
          <cell r="AC235">
            <v>22058</v>
          </cell>
          <cell r="AD235">
            <v>1971020.05</v>
          </cell>
          <cell r="AE235">
            <v>76608</v>
          </cell>
          <cell r="AF235">
            <v>140037</v>
          </cell>
          <cell r="AG235">
            <v>613795.41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163500.95000000001</v>
          </cell>
          <cell r="AR235">
            <v>0</v>
          </cell>
          <cell r="AT235">
            <v>22268505.580000002</v>
          </cell>
        </row>
        <row r="236">
          <cell r="A236">
            <v>236</v>
          </cell>
          <cell r="F236" t="str">
            <v>-</v>
          </cell>
          <cell r="G236" t="str">
            <v>-</v>
          </cell>
          <cell r="H236" t="str">
            <v>-</v>
          </cell>
          <cell r="I236" t="str">
            <v>-</v>
          </cell>
          <cell r="J236" t="str">
            <v>-</v>
          </cell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</row>
        <row r="237">
          <cell r="A237">
            <v>237</v>
          </cell>
        </row>
        <row r="238">
          <cell r="A238">
            <v>238</v>
          </cell>
          <cell r="C238" t="str">
            <v>3</v>
          </cell>
          <cell r="D238" t="str">
            <v>Closing WIP</v>
          </cell>
          <cell r="AF238">
            <v>140036.4</v>
          </cell>
          <cell r="AG238">
            <v>613794.37</v>
          </cell>
          <cell r="AH238">
            <v>0</v>
          </cell>
          <cell r="AI238">
            <v>0</v>
          </cell>
          <cell r="AJ238">
            <v>0</v>
          </cell>
          <cell r="AQ238">
            <v>163500.95000000001</v>
          </cell>
          <cell r="AT238">
            <v>917331.72</v>
          </cell>
        </row>
        <row r="239">
          <cell r="A239">
            <v>239</v>
          </cell>
        </row>
        <row r="240">
          <cell r="A240">
            <v>240</v>
          </cell>
          <cell r="C240" t="str">
            <v>4</v>
          </cell>
          <cell r="D240" t="str">
            <v>Gross Profit</v>
          </cell>
          <cell r="F240">
            <v>-3637364</v>
          </cell>
          <cell r="G240">
            <v>0</v>
          </cell>
          <cell r="H240">
            <v>0</v>
          </cell>
          <cell r="I240">
            <v>284748</v>
          </cell>
          <cell r="J240">
            <v>1023835</v>
          </cell>
          <cell r="K240">
            <v>547546</v>
          </cell>
          <cell r="L240">
            <v>706622</v>
          </cell>
          <cell r="M240">
            <v>0</v>
          </cell>
          <cell r="N240">
            <v>0</v>
          </cell>
          <cell r="O240">
            <v>0</v>
          </cell>
          <cell r="P240">
            <v>-973</v>
          </cell>
          <cell r="Q240">
            <v>561446.79</v>
          </cell>
          <cell r="R240">
            <v>-5386</v>
          </cell>
          <cell r="S240">
            <v>104208.95</v>
          </cell>
          <cell r="T240">
            <v>-172165.89999999991</v>
          </cell>
          <cell r="U240">
            <v>274282.03999999998</v>
          </cell>
          <cell r="V240">
            <v>14188.79</v>
          </cell>
          <cell r="W240">
            <v>5554</v>
          </cell>
          <cell r="X240">
            <v>240204</v>
          </cell>
          <cell r="Y240">
            <v>341334.05</v>
          </cell>
          <cell r="Z240">
            <v>-725711.5</v>
          </cell>
          <cell r="AA240">
            <v>2285061.64</v>
          </cell>
          <cell r="AB240">
            <v>474437.5299999998</v>
          </cell>
          <cell r="AC240">
            <v>-22058</v>
          </cell>
          <cell r="AD240">
            <v>762764.30999999982</v>
          </cell>
          <cell r="AE240">
            <v>843113.25000000012</v>
          </cell>
          <cell r="AF240">
            <v>-0.60000000000582077</v>
          </cell>
          <cell r="AG240">
            <v>-1.0400000000372529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T240">
            <v>3905686.3099999921</v>
          </cell>
        </row>
        <row r="241">
          <cell r="A241">
            <v>241</v>
          </cell>
          <cell r="D241" t="str">
            <v>Gross Profit %</v>
          </cell>
          <cell r="F241" t="str">
            <v>NA</v>
          </cell>
          <cell r="G241" t="str">
            <v>NA</v>
          </cell>
          <cell r="H241" t="str">
            <v>NA</v>
          </cell>
          <cell r="I241" t="e">
            <v>#DIV/0!</v>
          </cell>
          <cell r="J241">
            <v>0.29128432993380465</v>
          </cell>
          <cell r="K241">
            <v>0.11931945465021308</v>
          </cell>
          <cell r="L241">
            <v>0.18335454152931505</v>
          </cell>
          <cell r="M241" t="e">
            <v>#DIV/0!</v>
          </cell>
          <cell r="N241" t="e">
            <v>#DIV/0!</v>
          </cell>
          <cell r="O241" t="e">
            <v>#DIV/0!</v>
          </cell>
          <cell r="P241" t="e">
            <v>#DIV/0!</v>
          </cell>
          <cell r="Q241">
            <v>0.98937924516302334</v>
          </cell>
          <cell r="R241" t="e">
            <v>#DIV/0!</v>
          </cell>
          <cell r="S241">
            <v>1.0293162006085481</v>
          </cell>
          <cell r="T241">
            <v>-0.18114774692426844</v>
          </cell>
          <cell r="U241">
            <v>0.82173011190042577</v>
          </cell>
          <cell r="V241" t="e">
            <v>#DIV/0!</v>
          </cell>
          <cell r="W241" t="e">
            <v>#DIV/0!</v>
          </cell>
          <cell r="X241">
            <v>0.68238221858594128</v>
          </cell>
          <cell r="Y241">
            <v>0.53362690568307547</v>
          </cell>
          <cell r="Z241">
            <v>-0.6203457708253195</v>
          </cell>
          <cell r="AA241">
            <v>0.819772949826029</v>
          </cell>
          <cell r="AB241">
            <v>0.17291042410190546</v>
          </cell>
          <cell r="AC241" t="e">
            <v>#DIV/0!</v>
          </cell>
          <cell r="AD241">
            <v>0.27901407337043943</v>
          </cell>
          <cell r="AE241">
            <v>0.91670519736278788</v>
          </cell>
          <cell r="AF241" t="e">
            <v>#DIV/0!</v>
          </cell>
          <cell r="AG241" t="e">
            <v>#DIV/0!</v>
          </cell>
          <cell r="AH241" t="e">
            <v>#DIV/0!</v>
          </cell>
          <cell r="AI241" t="e">
            <v>#DIV/0!</v>
          </cell>
          <cell r="AJ241" t="e">
            <v>#DIV/0!</v>
          </cell>
          <cell r="AK241" t="e">
            <v>#DIV/0!</v>
          </cell>
          <cell r="AL241" t="e">
            <v>#DIV/0!</v>
          </cell>
          <cell r="AM241" t="e">
            <v>#DIV/0!</v>
          </cell>
          <cell r="AN241" t="e">
            <v>#DIV/0!</v>
          </cell>
          <cell r="AO241" t="e">
            <v>#DIV/0!</v>
          </cell>
          <cell r="AP241" t="e">
            <v>#DIV/0!</v>
          </cell>
          <cell r="AQ241" t="e">
            <v>#DIV/0!</v>
          </cell>
          <cell r="AR241" t="e">
            <v>#DIV/0!</v>
          </cell>
        </row>
        <row r="242">
          <cell r="A242">
            <v>242</v>
          </cell>
        </row>
        <row r="243">
          <cell r="A243">
            <v>243</v>
          </cell>
          <cell r="C243" t="str">
            <v>5</v>
          </cell>
          <cell r="D243" t="str">
            <v xml:space="preserve">Other Admin Expenses </v>
          </cell>
          <cell r="F243">
            <v>92169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-8414</v>
          </cell>
          <cell r="Y243">
            <v>-7169</v>
          </cell>
          <cell r="Z243">
            <v>1</v>
          </cell>
          <cell r="AA243">
            <v>0</v>
          </cell>
          <cell r="AB243">
            <v>1</v>
          </cell>
          <cell r="AC243">
            <v>-1886</v>
          </cell>
          <cell r="AD243">
            <v>0</v>
          </cell>
          <cell r="AE243">
            <v>0</v>
          </cell>
          <cell r="AF243">
            <v>-32</v>
          </cell>
          <cell r="AG243">
            <v>67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-2200</v>
          </cell>
          <cell r="AR243">
            <v>0</v>
          </cell>
          <cell r="AT243">
            <v>72537</v>
          </cell>
        </row>
        <row r="244">
          <cell r="A244">
            <v>244</v>
          </cell>
        </row>
        <row r="245">
          <cell r="A245">
            <v>245</v>
          </cell>
          <cell r="F245" t="str">
            <v>-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-</v>
          </cell>
          <cell r="L245" t="str">
            <v>-</v>
          </cell>
          <cell r="M245" t="str">
            <v>-</v>
          </cell>
          <cell r="N245" t="str">
            <v>-</v>
          </cell>
          <cell r="O245" t="str">
            <v>-</v>
          </cell>
          <cell r="P245" t="str">
            <v>-</v>
          </cell>
          <cell r="Q245" t="str">
            <v>-</v>
          </cell>
          <cell r="R245" t="str">
            <v>-</v>
          </cell>
          <cell r="S245" t="str">
            <v>-</v>
          </cell>
          <cell r="T245" t="str">
            <v>-</v>
          </cell>
          <cell r="U245" t="str">
            <v>-</v>
          </cell>
          <cell r="V245" t="str">
            <v>-</v>
          </cell>
          <cell r="W245" t="str">
            <v>-</v>
          </cell>
          <cell r="X245" t="str">
            <v>-</v>
          </cell>
          <cell r="Y245" t="str">
            <v>-</v>
          </cell>
          <cell r="Z245" t="str">
            <v>-</v>
          </cell>
          <cell r="AA245" t="str">
            <v>-</v>
          </cell>
          <cell r="AB245" t="str">
            <v>-</v>
          </cell>
          <cell r="AC245" t="str">
            <v>-</v>
          </cell>
          <cell r="AD245" t="str">
            <v>-</v>
          </cell>
          <cell r="AE245" t="str">
            <v>-</v>
          </cell>
          <cell r="AF245" t="str">
            <v>-</v>
          </cell>
          <cell r="AG245" t="str">
            <v>-</v>
          </cell>
          <cell r="AH245" t="str">
            <v>-</v>
          </cell>
          <cell r="AI245" t="str">
            <v>-</v>
          </cell>
          <cell r="AJ245" t="str">
            <v>-</v>
          </cell>
          <cell r="AK245" t="str">
            <v>-</v>
          </cell>
          <cell r="AL245" t="str">
            <v>-</v>
          </cell>
          <cell r="AM245" t="str">
            <v>-</v>
          </cell>
          <cell r="AN245" t="str">
            <v>-</v>
          </cell>
          <cell r="AO245" t="str">
            <v>-</v>
          </cell>
          <cell r="AP245" t="str">
            <v>-</v>
          </cell>
          <cell r="AQ245" t="str">
            <v>-</v>
          </cell>
          <cell r="AR245" t="str">
            <v>-</v>
          </cell>
        </row>
        <row r="246">
          <cell r="A246">
            <v>246</v>
          </cell>
          <cell r="F246">
            <v>-3729533</v>
          </cell>
          <cell r="G246">
            <v>0</v>
          </cell>
          <cell r="H246">
            <v>0</v>
          </cell>
          <cell r="I246">
            <v>284748</v>
          </cell>
          <cell r="J246">
            <v>1023835</v>
          </cell>
          <cell r="K246">
            <v>547546</v>
          </cell>
          <cell r="L246">
            <v>706622</v>
          </cell>
          <cell r="M246">
            <v>0</v>
          </cell>
          <cell r="N246">
            <v>0</v>
          </cell>
          <cell r="O246">
            <v>0</v>
          </cell>
          <cell r="P246">
            <v>-973</v>
          </cell>
          <cell r="Q246">
            <v>561446.79</v>
          </cell>
          <cell r="R246">
            <v>-5386</v>
          </cell>
          <cell r="S246">
            <v>104208.95</v>
          </cell>
          <cell r="T246">
            <v>-172165.89999999991</v>
          </cell>
          <cell r="U246">
            <v>274282.03999999998</v>
          </cell>
          <cell r="V246">
            <v>14188.79</v>
          </cell>
          <cell r="W246">
            <v>5554</v>
          </cell>
          <cell r="X246">
            <v>248618</v>
          </cell>
          <cell r="Y246">
            <v>348503.05</v>
          </cell>
          <cell r="Z246">
            <v>-725712.5</v>
          </cell>
          <cell r="AA246">
            <v>2285061.64</v>
          </cell>
          <cell r="AB246">
            <v>474436.5299999998</v>
          </cell>
          <cell r="AC246">
            <v>-20172</v>
          </cell>
          <cell r="AD246">
            <v>762764.30999999982</v>
          </cell>
          <cell r="AE246">
            <v>843113.25000000012</v>
          </cell>
          <cell r="AF246">
            <v>31.399999999994179</v>
          </cell>
          <cell r="AG246">
            <v>-68.040000000037253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2200</v>
          </cell>
          <cell r="AR246">
            <v>0</v>
          </cell>
          <cell r="AT246">
            <v>3833149.3099999921</v>
          </cell>
        </row>
        <row r="247">
          <cell r="A247">
            <v>247</v>
          </cell>
          <cell r="F247" t="str">
            <v>-</v>
          </cell>
          <cell r="G247" t="str">
            <v>-</v>
          </cell>
          <cell r="H247" t="str">
            <v>-</v>
          </cell>
          <cell r="I247" t="str">
            <v>-</v>
          </cell>
          <cell r="J247" t="str">
            <v>-</v>
          </cell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</row>
        <row r="248">
          <cell r="A248">
            <v>248</v>
          </cell>
        </row>
        <row r="249">
          <cell r="A249">
            <v>249</v>
          </cell>
          <cell r="C249" t="str">
            <v>6</v>
          </cell>
          <cell r="D249" t="str">
            <v>Net Profit From Operation</v>
          </cell>
          <cell r="F249">
            <v>-3729533</v>
          </cell>
          <cell r="G249">
            <v>0</v>
          </cell>
          <cell r="H249">
            <v>0</v>
          </cell>
          <cell r="I249">
            <v>284748</v>
          </cell>
          <cell r="J249">
            <v>1023835</v>
          </cell>
          <cell r="K249">
            <v>547546</v>
          </cell>
          <cell r="L249">
            <v>706622</v>
          </cell>
          <cell r="M249">
            <v>0</v>
          </cell>
          <cell r="N249">
            <v>0</v>
          </cell>
          <cell r="O249">
            <v>0</v>
          </cell>
          <cell r="P249">
            <v>-973</v>
          </cell>
          <cell r="Q249">
            <v>561446.79</v>
          </cell>
          <cell r="R249">
            <v>-5386</v>
          </cell>
          <cell r="S249">
            <v>104208.95</v>
          </cell>
          <cell r="T249">
            <v>-172165.89999999991</v>
          </cell>
          <cell r="U249">
            <v>274282.03999999998</v>
          </cell>
          <cell r="V249">
            <v>14188.79</v>
          </cell>
          <cell r="W249">
            <v>5554</v>
          </cell>
          <cell r="X249">
            <v>248618</v>
          </cell>
          <cell r="Y249">
            <v>348503.05</v>
          </cell>
          <cell r="Z249">
            <v>-725712.5</v>
          </cell>
          <cell r="AA249">
            <v>2285061.64</v>
          </cell>
          <cell r="AB249">
            <v>474436.5299999998</v>
          </cell>
          <cell r="AC249">
            <v>-20172</v>
          </cell>
          <cell r="AD249">
            <v>762764.30999999982</v>
          </cell>
          <cell r="AE249">
            <v>843113.25000000012</v>
          </cell>
          <cell r="AF249">
            <v>31.399999999994179</v>
          </cell>
          <cell r="AG249">
            <v>-68.040000000037253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2200</v>
          </cell>
          <cell r="AR249">
            <v>0</v>
          </cell>
          <cell r="AT249">
            <v>3833149.3099999921</v>
          </cell>
        </row>
        <row r="250">
          <cell r="A250">
            <v>250</v>
          </cell>
        </row>
        <row r="251">
          <cell r="A251">
            <v>251</v>
          </cell>
          <cell r="C251" t="str">
            <v>7</v>
          </cell>
          <cell r="D251" t="str">
            <v xml:space="preserve">Other Income </v>
          </cell>
          <cell r="F251">
            <v>39997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288000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T251">
            <v>327997</v>
          </cell>
        </row>
        <row r="252">
          <cell r="A252">
            <v>252</v>
          </cell>
        </row>
        <row r="253">
          <cell r="A253">
            <v>253</v>
          </cell>
          <cell r="F253" t="str">
            <v>-</v>
          </cell>
          <cell r="G253" t="str">
            <v>-</v>
          </cell>
          <cell r="H253" t="str">
            <v>-</v>
          </cell>
          <cell r="I253" t="str">
            <v>-</v>
          </cell>
          <cell r="J253" t="str">
            <v>-</v>
          </cell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</row>
        <row r="254">
          <cell r="A254">
            <v>254</v>
          </cell>
          <cell r="C254" t="str">
            <v>8</v>
          </cell>
          <cell r="D254" t="str">
            <v>Profit For The Year</v>
          </cell>
          <cell r="F254">
            <v>-3689536</v>
          </cell>
          <cell r="G254">
            <v>0</v>
          </cell>
          <cell r="H254">
            <v>0</v>
          </cell>
          <cell r="I254">
            <v>284748</v>
          </cell>
          <cell r="J254">
            <v>1023835</v>
          </cell>
          <cell r="K254">
            <v>547546</v>
          </cell>
          <cell r="L254">
            <v>706622</v>
          </cell>
          <cell r="M254">
            <v>0</v>
          </cell>
          <cell r="N254">
            <v>0</v>
          </cell>
          <cell r="O254">
            <v>0</v>
          </cell>
          <cell r="P254">
            <v>-973</v>
          </cell>
          <cell r="Q254">
            <v>561446.79</v>
          </cell>
          <cell r="R254">
            <v>-5386</v>
          </cell>
          <cell r="S254">
            <v>104208.95</v>
          </cell>
          <cell r="T254">
            <v>-172165.89999999991</v>
          </cell>
          <cell r="U254">
            <v>274282.03999999998</v>
          </cell>
          <cell r="V254">
            <v>14188.79</v>
          </cell>
          <cell r="W254">
            <v>5554</v>
          </cell>
          <cell r="X254">
            <v>248618</v>
          </cell>
          <cell r="Y254">
            <v>348503.05</v>
          </cell>
          <cell r="Z254">
            <v>-725712.5</v>
          </cell>
          <cell r="AA254">
            <v>2285061.64</v>
          </cell>
          <cell r="AB254">
            <v>474436.5299999998</v>
          </cell>
          <cell r="AC254">
            <v>267828</v>
          </cell>
          <cell r="AD254">
            <v>762764.30999999982</v>
          </cell>
          <cell r="AE254">
            <v>843113.25000000012</v>
          </cell>
          <cell r="AF254">
            <v>31.399999999994179</v>
          </cell>
          <cell r="AG254">
            <v>-68.040000000037253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2200</v>
          </cell>
          <cell r="AR254">
            <v>0</v>
          </cell>
          <cell r="AT254">
            <v>4161146.3099999921</v>
          </cell>
        </row>
        <row r="255">
          <cell r="A255">
            <v>255</v>
          </cell>
          <cell r="F255" t="str">
            <v>-</v>
          </cell>
          <cell r="G255" t="str">
            <v>-</v>
          </cell>
          <cell r="H255" t="str">
            <v>-</v>
          </cell>
          <cell r="I255" t="str">
            <v>-</v>
          </cell>
          <cell r="J255" t="str">
            <v>-</v>
          </cell>
          <cell r="K255" t="str">
            <v>-</v>
          </cell>
          <cell r="L255" t="str">
            <v>-</v>
          </cell>
          <cell r="M255" t="str">
            <v>-</v>
          </cell>
          <cell r="N255" t="str">
            <v>-</v>
          </cell>
          <cell r="O255" t="str">
            <v>-</v>
          </cell>
          <cell r="P255" t="str">
            <v>-</v>
          </cell>
          <cell r="Q255" t="str">
            <v>-</v>
          </cell>
          <cell r="R255" t="str">
            <v>-</v>
          </cell>
          <cell r="S255" t="str">
            <v>-</v>
          </cell>
          <cell r="T255" t="str">
            <v>-</v>
          </cell>
          <cell r="U255" t="str">
            <v>-</v>
          </cell>
          <cell r="V255" t="str">
            <v>-</v>
          </cell>
          <cell r="W255" t="str">
            <v>-</v>
          </cell>
          <cell r="X255" t="str">
            <v>-</v>
          </cell>
          <cell r="Y255" t="str">
            <v>-</v>
          </cell>
          <cell r="Z255" t="str">
            <v>-</v>
          </cell>
          <cell r="AA255" t="str">
            <v>-</v>
          </cell>
          <cell r="AB255" t="str">
            <v>-</v>
          </cell>
          <cell r="AC255" t="str">
            <v>-</v>
          </cell>
          <cell r="AD255" t="str">
            <v>-</v>
          </cell>
          <cell r="AE255" t="str">
            <v>-</v>
          </cell>
          <cell r="AF255" t="str">
            <v>-</v>
          </cell>
          <cell r="AG255" t="str">
            <v>-</v>
          </cell>
          <cell r="AH255" t="str">
            <v>-</v>
          </cell>
          <cell r="AI255" t="str">
            <v>-</v>
          </cell>
          <cell r="AJ255" t="str">
            <v>-</v>
          </cell>
          <cell r="AK255" t="str">
            <v>-</v>
          </cell>
          <cell r="AL255" t="str">
            <v>-</v>
          </cell>
          <cell r="AM255" t="str">
            <v>-</v>
          </cell>
          <cell r="AN255" t="str">
            <v>-</v>
          </cell>
          <cell r="AO255" t="str">
            <v>-</v>
          </cell>
          <cell r="AP255" t="str">
            <v>-</v>
          </cell>
          <cell r="AQ255" t="str">
            <v>-</v>
          </cell>
          <cell r="AR255" t="str">
            <v>-</v>
          </cell>
        </row>
        <row r="256">
          <cell r="A256">
            <v>256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</sheetNames>
    <sheetDataSet>
      <sheetData sheetId="0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</sheetNames>
    <sheetDataSet>
      <sheetData sheetId="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922"/>
    </sheetNames>
    <sheetDataSet>
      <sheetData sheetId="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-Bloom"/>
    </sheetNames>
    <sheetDataSet>
      <sheetData sheetId="0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-Bloom"/>
    </sheetNames>
    <sheetDataSet>
      <sheetData sheetId="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</sheetNames>
    <sheetDataSet>
      <sheetData sheetId="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s"/>
    </sheetNames>
    <sheetDataSet>
      <sheetData sheetId="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s"/>
    </sheetNames>
    <sheetDataSet>
      <sheetData sheetId="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3"/>
    </sheetNames>
    <sheetDataSet>
      <sheetData sheetId="0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3"/>
    </sheetNames>
    <sheetDataSet>
      <sheetData sheetId="0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l cost"/>
      <sheetName val="accumdeprn"/>
    </sheetNames>
    <sheetDataSet>
      <sheetData sheetId="0" refreshError="1"/>
      <sheetData sheetId="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l cost"/>
      <sheetName val="accumdeprn"/>
    </sheetNames>
    <sheetDataSet>
      <sheetData sheetId="0" refreshError="1"/>
      <sheetData sheetId="1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ODE"/>
    </sheetNames>
    <sheetDataSet>
      <sheetData sheetId="0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ODE"/>
    </sheetNames>
    <sheetDataSet>
      <sheetData sheetId="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35-3"/>
    </sheetNames>
    <sheetDataSet>
      <sheetData sheetId="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35-3"/>
    </sheetNames>
    <sheetDataSet>
      <sheetData sheetId="0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 2001 awp"/>
      <sheetName val="IBA &lt;O3&gt;"/>
      <sheetName val="Customize Your Loan Manager"/>
      <sheetName val="Loan Amortization Table"/>
    </sheetNames>
    <definedNames>
      <definedName name="Customize"/>
      <definedName name="FinePrint"/>
      <definedName name="Nada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 2001 awp"/>
      <sheetName val="IBA &lt;O3&gt;"/>
      <sheetName val="Customize Your Loan Manager"/>
      <sheetName val="Loan Amortization Table"/>
    </sheetNames>
    <definedNames>
      <definedName name="Customize"/>
      <definedName name="FinePrint"/>
      <definedName name="Nada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entre expenditure"/>
    </sheetNames>
    <sheetDataSet>
      <sheetData sheetId="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entre expenditure"/>
    </sheetNames>
    <sheetDataSet>
      <sheetData sheetId="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3"/>
    </sheetNames>
    <sheetDataSet>
      <sheetData sheetId="0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3"/>
    </sheetNames>
    <sheetDataSet>
      <sheetData sheetId="0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4"/>
    </sheetNames>
    <sheetDataSet>
      <sheetData sheetId="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 Loss Calculation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 Loss Calculation"/>
    </sheetNames>
    <sheetDataSet>
      <sheetData sheetId="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1 "/>
    </sheetNames>
    <sheetDataSet>
      <sheetData sheetId="0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1 "/>
    </sheetNames>
    <sheetDataSet>
      <sheetData sheetId="0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61 "/>
    </sheet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61 "/>
    </sheetNames>
    <sheetDataSet>
      <sheetData sheetId="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"/>
      <sheetName val="B- 1"/>
    </sheetNames>
    <sheetDataSet>
      <sheetData sheetId="0" refreshError="1"/>
      <sheetData sheetId="1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"/>
      <sheetName val="B- 1"/>
    </sheetNames>
    <sheetDataSet>
      <sheetData sheetId="0" refreshError="1"/>
      <sheetData sheetId="1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2"/>
    </sheetNames>
    <sheetDataSet>
      <sheetData sheetId="0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2"/>
    </sheet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O0497"/>
    </sheetNames>
    <sheetDataSet>
      <sheetData sheetId="0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O0497"/>
    </sheetNames>
    <sheetDataSet>
      <sheetData sheetId="0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922"/>
    </sheetNames>
    <sheetDataSet>
      <sheetData sheetId="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922"/>
    </sheetNames>
    <sheetDataSet>
      <sheetData sheetId="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1 HR"/>
      <sheetName val="65 FINANCE"/>
    </sheetNames>
    <sheetDataSet>
      <sheetData sheetId="0" refreshError="1"/>
      <sheetData sheetId="1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1 HR"/>
      <sheetName val="65 FINANCE"/>
    </sheetNames>
    <sheetDataSet>
      <sheetData sheetId="0" refreshError="1"/>
      <sheetData sheetId="1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E"/>
    </sheetNames>
    <sheetDataSet>
      <sheetData sheetId="0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E"/>
    </sheetNames>
    <sheetDataSet>
      <sheetData sheetId="0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A"/>
    </sheetNames>
    <sheetDataSet>
      <sheetData sheetId="0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4-Recruitment"/>
    </sheetNames>
    <sheetDataSet>
      <sheetData sheetId="0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4-Recruitment"/>
    </sheetNames>
    <sheetDataSet>
      <sheetData sheetId="0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-ss"/>
    </sheetNames>
    <sheetDataSet>
      <sheetData sheetId="0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-ss"/>
    </sheet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-ss"/>
    </sheetNames>
    <sheetDataSet>
      <sheetData sheetId="0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-ss"/>
    </sheetNames>
    <sheetDataSet>
      <sheetData sheetId="0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値"/>
    </sheetNames>
    <sheetDataSet>
      <sheetData sheetId="0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1(a)"/>
    </sheetNames>
    <sheetDataSet>
      <sheetData sheetId="0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1(a)"/>
    </sheetNames>
    <sheetDataSet>
      <sheetData sheetId="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P&amp;L "/>
    </sheetNames>
    <sheetDataSet>
      <sheetData sheetId="0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P&amp;L "/>
    </sheetNames>
    <sheetDataSet>
      <sheetData sheetId="0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4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4"/>
    </sheetNames>
    <sheetDataSet>
      <sheetData sheetId="0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age Quote"/>
    </sheetNames>
    <sheetDataSet>
      <sheetData sheetId="0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월가격"/>
    </sheetNames>
    <sheetDataSet>
      <sheetData sheetId="0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</sheetNames>
    <sheetDataSet>
      <sheetData sheetId="0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</sheetNames>
    <sheetDataSet>
      <sheetData sheetId="0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heet"/>
    </sheetNames>
    <sheetDataSet>
      <sheetData sheetId="0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</sheetNames>
    <sheetDataSet>
      <sheetData sheetId="0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P-Corp awp 2002"/>
    </sheetNames>
    <definedNames>
      <definedName name="NCode"/>
    </definedNames>
    <sheetDataSet>
      <sheetData sheetId="0" refreshError="1"/>
      <sheetData sheetId="1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P-Corp awp 2002"/>
    </sheetNames>
    <definedNames>
      <definedName name="NCode"/>
    </definedNames>
    <sheetDataSet>
      <sheetData sheetId="0" refreshError="1"/>
      <sheetData sheetId="1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3"/>
      <sheetName val="O4"/>
    </sheetNames>
    <sheetDataSet>
      <sheetData sheetId="0" refreshError="1"/>
      <sheetData sheetId="1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3"/>
      <sheetName val="O4"/>
    </sheetNames>
    <sheetDataSet>
      <sheetData sheetId="0" refreshError="1"/>
      <sheetData sheetId="1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ity Data"/>
    </sheetNames>
    <sheetDataSet>
      <sheetData sheetId="0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ity Data"/>
    </sheetNames>
    <sheetDataSet>
      <sheetData sheetId="0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</sheetNames>
    <sheetDataSet>
      <sheetData sheetId="0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</sheetNames>
    <sheetDataSet>
      <sheetData sheetId="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1"/>
    </sheetNames>
    <sheetDataSet>
      <sheetData sheetId="0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</sheetNames>
    <sheetDataSet>
      <sheetData sheetId="0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"/>
    </sheetNames>
    <sheetDataSet>
      <sheetData sheetId="0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"/>
    </sheetNames>
    <sheetDataSet>
      <sheetData sheetId="0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</sheetNames>
    <sheetDataSet>
      <sheetData sheetId="0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</sheetNames>
    <sheetDataSet>
      <sheetData sheetId="0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nado 4.7 Component List"/>
    </sheetNames>
    <sheetDataSet>
      <sheetData sheetId="0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Reimbursements"/>
    </sheetNames>
    <sheetDataSet>
      <sheetData sheetId="0" refreshError="1"/>
      <sheetData sheetId="1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Reimbursements"/>
    </sheetNames>
    <sheetDataSet>
      <sheetData sheetId="0" refreshError="1"/>
      <sheetData sheetId="1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Reimbursements"/>
    </sheetNames>
    <sheetDataSet>
      <sheetData sheetId="0" refreshError="1"/>
      <sheetData sheetId="1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s"/>
      <sheetName val="Sheet1"/>
    </sheetNames>
    <sheetDataSet>
      <sheetData sheetId="0" refreshError="1"/>
      <sheetData sheetId="1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s"/>
      <sheetName val="Sheet1"/>
    </sheetNames>
    <sheetDataSet>
      <sheetData sheetId="0" refreshError="1"/>
      <sheetData sheetId="1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</sheetNames>
    <sheetDataSet>
      <sheetData sheetId="0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0"/>
      <sheetName val="BPR"/>
      <sheetName val="TB"/>
      <sheetName val="CA Sheet"/>
      <sheetName val="Detail_TB"/>
      <sheetName val="GUARANTEE-OTHER"/>
      <sheetName val="acs"/>
      <sheetName val="_2__xls__2__xls_C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Summit PKK-HW"/>
    </sheetNames>
    <sheetDataSet>
      <sheetData sheetId="0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 Loss Calculation"/>
    </sheetNames>
    <sheetDataSet>
      <sheetData sheetId="0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 Loss Calculation"/>
    </sheetNames>
    <sheetDataSet>
      <sheetData sheetId="0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</sheetNames>
    <sheetDataSet>
      <sheetData sheetId="0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</sheetNames>
    <sheetDataSet>
      <sheetData sheetId="0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 Loss Calculation"/>
    </sheetNames>
    <sheetDataSet>
      <sheetData sheetId="0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 Loss Calculation"/>
    </sheetNames>
    <sheetDataSet>
      <sheetData sheetId="0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"/>
    </sheetNames>
    <sheetDataSet>
      <sheetData sheetId="0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"/>
    </sheetNames>
    <sheetDataSet>
      <sheetData sheetId="0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</sheetNames>
    <sheetDataSet>
      <sheetData sheetId="0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</sheetNames>
    <sheetDataSet>
      <sheetData sheetId="0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</sheetNames>
    <sheetDataSet>
      <sheetData sheetId="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"/>
    </sheetNames>
    <sheetDataSet>
      <sheetData sheetId="0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"/>
    </sheetNames>
    <sheetDataSet>
      <sheetData sheetId="0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20"/>
    </sheetNames>
    <sheetDataSet>
      <sheetData sheetId="0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20"/>
    </sheetNames>
    <sheetDataSet>
      <sheetData sheetId="0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. F&amp;F"/>
    </sheetNames>
    <sheetDataSet>
      <sheetData sheetId="0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. F&amp;F"/>
    </sheetNames>
    <sheetDataSet>
      <sheetData sheetId="0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O3) CA Sheet"/>
    </sheetNames>
    <sheetDataSet>
      <sheetData sheetId="0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O3) CA Sheet"/>
    </sheetNames>
    <sheetDataSet>
      <sheetData sheetId="0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6"/>
    </sheetNames>
    <sheetDataSet>
      <sheetData sheetId="0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6"/>
    </sheetNames>
    <sheetDataSet>
      <sheetData sheetId="0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Series255"/>
    </sheetNames>
    <sheetDataSet>
      <sheetData sheetId="0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A CA"/>
    </sheetNames>
    <sheetDataSet>
      <sheetData sheetId="0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A CA"/>
    </sheetNames>
    <sheetDataSet>
      <sheetData sheetId="0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C94"/>
    </sheetNames>
    <sheetDataSet>
      <sheetData sheetId="0" refreshError="1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3100"/>
    </sheetNames>
    <sheetDataSet>
      <sheetData sheetId="0" refreshError="1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表"/>
    </sheetNames>
    <sheetDataSet>
      <sheetData sheetId="0" refreshError="1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表"/>
    </sheetNames>
    <sheetDataSet>
      <sheetData sheetId="0" refreshError="1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非固内訳"/>
    </sheetNames>
    <sheetDataSet>
      <sheetData sheetId="0" refreshError="1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非固内訳"/>
    </sheetNames>
    <sheetDataSet>
      <sheetData sheetId="0" refreshError="1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個品ﾘｽﾄ"/>
    </sheetNames>
    <sheetDataSet>
      <sheetData sheetId="0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個品ﾘｽﾄ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8"/>
  <sheetViews>
    <sheetView workbookViewId="0">
      <selection activeCell="D23" sqref="D23"/>
    </sheetView>
  </sheetViews>
  <sheetFormatPr defaultColWidth="8.84375" defaultRowHeight="14.6"/>
  <sheetData>
    <row r="1" spans="1:1">
      <c r="A1" s="294"/>
    </row>
    <row r="8" spans="1:1">
      <c r="A8" s="29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24"/>
  <sheetViews>
    <sheetView zoomScale="60" zoomScaleNormal="60" workbookViewId="0">
      <pane xSplit="6" ySplit="18" topLeftCell="L19" activePane="bottomRight" state="frozen"/>
      <selection pane="topRight" activeCell="G1" sqref="G1"/>
      <selection pane="bottomLeft" activeCell="A17" sqref="A17"/>
      <selection pane="bottomRight" activeCell="H61" sqref="H61"/>
    </sheetView>
  </sheetViews>
  <sheetFormatPr defaultColWidth="9.15234375" defaultRowHeight="14.6" outlineLevelRow="2" outlineLevelCol="1"/>
  <cols>
    <col min="1" max="1" width="36" style="178" bestFit="1" customWidth="1"/>
    <col min="2" max="2" width="15.84375" style="171" customWidth="1"/>
    <col min="3" max="3" width="26.3046875" style="179" bestFit="1" customWidth="1"/>
    <col min="4" max="4" width="13.4609375" style="178" bestFit="1" customWidth="1"/>
    <col min="5" max="5" width="15.15234375" style="171" bestFit="1" customWidth="1"/>
    <col min="6" max="6" width="15.4609375" style="178" bestFit="1" customWidth="1"/>
    <col min="7" max="7" width="25.15234375" style="178" bestFit="1" customWidth="1"/>
    <col min="8" max="11" width="25" style="178" customWidth="1" outlineLevel="1"/>
    <col min="12" max="17" width="27.3046875" style="178" customWidth="1" outlineLevel="1"/>
    <col min="18" max="19" width="27.4609375" style="178" bestFit="1" customWidth="1"/>
    <col min="20" max="29" width="27.3046875" style="178" customWidth="1" outlineLevel="1"/>
    <col min="30" max="31" width="27.4609375" style="178" bestFit="1" customWidth="1"/>
    <col min="32" max="36" width="27.3046875" style="178" hidden="1" customWidth="1" outlineLevel="1"/>
    <col min="37" max="39" width="25" style="178" hidden="1" customWidth="1" outlineLevel="1"/>
    <col min="40" max="41" width="23.84375" style="178" hidden="1" customWidth="1" outlineLevel="1"/>
    <col min="42" max="42" width="26" style="178" bestFit="1" customWidth="1" collapsed="1"/>
    <col min="43" max="43" width="23" style="188" bestFit="1" customWidth="1"/>
    <col min="44" max="44" width="14.4609375" style="178" bestFit="1" customWidth="1"/>
    <col min="45" max="45" width="20.4609375" style="178" bestFit="1" customWidth="1"/>
    <col min="46" max="46" width="7.15234375" style="178" bestFit="1" customWidth="1"/>
    <col min="47" max="16384" width="9.15234375" style="178"/>
  </cols>
  <sheetData>
    <row r="1" spans="1:49" s="168" customFormat="1">
      <c r="A1" s="604" t="s">
        <v>138</v>
      </c>
      <c r="B1" s="604"/>
      <c r="C1" s="604"/>
      <c r="D1" s="604"/>
      <c r="E1" s="165"/>
      <c r="F1" s="166" t="s">
        <v>97</v>
      </c>
      <c r="G1" s="164">
        <v>1</v>
      </c>
      <c r="H1" s="164">
        <v>2</v>
      </c>
      <c r="I1" s="164">
        <v>3</v>
      </c>
      <c r="J1" s="164">
        <v>4</v>
      </c>
      <c r="K1" s="164">
        <v>5</v>
      </c>
      <c r="L1" s="164">
        <v>6</v>
      </c>
      <c r="M1" s="164">
        <v>7</v>
      </c>
      <c r="N1" s="164">
        <v>8</v>
      </c>
      <c r="O1" s="164">
        <v>9</v>
      </c>
      <c r="P1" s="164">
        <v>10</v>
      </c>
      <c r="Q1" s="164">
        <v>11</v>
      </c>
      <c r="R1" s="164">
        <v>12</v>
      </c>
      <c r="S1" s="164">
        <v>13</v>
      </c>
      <c r="T1" s="164">
        <v>14</v>
      </c>
      <c r="U1" s="164">
        <v>15</v>
      </c>
      <c r="V1" s="164">
        <v>16</v>
      </c>
      <c r="W1" s="164">
        <v>17</v>
      </c>
      <c r="X1" s="164">
        <v>18</v>
      </c>
      <c r="Y1" s="164">
        <v>19</v>
      </c>
      <c r="Z1" s="164">
        <v>20</v>
      </c>
      <c r="AA1" s="164">
        <v>21</v>
      </c>
      <c r="AB1" s="164">
        <v>22</v>
      </c>
      <c r="AC1" s="164">
        <v>23</v>
      </c>
      <c r="AD1" s="164">
        <v>24</v>
      </c>
      <c r="AE1" s="164">
        <v>25</v>
      </c>
      <c r="AF1" s="164">
        <v>26</v>
      </c>
      <c r="AG1" s="164">
        <v>27</v>
      </c>
      <c r="AH1" s="164">
        <v>28</v>
      </c>
      <c r="AI1" s="164">
        <v>29</v>
      </c>
      <c r="AJ1" s="164">
        <v>30</v>
      </c>
      <c r="AK1" s="164">
        <v>31</v>
      </c>
      <c r="AL1" s="164">
        <v>32</v>
      </c>
      <c r="AM1" s="164">
        <v>33</v>
      </c>
      <c r="AN1" s="164">
        <v>34</v>
      </c>
      <c r="AO1" s="164">
        <v>35</v>
      </c>
      <c r="AP1" s="164">
        <v>36</v>
      </c>
      <c r="AQ1" s="167"/>
      <c r="AR1" s="165"/>
      <c r="AW1" s="229"/>
    </row>
    <row r="2" spans="1:49" s="168" customFormat="1">
      <c r="A2" s="604"/>
      <c r="B2" s="604"/>
      <c r="C2" s="604"/>
      <c r="D2" s="604"/>
      <c r="E2" s="165"/>
      <c r="F2" s="166" t="s">
        <v>96</v>
      </c>
      <c r="G2" s="164">
        <f>YEAR(G3)</f>
        <v>2019</v>
      </c>
      <c r="H2" s="164">
        <f t="shared" ref="H2:R2" si="0">YEAR(H3)</f>
        <v>2019</v>
      </c>
      <c r="I2" s="164">
        <f t="shared" si="0"/>
        <v>2019</v>
      </c>
      <c r="J2" s="164">
        <f t="shared" si="0"/>
        <v>2019</v>
      </c>
      <c r="K2" s="164">
        <f t="shared" si="0"/>
        <v>2019</v>
      </c>
      <c r="L2" s="164">
        <f t="shared" si="0"/>
        <v>2019</v>
      </c>
      <c r="M2" s="164">
        <f t="shared" si="0"/>
        <v>2019</v>
      </c>
      <c r="N2" s="164">
        <f t="shared" si="0"/>
        <v>2019</v>
      </c>
      <c r="O2" s="164">
        <f t="shared" si="0"/>
        <v>2020</v>
      </c>
      <c r="P2" s="164">
        <f t="shared" si="0"/>
        <v>2020</v>
      </c>
      <c r="Q2" s="164">
        <f t="shared" si="0"/>
        <v>2020</v>
      </c>
      <c r="R2" s="164">
        <f t="shared" si="0"/>
        <v>2020</v>
      </c>
      <c r="S2" s="164">
        <f>YEAR(S3)</f>
        <v>2020</v>
      </c>
      <c r="T2" s="164">
        <f t="shared" ref="T2:AD2" si="1">YEAR(T3)</f>
        <v>2020</v>
      </c>
      <c r="U2" s="164">
        <f t="shared" si="1"/>
        <v>2020</v>
      </c>
      <c r="V2" s="164">
        <f t="shared" si="1"/>
        <v>2020</v>
      </c>
      <c r="W2" s="164">
        <f t="shared" si="1"/>
        <v>2020</v>
      </c>
      <c r="X2" s="164">
        <f t="shared" si="1"/>
        <v>2020</v>
      </c>
      <c r="Y2" s="164">
        <f t="shared" si="1"/>
        <v>2020</v>
      </c>
      <c r="Z2" s="164">
        <f t="shared" si="1"/>
        <v>2020</v>
      </c>
      <c r="AA2" s="164">
        <f t="shared" si="1"/>
        <v>2021</v>
      </c>
      <c r="AB2" s="164">
        <f t="shared" si="1"/>
        <v>2021</v>
      </c>
      <c r="AC2" s="164">
        <f t="shared" si="1"/>
        <v>2021</v>
      </c>
      <c r="AD2" s="164">
        <f t="shared" si="1"/>
        <v>2021</v>
      </c>
      <c r="AE2" s="164">
        <f>YEAR(AE3)</f>
        <v>2021</v>
      </c>
      <c r="AF2" s="164">
        <f t="shared" ref="AF2:AP2" si="2">YEAR(AF3)</f>
        <v>2021</v>
      </c>
      <c r="AG2" s="164">
        <f t="shared" si="2"/>
        <v>2021</v>
      </c>
      <c r="AH2" s="164">
        <f t="shared" si="2"/>
        <v>2021</v>
      </c>
      <c r="AI2" s="164">
        <f t="shared" si="2"/>
        <v>2021</v>
      </c>
      <c r="AJ2" s="164">
        <f t="shared" si="2"/>
        <v>2021</v>
      </c>
      <c r="AK2" s="164">
        <f t="shared" si="2"/>
        <v>2021</v>
      </c>
      <c r="AL2" s="164">
        <f t="shared" si="2"/>
        <v>2021</v>
      </c>
      <c r="AM2" s="164">
        <f t="shared" si="2"/>
        <v>2022</v>
      </c>
      <c r="AN2" s="164">
        <f t="shared" si="2"/>
        <v>2022</v>
      </c>
      <c r="AO2" s="164">
        <f t="shared" si="2"/>
        <v>2022</v>
      </c>
      <c r="AP2" s="164">
        <f t="shared" si="2"/>
        <v>2022</v>
      </c>
      <c r="AQ2" s="169"/>
      <c r="AR2" s="164"/>
      <c r="AW2" s="229"/>
    </row>
    <row r="3" spans="1:49" s="168" customFormat="1">
      <c r="A3" s="604"/>
      <c r="B3" s="604"/>
      <c r="C3" s="604"/>
      <c r="D3" s="604"/>
      <c r="E3" s="165"/>
      <c r="F3" s="166" t="s">
        <v>14</v>
      </c>
      <c r="G3" s="170">
        <v>43586</v>
      </c>
      <c r="H3" s="170">
        <v>43617</v>
      </c>
      <c r="I3" s="170">
        <v>43647</v>
      </c>
      <c r="J3" s="170">
        <v>43678</v>
      </c>
      <c r="K3" s="170">
        <v>43709</v>
      </c>
      <c r="L3" s="170">
        <v>43739</v>
      </c>
      <c r="M3" s="170">
        <v>43770</v>
      </c>
      <c r="N3" s="170">
        <v>43800</v>
      </c>
      <c r="O3" s="170">
        <v>43831</v>
      </c>
      <c r="P3" s="170">
        <v>43862</v>
      </c>
      <c r="Q3" s="170">
        <v>43891</v>
      </c>
      <c r="R3" s="170">
        <v>43922</v>
      </c>
      <c r="S3" s="170">
        <v>43952</v>
      </c>
      <c r="T3" s="170">
        <v>43983</v>
      </c>
      <c r="U3" s="170">
        <v>44013</v>
      </c>
      <c r="V3" s="170">
        <v>44044</v>
      </c>
      <c r="W3" s="170">
        <v>44075</v>
      </c>
      <c r="X3" s="170">
        <v>44105</v>
      </c>
      <c r="Y3" s="170">
        <v>44136</v>
      </c>
      <c r="Z3" s="170">
        <v>44166</v>
      </c>
      <c r="AA3" s="170">
        <v>44197</v>
      </c>
      <c r="AB3" s="170">
        <v>44228</v>
      </c>
      <c r="AC3" s="170">
        <v>44256</v>
      </c>
      <c r="AD3" s="170">
        <v>44287</v>
      </c>
      <c r="AE3" s="170">
        <v>44317</v>
      </c>
      <c r="AF3" s="170">
        <v>44348</v>
      </c>
      <c r="AG3" s="170">
        <v>44378</v>
      </c>
      <c r="AH3" s="170">
        <v>44409</v>
      </c>
      <c r="AI3" s="170">
        <v>44440</v>
      </c>
      <c r="AJ3" s="170">
        <v>44470</v>
      </c>
      <c r="AK3" s="170">
        <v>44501</v>
      </c>
      <c r="AL3" s="170">
        <v>44531</v>
      </c>
      <c r="AM3" s="170">
        <v>44562</v>
      </c>
      <c r="AN3" s="170">
        <v>44593</v>
      </c>
      <c r="AO3" s="170">
        <v>44621</v>
      </c>
      <c r="AP3" s="170">
        <v>44652</v>
      </c>
      <c r="AQ3" s="169"/>
      <c r="AR3" s="170"/>
      <c r="AW3" s="229"/>
    </row>
    <row r="4" spans="1:49" s="171" customFormat="1">
      <c r="B4" s="204" t="s">
        <v>135</v>
      </c>
      <c r="C4" s="204" t="s">
        <v>136</v>
      </c>
      <c r="D4" s="204" t="s">
        <v>137</v>
      </c>
      <c r="E4" s="602" t="s">
        <v>139</v>
      </c>
      <c r="F4" s="603"/>
      <c r="AQ4" s="203" t="s">
        <v>98</v>
      </c>
      <c r="AR4" s="204" t="s">
        <v>76</v>
      </c>
      <c r="AW4" s="229"/>
    </row>
    <row r="5" spans="1:49" ht="20.6">
      <c r="A5" s="322" t="s">
        <v>99</v>
      </c>
      <c r="B5" s="174"/>
      <c r="C5" s="175"/>
      <c r="D5" s="176"/>
      <c r="E5" s="174"/>
      <c r="F5" s="177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9"/>
      <c r="AR5" s="176"/>
      <c r="AT5" s="314"/>
    </row>
    <row r="6" spans="1:49" s="252" customFormat="1" ht="20.6">
      <c r="A6" s="449" t="s">
        <v>150</v>
      </c>
      <c r="B6" s="250"/>
      <c r="C6" s="250"/>
      <c r="D6" s="250"/>
      <c r="E6" s="250"/>
      <c r="F6" s="253" t="s">
        <v>155</v>
      </c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8"/>
      <c r="AF6" s="268"/>
      <c r="AG6" s="268"/>
      <c r="AH6" s="268"/>
      <c r="AI6" s="268"/>
      <c r="AJ6" s="268"/>
      <c r="AK6" s="268"/>
      <c r="AL6" s="268"/>
      <c r="AM6" s="268"/>
      <c r="AN6" s="268"/>
      <c r="AO6" s="268"/>
      <c r="AP6" s="268"/>
      <c r="AQ6" s="450"/>
    </row>
    <row r="7" spans="1:49" s="252" customFormat="1" ht="20.6">
      <c r="A7" s="455" t="s">
        <v>154</v>
      </c>
      <c r="B7" s="456"/>
      <c r="C7" s="456"/>
      <c r="D7" s="456"/>
      <c r="E7" s="456"/>
      <c r="F7" s="457"/>
      <c r="G7" s="458">
        <f>G6</f>
        <v>0</v>
      </c>
      <c r="H7" s="458">
        <f>G7+H6</f>
        <v>0</v>
      </c>
      <c r="I7" s="458">
        <f t="shared" ref="I7:AP7" si="3">H7+I6</f>
        <v>0</v>
      </c>
      <c r="J7" s="458">
        <f t="shared" si="3"/>
        <v>0</v>
      </c>
      <c r="K7" s="458">
        <f t="shared" si="3"/>
        <v>0</v>
      </c>
      <c r="L7" s="458">
        <f t="shared" si="3"/>
        <v>0</v>
      </c>
      <c r="M7" s="458">
        <f t="shared" si="3"/>
        <v>0</v>
      </c>
      <c r="N7" s="458">
        <f t="shared" si="3"/>
        <v>0</v>
      </c>
      <c r="O7" s="458">
        <f t="shared" si="3"/>
        <v>0</v>
      </c>
      <c r="P7" s="458">
        <f t="shared" si="3"/>
        <v>0</v>
      </c>
      <c r="Q7" s="458">
        <f t="shared" si="3"/>
        <v>0</v>
      </c>
      <c r="R7" s="458">
        <f t="shared" si="3"/>
        <v>0</v>
      </c>
      <c r="S7" s="458">
        <f t="shared" si="3"/>
        <v>0</v>
      </c>
      <c r="T7" s="458">
        <f t="shared" si="3"/>
        <v>0</v>
      </c>
      <c r="U7" s="458">
        <f t="shared" si="3"/>
        <v>0</v>
      </c>
      <c r="V7" s="458">
        <f t="shared" si="3"/>
        <v>0</v>
      </c>
      <c r="W7" s="458">
        <f t="shared" si="3"/>
        <v>0</v>
      </c>
      <c r="X7" s="458">
        <f t="shared" si="3"/>
        <v>0</v>
      </c>
      <c r="Y7" s="458">
        <f t="shared" si="3"/>
        <v>0</v>
      </c>
      <c r="Z7" s="458">
        <f t="shared" si="3"/>
        <v>0</v>
      </c>
      <c r="AA7" s="458">
        <f t="shared" si="3"/>
        <v>0</v>
      </c>
      <c r="AB7" s="458">
        <f t="shared" si="3"/>
        <v>0</v>
      </c>
      <c r="AC7" s="458">
        <f t="shared" si="3"/>
        <v>0</v>
      </c>
      <c r="AD7" s="458">
        <f t="shared" si="3"/>
        <v>0</v>
      </c>
      <c r="AE7" s="458">
        <f t="shared" si="3"/>
        <v>0</v>
      </c>
      <c r="AF7" s="458">
        <f t="shared" si="3"/>
        <v>0</v>
      </c>
      <c r="AG7" s="458">
        <f t="shared" si="3"/>
        <v>0</v>
      </c>
      <c r="AH7" s="458">
        <f t="shared" si="3"/>
        <v>0</v>
      </c>
      <c r="AI7" s="458">
        <f t="shared" si="3"/>
        <v>0</v>
      </c>
      <c r="AJ7" s="458">
        <f t="shared" si="3"/>
        <v>0</v>
      </c>
      <c r="AK7" s="458">
        <f t="shared" si="3"/>
        <v>0</v>
      </c>
      <c r="AL7" s="458">
        <f t="shared" si="3"/>
        <v>0</v>
      </c>
      <c r="AM7" s="458">
        <f t="shared" si="3"/>
        <v>0</v>
      </c>
      <c r="AN7" s="458">
        <f t="shared" si="3"/>
        <v>0</v>
      </c>
      <c r="AO7" s="458">
        <f t="shared" si="3"/>
        <v>0</v>
      </c>
      <c r="AP7" s="458">
        <f t="shared" si="3"/>
        <v>0</v>
      </c>
      <c r="AQ7" s="450"/>
    </row>
    <row r="8" spans="1:49" s="452" customFormat="1" ht="20.6">
      <c r="A8" s="449" t="s">
        <v>151</v>
      </c>
      <c r="B8" s="451"/>
      <c r="F8" s="253" t="s">
        <v>155</v>
      </c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53"/>
      <c r="X8" s="453"/>
      <c r="Y8" s="453"/>
      <c r="Z8" s="453"/>
      <c r="AA8" s="453"/>
      <c r="AB8" s="453"/>
      <c r="AC8" s="453"/>
      <c r="AD8" s="453"/>
      <c r="AE8" s="453"/>
      <c r="AF8" s="453"/>
      <c r="AG8" s="453"/>
      <c r="AH8" s="453"/>
      <c r="AI8" s="453"/>
      <c r="AJ8" s="453"/>
      <c r="AK8" s="453"/>
      <c r="AL8" s="453"/>
      <c r="AM8" s="453"/>
      <c r="AN8" s="453"/>
      <c r="AO8" s="453"/>
      <c r="AP8" s="453"/>
      <c r="AQ8" s="454"/>
    </row>
    <row r="9" spans="1:49" s="252" customFormat="1" ht="20.6">
      <c r="A9" s="455" t="s">
        <v>154</v>
      </c>
      <c r="B9" s="456"/>
      <c r="C9" s="456"/>
      <c r="D9" s="456"/>
      <c r="E9" s="456"/>
      <c r="F9" s="457"/>
      <c r="G9" s="458">
        <f>G8</f>
        <v>0</v>
      </c>
      <c r="H9" s="458">
        <f>G9+H8</f>
        <v>0</v>
      </c>
      <c r="I9" s="458">
        <f t="shared" ref="I9" si="4">H9+I8</f>
        <v>0</v>
      </c>
      <c r="J9" s="458">
        <f t="shared" ref="J9" si="5">I9+J8</f>
        <v>0</v>
      </c>
      <c r="K9" s="458">
        <f t="shared" ref="K9" si="6">J9+K8</f>
        <v>0</v>
      </c>
      <c r="L9" s="458">
        <f t="shared" ref="L9" si="7">K9+L8</f>
        <v>0</v>
      </c>
      <c r="M9" s="458">
        <f t="shared" ref="M9" si="8">L9+M8</f>
        <v>0</v>
      </c>
      <c r="N9" s="458">
        <f t="shared" ref="N9" si="9">M9+N8</f>
        <v>0</v>
      </c>
      <c r="O9" s="458">
        <f t="shared" ref="O9" si="10">N9+O8</f>
        <v>0</v>
      </c>
      <c r="P9" s="458">
        <f t="shared" ref="P9" si="11">O9+P8</f>
        <v>0</v>
      </c>
      <c r="Q9" s="458">
        <f t="shared" ref="Q9" si="12">P9+Q8</f>
        <v>0</v>
      </c>
      <c r="R9" s="458">
        <f t="shared" ref="R9" si="13">Q9+R8</f>
        <v>0</v>
      </c>
      <c r="S9" s="458">
        <f t="shared" ref="S9" si="14">R9+S8</f>
        <v>0</v>
      </c>
      <c r="T9" s="458">
        <f t="shared" ref="T9" si="15">S9+T8</f>
        <v>0</v>
      </c>
      <c r="U9" s="458">
        <f t="shared" ref="U9" si="16">T9+U8</f>
        <v>0</v>
      </c>
      <c r="V9" s="458">
        <f t="shared" ref="V9" si="17">U9+V8</f>
        <v>0</v>
      </c>
      <c r="W9" s="458">
        <f t="shared" ref="W9" si="18">V9+W8</f>
        <v>0</v>
      </c>
      <c r="X9" s="458">
        <f t="shared" ref="X9" si="19">W9+X8</f>
        <v>0</v>
      </c>
      <c r="Y9" s="458">
        <f t="shared" ref="Y9" si="20">X9+Y8</f>
        <v>0</v>
      </c>
      <c r="Z9" s="458">
        <f t="shared" ref="Z9" si="21">Y9+Z8</f>
        <v>0</v>
      </c>
      <c r="AA9" s="458">
        <f t="shared" ref="AA9" si="22">Z9+AA8</f>
        <v>0</v>
      </c>
      <c r="AB9" s="458">
        <f t="shared" ref="AB9" si="23">AA9+AB8</f>
        <v>0</v>
      </c>
      <c r="AC9" s="458">
        <f t="shared" ref="AC9" si="24">AB9+AC8</f>
        <v>0</v>
      </c>
      <c r="AD9" s="458">
        <f t="shared" ref="AD9" si="25">AC9+AD8</f>
        <v>0</v>
      </c>
      <c r="AE9" s="458">
        <f t="shared" ref="AE9" si="26">AD9+AE8</f>
        <v>0</v>
      </c>
      <c r="AF9" s="458">
        <f t="shared" ref="AF9" si="27">AE9+AF8</f>
        <v>0</v>
      </c>
      <c r="AG9" s="458">
        <f t="shared" ref="AG9" si="28">AF9+AG8</f>
        <v>0</v>
      </c>
      <c r="AH9" s="458">
        <f t="shared" ref="AH9" si="29">AG9+AH8</f>
        <v>0</v>
      </c>
      <c r="AI9" s="458">
        <f t="shared" ref="AI9" si="30">AH9+AI8</f>
        <v>0</v>
      </c>
      <c r="AJ9" s="458">
        <f t="shared" ref="AJ9" si="31">AI9+AJ8</f>
        <v>0</v>
      </c>
      <c r="AK9" s="458">
        <f t="shared" ref="AK9" si="32">AJ9+AK8</f>
        <v>0</v>
      </c>
      <c r="AL9" s="458">
        <f t="shared" ref="AL9" si="33">AK9+AL8</f>
        <v>0</v>
      </c>
      <c r="AM9" s="458">
        <f t="shared" ref="AM9" si="34">AL9+AM8</f>
        <v>0</v>
      </c>
      <c r="AN9" s="458">
        <f t="shared" ref="AN9" si="35">AM9+AN8</f>
        <v>0</v>
      </c>
      <c r="AO9" s="458">
        <f t="shared" ref="AO9" si="36">AN9+AO8</f>
        <v>0</v>
      </c>
      <c r="AP9" s="458">
        <f t="shared" ref="AP9" si="37">AO9+AP8</f>
        <v>0</v>
      </c>
      <c r="AQ9" s="450"/>
    </row>
    <row r="10" spans="1:49" s="452" customFormat="1" ht="20.6">
      <c r="A10" s="449" t="s">
        <v>152</v>
      </c>
      <c r="F10" s="253" t="s">
        <v>155</v>
      </c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  <c r="AA10" s="453"/>
      <c r="AB10" s="453"/>
      <c r="AC10" s="453"/>
      <c r="AD10" s="453"/>
      <c r="AE10" s="453"/>
      <c r="AF10" s="453"/>
      <c r="AG10" s="453"/>
      <c r="AH10" s="453"/>
      <c r="AI10" s="453"/>
      <c r="AJ10" s="453"/>
      <c r="AK10" s="453"/>
      <c r="AL10" s="453"/>
      <c r="AM10" s="453"/>
      <c r="AN10" s="453"/>
      <c r="AO10" s="453"/>
      <c r="AP10" s="453"/>
      <c r="AQ10" s="454"/>
    </row>
    <row r="11" spans="1:49" s="252" customFormat="1" ht="20.6">
      <c r="A11" s="455" t="s">
        <v>154</v>
      </c>
      <c r="B11" s="456"/>
      <c r="C11" s="456"/>
      <c r="D11" s="456"/>
      <c r="E11" s="456"/>
      <c r="F11" s="457"/>
      <c r="G11" s="458">
        <f>G10</f>
        <v>0</v>
      </c>
      <c r="H11" s="458">
        <f>G11+H10</f>
        <v>0</v>
      </c>
      <c r="I11" s="458">
        <f t="shared" ref="I11" si="38">H11+I10</f>
        <v>0</v>
      </c>
      <c r="J11" s="458">
        <f t="shared" ref="J11" si="39">I11+J10</f>
        <v>0</v>
      </c>
      <c r="K11" s="458">
        <f t="shared" ref="K11" si="40">J11+K10</f>
        <v>0</v>
      </c>
      <c r="L11" s="458">
        <f t="shared" ref="L11" si="41">K11+L10</f>
        <v>0</v>
      </c>
      <c r="M11" s="458">
        <f t="shared" ref="M11" si="42">L11+M10</f>
        <v>0</v>
      </c>
      <c r="N11" s="458">
        <f t="shared" ref="N11" si="43">M11+N10</f>
        <v>0</v>
      </c>
      <c r="O11" s="458">
        <f t="shared" ref="O11" si="44">N11+O10</f>
        <v>0</v>
      </c>
      <c r="P11" s="458">
        <f t="shared" ref="P11" si="45">O11+P10</f>
        <v>0</v>
      </c>
      <c r="Q11" s="458">
        <f t="shared" ref="Q11" si="46">P11+Q10</f>
        <v>0</v>
      </c>
      <c r="R11" s="458">
        <f t="shared" ref="R11" si="47">Q11+R10</f>
        <v>0</v>
      </c>
      <c r="S11" s="458">
        <f t="shared" ref="S11" si="48">R11+S10</f>
        <v>0</v>
      </c>
      <c r="T11" s="458">
        <f t="shared" ref="T11" si="49">S11+T10</f>
        <v>0</v>
      </c>
      <c r="U11" s="458">
        <f t="shared" ref="U11" si="50">T11+U10</f>
        <v>0</v>
      </c>
      <c r="V11" s="458">
        <f t="shared" ref="V11" si="51">U11+V10</f>
        <v>0</v>
      </c>
      <c r="W11" s="458">
        <f t="shared" ref="W11" si="52">V11+W10</f>
        <v>0</v>
      </c>
      <c r="X11" s="458">
        <f t="shared" ref="X11" si="53">W11+X10</f>
        <v>0</v>
      </c>
      <c r="Y11" s="458">
        <f t="shared" ref="Y11" si="54">X11+Y10</f>
        <v>0</v>
      </c>
      <c r="Z11" s="458">
        <f t="shared" ref="Z11" si="55">Y11+Z10</f>
        <v>0</v>
      </c>
      <c r="AA11" s="458">
        <f t="shared" ref="AA11" si="56">Z11+AA10</f>
        <v>0</v>
      </c>
      <c r="AB11" s="458">
        <f t="shared" ref="AB11" si="57">AA11+AB10</f>
        <v>0</v>
      </c>
      <c r="AC11" s="458">
        <f t="shared" ref="AC11" si="58">AB11+AC10</f>
        <v>0</v>
      </c>
      <c r="AD11" s="458">
        <f t="shared" ref="AD11" si="59">AC11+AD10</f>
        <v>0</v>
      </c>
      <c r="AE11" s="458">
        <f t="shared" ref="AE11" si="60">AD11+AE10</f>
        <v>0</v>
      </c>
      <c r="AF11" s="458">
        <f t="shared" ref="AF11" si="61">AE11+AF10</f>
        <v>0</v>
      </c>
      <c r="AG11" s="458">
        <f t="shared" ref="AG11" si="62">AF11+AG10</f>
        <v>0</v>
      </c>
      <c r="AH11" s="458">
        <f t="shared" ref="AH11" si="63">AG11+AH10</f>
        <v>0</v>
      </c>
      <c r="AI11" s="458">
        <f t="shared" ref="AI11" si="64">AH11+AI10</f>
        <v>0</v>
      </c>
      <c r="AJ11" s="458">
        <f t="shared" ref="AJ11" si="65">AI11+AJ10</f>
        <v>0</v>
      </c>
      <c r="AK11" s="458">
        <f t="shared" ref="AK11" si="66">AJ11+AK10</f>
        <v>0</v>
      </c>
      <c r="AL11" s="458">
        <f t="shared" ref="AL11" si="67">AK11+AL10</f>
        <v>0</v>
      </c>
      <c r="AM11" s="458">
        <f t="shared" ref="AM11" si="68">AL11+AM10</f>
        <v>0</v>
      </c>
      <c r="AN11" s="458">
        <f t="shared" ref="AN11" si="69">AM11+AN10</f>
        <v>0</v>
      </c>
      <c r="AO11" s="458">
        <f t="shared" ref="AO11" si="70">AN11+AO10</f>
        <v>0</v>
      </c>
      <c r="AP11" s="458">
        <f t="shared" ref="AP11" si="71">AO11+AP10</f>
        <v>0</v>
      </c>
      <c r="AQ11" s="450"/>
    </row>
    <row r="12" spans="1:49">
      <c r="A12" s="247"/>
      <c r="B12" s="240"/>
      <c r="C12" s="224"/>
      <c r="D12" s="180"/>
      <c r="E12" s="234"/>
      <c r="F12" s="181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182"/>
      <c r="AR12" s="183"/>
    </row>
    <row r="13" spans="1:49">
      <c r="A13" s="248"/>
      <c r="F13" s="181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182"/>
      <c r="AR13" s="183"/>
    </row>
    <row r="14" spans="1:49">
      <c r="A14" s="246"/>
      <c r="F14" s="181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182"/>
      <c r="AR14" s="183"/>
    </row>
    <row r="15" spans="1:49">
      <c r="A15" s="247"/>
      <c r="C15" s="258"/>
      <c r="F15" s="181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182"/>
      <c r="AR15" s="183"/>
    </row>
    <row r="16" spans="1:49" s="242" customFormat="1">
      <c r="A16" s="248"/>
      <c r="F16" s="243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5"/>
    </row>
    <row r="17" spans="1:44">
      <c r="A17" s="248"/>
      <c r="B17" s="241"/>
      <c r="C17" s="241"/>
      <c r="D17" s="241"/>
      <c r="F17" s="315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182"/>
      <c r="AR17" s="183"/>
    </row>
    <row r="18" spans="1:44">
      <c r="A18" s="248"/>
      <c r="B18" s="260"/>
      <c r="C18" s="260"/>
      <c r="D18" s="260"/>
      <c r="F18" s="181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182"/>
      <c r="AR18" s="183"/>
    </row>
    <row r="19" spans="1:44" ht="20.6">
      <c r="A19" s="322" t="s">
        <v>100</v>
      </c>
      <c r="B19" s="185"/>
      <c r="C19" s="186"/>
      <c r="D19" s="173"/>
      <c r="E19" s="185"/>
      <c r="F19" s="187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01" t="s">
        <v>98</v>
      </c>
      <c r="AR19" s="202" t="s">
        <v>76</v>
      </c>
    </row>
    <row r="20" spans="1:44" s="252" customFormat="1" ht="20.6">
      <c r="A20" s="249" t="s">
        <v>77</v>
      </c>
      <c r="B20" s="250"/>
      <c r="C20" s="251" t="s">
        <v>129</v>
      </c>
      <c r="E20" s="250"/>
      <c r="F20" s="253"/>
      <c r="G20" s="257">
        <f>SUM(G21:G22)</f>
        <v>0</v>
      </c>
      <c r="H20" s="257">
        <f t="shared" ref="H20:AP20" si="72">SUM(H21:H22)</f>
        <v>0</v>
      </c>
      <c r="I20" s="257">
        <f t="shared" si="72"/>
        <v>0</v>
      </c>
      <c r="J20" s="257">
        <f t="shared" si="72"/>
        <v>0</v>
      </c>
      <c r="K20" s="257">
        <f t="shared" si="72"/>
        <v>0</v>
      </c>
      <c r="L20" s="257">
        <f t="shared" si="72"/>
        <v>0</v>
      </c>
      <c r="M20" s="257">
        <f t="shared" si="72"/>
        <v>0</v>
      </c>
      <c r="N20" s="257">
        <f t="shared" si="72"/>
        <v>0</v>
      </c>
      <c r="O20" s="257">
        <f t="shared" si="72"/>
        <v>0</v>
      </c>
      <c r="P20" s="257">
        <f t="shared" si="72"/>
        <v>0</v>
      </c>
      <c r="Q20" s="257">
        <f t="shared" si="72"/>
        <v>0</v>
      </c>
      <c r="R20" s="257">
        <f t="shared" si="72"/>
        <v>0</v>
      </c>
      <c r="S20" s="257">
        <f t="shared" si="72"/>
        <v>0</v>
      </c>
      <c r="T20" s="257">
        <f t="shared" si="72"/>
        <v>0</v>
      </c>
      <c r="U20" s="257">
        <f t="shared" si="72"/>
        <v>0</v>
      </c>
      <c r="V20" s="257">
        <f t="shared" si="72"/>
        <v>0</v>
      </c>
      <c r="W20" s="257">
        <f t="shared" si="72"/>
        <v>0</v>
      </c>
      <c r="X20" s="257">
        <f t="shared" si="72"/>
        <v>0</v>
      </c>
      <c r="Y20" s="257">
        <f t="shared" si="72"/>
        <v>0</v>
      </c>
      <c r="Z20" s="257">
        <f t="shared" si="72"/>
        <v>0</v>
      </c>
      <c r="AA20" s="257">
        <f t="shared" si="72"/>
        <v>0</v>
      </c>
      <c r="AB20" s="257">
        <f t="shared" si="72"/>
        <v>0</v>
      </c>
      <c r="AC20" s="257">
        <f t="shared" si="72"/>
        <v>0</v>
      </c>
      <c r="AD20" s="257">
        <f t="shared" si="72"/>
        <v>0</v>
      </c>
      <c r="AE20" s="257">
        <f t="shared" si="72"/>
        <v>0</v>
      </c>
      <c r="AF20" s="257">
        <f t="shared" si="72"/>
        <v>0</v>
      </c>
      <c r="AG20" s="257">
        <f t="shared" si="72"/>
        <v>0</v>
      </c>
      <c r="AH20" s="257">
        <f t="shared" si="72"/>
        <v>0</v>
      </c>
      <c r="AI20" s="257">
        <f t="shared" si="72"/>
        <v>0</v>
      </c>
      <c r="AJ20" s="257">
        <f t="shared" si="72"/>
        <v>0</v>
      </c>
      <c r="AK20" s="257">
        <f t="shared" si="72"/>
        <v>0</v>
      </c>
      <c r="AL20" s="257">
        <f t="shared" si="72"/>
        <v>0</v>
      </c>
      <c r="AM20" s="257">
        <f t="shared" si="72"/>
        <v>0</v>
      </c>
      <c r="AN20" s="257">
        <f t="shared" si="72"/>
        <v>0</v>
      </c>
      <c r="AO20" s="257">
        <f t="shared" si="72"/>
        <v>0</v>
      </c>
      <c r="AP20" s="257">
        <f t="shared" si="72"/>
        <v>0</v>
      </c>
      <c r="AQ20" s="255">
        <f>SUM(G20:AP20)</f>
        <v>0</v>
      </c>
      <c r="AR20" s="256" t="e">
        <f>AQ20/$AQ$20</f>
        <v>#DIV/0!</v>
      </c>
    </row>
    <row r="21" spans="1:44" s="249" customFormat="1" ht="20.6">
      <c r="A21" s="426" t="s">
        <v>111</v>
      </c>
      <c r="B21" s="427"/>
      <c r="C21" s="427"/>
      <c r="D21" s="427"/>
      <c r="E21" s="428"/>
      <c r="F21" s="429"/>
      <c r="G21" s="430"/>
      <c r="H21" s="430"/>
      <c r="I21" s="430"/>
      <c r="J21" s="430"/>
      <c r="K21" s="430"/>
      <c r="L21" s="430"/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  <c r="AJ21" s="430"/>
      <c r="AK21" s="430"/>
      <c r="AL21" s="430"/>
      <c r="AM21" s="430"/>
      <c r="AN21" s="430"/>
      <c r="AO21" s="430"/>
      <c r="AP21" s="430"/>
      <c r="AQ21" s="431">
        <f>SUM(G21:AP21)</f>
        <v>0</v>
      </c>
      <c r="AR21" s="432" t="e">
        <f>AQ21/$AQ$20</f>
        <v>#DIV/0!</v>
      </c>
    </row>
    <row r="22" spans="1:44" s="252" customFormat="1" ht="20.6" outlineLevel="1">
      <c r="A22" s="418" t="s">
        <v>130</v>
      </c>
      <c r="B22" s="419"/>
      <c r="C22" s="419"/>
      <c r="D22" s="420"/>
      <c r="E22" s="421"/>
      <c r="F22" s="422"/>
      <c r="G22" s="423">
        <f>SUM(G23:G27)</f>
        <v>0</v>
      </c>
      <c r="H22" s="423">
        <f t="shared" ref="H22:AP22" si="73">SUM(H23:H27)</f>
        <v>0</v>
      </c>
      <c r="I22" s="423">
        <f t="shared" si="73"/>
        <v>0</v>
      </c>
      <c r="J22" s="423">
        <f t="shared" si="73"/>
        <v>0</v>
      </c>
      <c r="K22" s="423">
        <f t="shared" si="73"/>
        <v>0</v>
      </c>
      <c r="L22" s="423">
        <f t="shared" si="73"/>
        <v>0</v>
      </c>
      <c r="M22" s="423">
        <f t="shared" si="73"/>
        <v>0</v>
      </c>
      <c r="N22" s="423">
        <f t="shared" si="73"/>
        <v>0</v>
      </c>
      <c r="O22" s="423">
        <f t="shared" si="73"/>
        <v>0</v>
      </c>
      <c r="P22" s="423">
        <f t="shared" si="73"/>
        <v>0</v>
      </c>
      <c r="Q22" s="423">
        <f t="shared" si="73"/>
        <v>0</v>
      </c>
      <c r="R22" s="423">
        <f t="shared" si="73"/>
        <v>0</v>
      </c>
      <c r="S22" s="423">
        <f t="shared" si="73"/>
        <v>0</v>
      </c>
      <c r="T22" s="423">
        <f t="shared" si="73"/>
        <v>0</v>
      </c>
      <c r="U22" s="423">
        <f t="shared" si="73"/>
        <v>0</v>
      </c>
      <c r="V22" s="423">
        <f t="shared" si="73"/>
        <v>0</v>
      </c>
      <c r="W22" s="423">
        <f t="shared" si="73"/>
        <v>0</v>
      </c>
      <c r="X22" s="423">
        <f t="shared" si="73"/>
        <v>0</v>
      </c>
      <c r="Y22" s="423">
        <f t="shared" si="73"/>
        <v>0</v>
      </c>
      <c r="Z22" s="423">
        <f t="shared" si="73"/>
        <v>0</v>
      </c>
      <c r="AA22" s="423">
        <f t="shared" si="73"/>
        <v>0</v>
      </c>
      <c r="AB22" s="423">
        <f t="shared" si="73"/>
        <v>0</v>
      </c>
      <c r="AC22" s="423">
        <f t="shared" si="73"/>
        <v>0</v>
      </c>
      <c r="AD22" s="423">
        <f t="shared" si="73"/>
        <v>0</v>
      </c>
      <c r="AE22" s="423">
        <f t="shared" si="73"/>
        <v>0</v>
      </c>
      <c r="AF22" s="423">
        <f t="shared" si="73"/>
        <v>0</v>
      </c>
      <c r="AG22" s="423">
        <f t="shared" si="73"/>
        <v>0</v>
      </c>
      <c r="AH22" s="423">
        <f t="shared" si="73"/>
        <v>0</v>
      </c>
      <c r="AI22" s="423">
        <f t="shared" si="73"/>
        <v>0</v>
      </c>
      <c r="AJ22" s="423">
        <f t="shared" si="73"/>
        <v>0</v>
      </c>
      <c r="AK22" s="423">
        <f t="shared" si="73"/>
        <v>0</v>
      </c>
      <c r="AL22" s="423">
        <f t="shared" si="73"/>
        <v>0</v>
      </c>
      <c r="AM22" s="423">
        <f t="shared" si="73"/>
        <v>0</v>
      </c>
      <c r="AN22" s="423">
        <f t="shared" si="73"/>
        <v>0</v>
      </c>
      <c r="AO22" s="423">
        <f t="shared" si="73"/>
        <v>0</v>
      </c>
      <c r="AP22" s="423">
        <f t="shared" si="73"/>
        <v>0</v>
      </c>
      <c r="AQ22" s="424">
        <f>SUM(G22:AP22)</f>
        <v>0</v>
      </c>
      <c r="AR22" s="425" t="e">
        <f>AQ22/$AQ$20</f>
        <v>#DIV/0!</v>
      </c>
    </row>
    <row r="23" spans="1:44" s="447" customFormat="1" outlineLevel="1">
      <c r="A23" s="440" t="s">
        <v>150</v>
      </c>
      <c r="B23" s="441"/>
      <c r="C23" s="441"/>
      <c r="D23" s="442"/>
      <c r="E23" s="443"/>
      <c r="F23" s="461" t="s">
        <v>153</v>
      </c>
      <c r="G23" s="444">
        <f>$E$23*G7</f>
        <v>0</v>
      </c>
      <c r="H23" s="444">
        <f t="shared" ref="H23:AP23" si="74">$E$23*H7</f>
        <v>0</v>
      </c>
      <c r="I23" s="444">
        <f t="shared" si="74"/>
        <v>0</v>
      </c>
      <c r="J23" s="444">
        <f t="shared" si="74"/>
        <v>0</v>
      </c>
      <c r="K23" s="444">
        <f t="shared" si="74"/>
        <v>0</v>
      </c>
      <c r="L23" s="444">
        <f t="shared" si="74"/>
        <v>0</v>
      </c>
      <c r="M23" s="444">
        <f t="shared" si="74"/>
        <v>0</v>
      </c>
      <c r="N23" s="444">
        <f t="shared" si="74"/>
        <v>0</v>
      </c>
      <c r="O23" s="444">
        <f t="shared" si="74"/>
        <v>0</v>
      </c>
      <c r="P23" s="444">
        <f t="shared" si="74"/>
        <v>0</v>
      </c>
      <c r="Q23" s="444">
        <f t="shared" si="74"/>
        <v>0</v>
      </c>
      <c r="R23" s="444">
        <f t="shared" si="74"/>
        <v>0</v>
      </c>
      <c r="S23" s="444">
        <f t="shared" si="74"/>
        <v>0</v>
      </c>
      <c r="T23" s="444">
        <f t="shared" si="74"/>
        <v>0</v>
      </c>
      <c r="U23" s="444">
        <f t="shared" si="74"/>
        <v>0</v>
      </c>
      <c r="V23" s="444">
        <f t="shared" si="74"/>
        <v>0</v>
      </c>
      <c r="W23" s="444">
        <f t="shared" si="74"/>
        <v>0</v>
      </c>
      <c r="X23" s="444">
        <f t="shared" si="74"/>
        <v>0</v>
      </c>
      <c r="Y23" s="444">
        <f t="shared" si="74"/>
        <v>0</v>
      </c>
      <c r="Z23" s="444">
        <f t="shared" si="74"/>
        <v>0</v>
      </c>
      <c r="AA23" s="444">
        <f t="shared" si="74"/>
        <v>0</v>
      </c>
      <c r="AB23" s="444">
        <f t="shared" si="74"/>
        <v>0</v>
      </c>
      <c r="AC23" s="444">
        <f t="shared" si="74"/>
        <v>0</v>
      </c>
      <c r="AD23" s="444">
        <f t="shared" si="74"/>
        <v>0</v>
      </c>
      <c r="AE23" s="444">
        <f t="shared" si="74"/>
        <v>0</v>
      </c>
      <c r="AF23" s="444">
        <f t="shared" si="74"/>
        <v>0</v>
      </c>
      <c r="AG23" s="444">
        <f t="shared" si="74"/>
        <v>0</v>
      </c>
      <c r="AH23" s="444">
        <f t="shared" si="74"/>
        <v>0</v>
      </c>
      <c r="AI23" s="444">
        <f t="shared" si="74"/>
        <v>0</v>
      </c>
      <c r="AJ23" s="444">
        <f t="shared" si="74"/>
        <v>0</v>
      </c>
      <c r="AK23" s="444">
        <f t="shared" si="74"/>
        <v>0</v>
      </c>
      <c r="AL23" s="444">
        <f t="shared" si="74"/>
        <v>0</v>
      </c>
      <c r="AM23" s="444">
        <f t="shared" si="74"/>
        <v>0</v>
      </c>
      <c r="AN23" s="444">
        <f t="shared" si="74"/>
        <v>0</v>
      </c>
      <c r="AO23" s="444">
        <f t="shared" si="74"/>
        <v>0</v>
      </c>
      <c r="AP23" s="444">
        <f t="shared" si="74"/>
        <v>0</v>
      </c>
      <c r="AQ23" s="445">
        <f t="shared" ref="AQ23:AQ27" si="75">SUM(G23:AP23)</f>
        <v>0</v>
      </c>
      <c r="AR23" s="446" t="e">
        <f t="shared" ref="AR23:AR27" si="76">AQ23/$AQ$20</f>
        <v>#DIV/0!</v>
      </c>
    </row>
    <row r="24" spans="1:44" s="447" customFormat="1" outlineLevel="1">
      <c r="A24" s="440" t="s">
        <v>151</v>
      </c>
      <c r="B24" s="441"/>
      <c r="C24" s="441"/>
      <c r="D24" s="442"/>
      <c r="E24" s="443"/>
      <c r="F24" s="461" t="s">
        <v>153</v>
      </c>
      <c r="G24" s="444">
        <f>$E$24*G9</f>
        <v>0</v>
      </c>
      <c r="H24" s="444">
        <f t="shared" ref="H24:AP24" si="77">$E$24*H9</f>
        <v>0</v>
      </c>
      <c r="I24" s="444">
        <f t="shared" si="77"/>
        <v>0</v>
      </c>
      <c r="J24" s="444">
        <f t="shared" si="77"/>
        <v>0</v>
      </c>
      <c r="K24" s="444">
        <f t="shared" si="77"/>
        <v>0</v>
      </c>
      <c r="L24" s="444">
        <f t="shared" si="77"/>
        <v>0</v>
      </c>
      <c r="M24" s="444">
        <f t="shared" si="77"/>
        <v>0</v>
      </c>
      <c r="N24" s="444">
        <f t="shared" si="77"/>
        <v>0</v>
      </c>
      <c r="O24" s="444">
        <f t="shared" si="77"/>
        <v>0</v>
      </c>
      <c r="P24" s="444">
        <f t="shared" si="77"/>
        <v>0</v>
      </c>
      <c r="Q24" s="444">
        <f t="shared" si="77"/>
        <v>0</v>
      </c>
      <c r="R24" s="444">
        <f t="shared" si="77"/>
        <v>0</v>
      </c>
      <c r="S24" s="444">
        <f t="shared" si="77"/>
        <v>0</v>
      </c>
      <c r="T24" s="444">
        <f t="shared" si="77"/>
        <v>0</v>
      </c>
      <c r="U24" s="444">
        <f t="shared" si="77"/>
        <v>0</v>
      </c>
      <c r="V24" s="444">
        <f t="shared" si="77"/>
        <v>0</v>
      </c>
      <c r="W24" s="444">
        <f t="shared" si="77"/>
        <v>0</v>
      </c>
      <c r="X24" s="444">
        <f t="shared" si="77"/>
        <v>0</v>
      </c>
      <c r="Y24" s="444">
        <f t="shared" si="77"/>
        <v>0</v>
      </c>
      <c r="Z24" s="444">
        <f t="shared" si="77"/>
        <v>0</v>
      </c>
      <c r="AA24" s="444">
        <f t="shared" si="77"/>
        <v>0</v>
      </c>
      <c r="AB24" s="444">
        <f t="shared" si="77"/>
        <v>0</v>
      </c>
      <c r="AC24" s="444">
        <f t="shared" si="77"/>
        <v>0</v>
      </c>
      <c r="AD24" s="444">
        <f t="shared" si="77"/>
        <v>0</v>
      </c>
      <c r="AE24" s="444">
        <f t="shared" si="77"/>
        <v>0</v>
      </c>
      <c r="AF24" s="444">
        <f t="shared" si="77"/>
        <v>0</v>
      </c>
      <c r="AG24" s="444">
        <f t="shared" si="77"/>
        <v>0</v>
      </c>
      <c r="AH24" s="444">
        <f t="shared" si="77"/>
        <v>0</v>
      </c>
      <c r="AI24" s="444">
        <f t="shared" si="77"/>
        <v>0</v>
      </c>
      <c r="AJ24" s="444">
        <f t="shared" si="77"/>
        <v>0</v>
      </c>
      <c r="AK24" s="444">
        <f t="shared" si="77"/>
        <v>0</v>
      </c>
      <c r="AL24" s="444">
        <f t="shared" si="77"/>
        <v>0</v>
      </c>
      <c r="AM24" s="444">
        <f t="shared" si="77"/>
        <v>0</v>
      </c>
      <c r="AN24" s="444">
        <f t="shared" si="77"/>
        <v>0</v>
      </c>
      <c r="AO24" s="444">
        <f t="shared" si="77"/>
        <v>0</v>
      </c>
      <c r="AP24" s="444">
        <f t="shared" si="77"/>
        <v>0</v>
      </c>
      <c r="AQ24" s="445">
        <f t="shared" si="75"/>
        <v>0</v>
      </c>
      <c r="AR24" s="446" t="e">
        <f t="shared" si="76"/>
        <v>#DIV/0!</v>
      </c>
    </row>
    <row r="25" spans="1:44" s="447" customFormat="1" outlineLevel="1">
      <c r="A25" s="440" t="s">
        <v>152</v>
      </c>
      <c r="B25" s="441"/>
      <c r="C25" s="441"/>
      <c r="D25" s="442"/>
      <c r="E25" s="443"/>
      <c r="F25" s="461" t="s">
        <v>153</v>
      </c>
      <c r="G25" s="444">
        <f>$E$25*G11</f>
        <v>0</v>
      </c>
      <c r="H25" s="444">
        <f t="shared" ref="H25:AP25" si="78">$E$25*H11</f>
        <v>0</v>
      </c>
      <c r="I25" s="444">
        <f t="shared" si="78"/>
        <v>0</v>
      </c>
      <c r="J25" s="444">
        <f t="shared" si="78"/>
        <v>0</v>
      </c>
      <c r="K25" s="444">
        <f t="shared" si="78"/>
        <v>0</v>
      </c>
      <c r="L25" s="444">
        <f t="shared" si="78"/>
        <v>0</v>
      </c>
      <c r="M25" s="444">
        <f t="shared" si="78"/>
        <v>0</v>
      </c>
      <c r="N25" s="444">
        <f t="shared" si="78"/>
        <v>0</v>
      </c>
      <c r="O25" s="444">
        <f t="shared" si="78"/>
        <v>0</v>
      </c>
      <c r="P25" s="444">
        <f t="shared" si="78"/>
        <v>0</v>
      </c>
      <c r="Q25" s="444">
        <f t="shared" si="78"/>
        <v>0</v>
      </c>
      <c r="R25" s="444">
        <f t="shared" si="78"/>
        <v>0</v>
      </c>
      <c r="S25" s="444">
        <f t="shared" si="78"/>
        <v>0</v>
      </c>
      <c r="T25" s="444">
        <f t="shared" si="78"/>
        <v>0</v>
      </c>
      <c r="U25" s="444">
        <f t="shared" si="78"/>
        <v>0</v>
      </c>
      <c r="V25" s="444">
        <f t="shared" si="78"/>
        <v>0</v>
      </c>
      <c r="W25" s="444">
        <f t="shared" si="78"/>
        <v>0</v>
      </c>
      <c r="X25" s="444">
        <f t="shared" si="78"/>
        <v>0</v>
      </c>
      <c r="Y25" s="444">
        <f t="shared" si="78"/>
        <v>0</v>
      </c>
      <c r="Z25" s="444">
        <f t="shared" si="78"/>
        <v>0</v>
      </c>
      <c r="AA25" s="444">
        <f t="shared" si="78"/>
        <v>0</v>
      </c>
      <c r="AB25" s="444">
        <f t="shared" si="78"/>
        <v>0</v>
      </c>
      <c r="AC25" s="444">
        <f t="shared" si="78"/>
        <v>0</v>
      </c>
      <c r="AD25" s="444">
        <f t="shared" si="78"/>
        <v>0</v>
      </c>
      <c r="AE25" s="444">
        <f t="shared" si="78"/>
        <v>0</v>
      </c>
      <c r="AF25" s="444">
        <f t="shared" si="78"/>
        <v>0</v>
      </c>
      <c r="AG25" s="444">
        <f t="shared" si="78"/>
        <v>0</v>
      </c>
      <c r="AH25" s="444">
        <f t="shared" si="78"/>
        <v>0</v>
      </c>
      <c r="AI25" s="444">
        <f t="shared" si="78"/>
        <v>0</v>
      </c>
      <c r="AJ25" s="444">
        <f t="shared" si="78"/>
        <v>0</v>
      </c>
      <c r="AK25" s="444">
        <f t="shared" si="78"/>
        <v>0</v>
      </c>
      <c r="AL25" s="444">
        <f t="shared" si="78"/>
        <v>0</v>
      </c>
      <c r="AM25" s="444">
        <f t="shared" si="78"/>
        <v>0</v>
      </c>
      <c r="AN25" s="444">
        <f t="shared" si="78"/>
        <v>0</v>
      </c>
      <c r="AO25" s="444">
        <f t="shared" si="78"/>
        <v>0</v>
      </c>
      <c r="AP25" s="444">
        <f t="shared" si="78"/>
        <v>0</v>
      </c>
      <c r="AQ25" s="445">
        <f t="shared" si="75"/>
        <v>0</v>
      </c>
      <c r="AR25" s="446" t="e">
        <f t="shared" si="76"/>
        <v>#DIV/0!</v>
      </c>
    </row>
    <row r="26" spans="1:44" s="252" customFormat="1" ht="20.6" outlineLevel="1">
      <c r="A26" s="434"/>
      <c r="B26" s="269"/>
      <c r="C26" s="269"/>
      <c r="D26" s="435"/>
      <c r="E26" s="436"/>
      <c r="F26" s="437"/>
      <c r="G26" s="438"/>
      <c r="H26" s="438"/>
      <c r="I26" s="438"/>
      <c r="J26" s="438"/>
      <c r="K26" s="438"/>
      <c r="L26" s="438"/>
      <c r="M26" s="438"/>
      <c r="N26" s="438"/>
      <c r="O26" s="438"/>
      <c r="P26" s="438"/>
      <c r="Q26" s="438"/>
      <c r="R26" s="438"/>
      <c r="S26" s="438"/>
      <c r="T26" s="438"/>
      <c r="U26" s="438"/>
      <c r="V26" s="438"/>
      <c r="W26" s="438"/>
      <c r="X26" s="438"/>
      <c r="Y26" s="438"/>
      <c r="Z26" s="438"/>
      <c r="AA26" s="438"/>
      <c r="AB26" s="438"/>
      <c r="AC26" s="438"/>
      <c r="AD26" s="438"/>
      <c r="AE26" s="438"/>
      <c r="AF26" s="438"/>
      <c r="AG26" s="438"/>
      <c r="AH26" s="438"/>
      <c r="AI26" s="438"/>
      <c r="AJ26" s="438"/>
      <c r="AK26" s="438"/>
      <c r="AL26" s="438"/>
      <c r="AM26" s="438"/>
      <c r="AN26" s="438"/>
      <c r="AO26" s="438"/>
      <c r="AP26" s="438"/>
      <c r="AQ26" s="439">
        <f t="shared" si="75"/>
        <v>0</v>
      </c>
      <c r="AR26" s="274" t="e">
        <f t="shared" si="76"/>
        <v>#DIV/0!</v>
      </c>
    </row>
    <row r="27" spans="1:44" s="252" customFormat="1" ht="20.6" outlineLevel="1">
      <c r="A27" s="434"/>
      <c r="B27" s="269"/>
      <c r="C27" s="269"/>
      <c r="D27" s="435"/>
      <c r="E27" s="436"/>
      <c r="F27" s="437"/>
      <c r="G27" s="438"/>
      <c r="H27" s="438"/>
      <c r="I27" s="438"/>
      <c r="J27" s="438"/>
      <c r="K27" s="438"/>
      <c r="L27" s="438"/>
      <c r="M27" s="438"/>
      <c r="N27" s="438"/>
      <c r="O27" s="438"/>
      <c r="P27" s="438"/>
      <c r="Q27" s="438"/>
      <c r="R27" s="438"/>
      <c r="S27" s="438"/>
      <c r="T27" s="438"/>
      <c r="U27" s="438"/>
      <c r="V27" s="438"/>
      <c r="W27" s="438"/>
      <c r="X27" s="438"/>
      <c r="Y27" s="438"/>
      <c r="Z27" s="438"/>
      <c r="AA27" s="438"/>
      <c r="AB27" s="438"/>
      <c r="AC27" s="438"/>
      <c r="AD27" s="438"/>
      <c r="AE27" s="438"/>
      <c r="AF27" s="438"/>
      <c r="AG27" s="438"/>
      <c r="AH27" s="438"/>
      <c r="AI27" s="438"/>
      <c r="AJ27" s="438"/>
      <c r="AK27" s="438"/>
      <c r="AL27" s="438"/>
      <c r="AM27" s="438"/>
      <c r="AN27" s="438"/>
      <c r="AO27" s="438"/>
      <c r="AP27" s="438"/>
      <c r="AQ27" s="439">
        <f t="shared" si="75"/>
        <v>0</v>
      </c>
      <c r="AR27" s="274" t="e">
        <f t="shared" si="76"/>
        <v>#DIV/0!</v>
      </c>
    </row>
    <row r="28" spans="1:44" s="252" customFormat="1" ht="20.6" outlineLevel="1" collapsed="1">
      <c r="A28" s="416" t="s">
        <v>117</v>
      </c>
      <c r="B28" s="402"/>
      <c r="C28" s="403"/>
      <c r="D28" s="404"/>
      <c r="E28" s="402"/>
      <c r="F28" s="417"/>
      <c r="G28" s="405">
        <f>'Infrastructure (Direct Cost)'!B31</f>
        <v>0</v>
      </c>
      <c r="H28" s="405">
        <f>'Infrastructure (Direct Cost)'!C31</f>
        <v>0</v>
      </c>
      <c r="I28" s="405">
        <f>'Infrastructure (Direct Cost)'!D31</f>
        <v>0</v>
      </c>
      <c r="J28" s="405">
        <f>'Infrastructure (Direct Cost)'!E31</f>
        <v>0</v>
      </c>
      <c r="K28" s="405">
        <f>'Infrastructure (Direct Cost)'!F31</f>
        <v>0</v>
      </c>
      <c r="L28" s="405">
        <f>'Infrastructure (Direct Cost)'!G31</f>
        <v>0</v>
      </c>
      <c r="M28" s="405">
        <f>'Infrastructure (Direct Cost)'!H31</f>
        <v>0</v>
      </c>
      <c r="N28" s="405">
        <f>'Infrastructure (Direct Cost)'!I31</f>
        <v>0</v>
      </c>
      <c r="O28" s="405">
        <f>'Infrastructure (Direct Cost)'!J31</f>
        <v>0</v>
      </c>
      <c r="P28" s="405">
        <f>'Infrastructure (Direct Cost)'!K31</f>
        <v>0</v>
      </c>
      <c r="Q28" s="405">
        <f>'Infrastructure (Direct Cost)'!L31</f>
        <v>0</v>
      </c>
      <c r="R28" s="405">
        <f>'Infrastructure (Direct Cost)'!M31</f>
        <v>0</v>
      </c>
      <c r="S28" s="405">
        <f>'Infrastructure (Direct Cost)'!B32</f>
        <v>0</v>
      </c>
      <c r="T28" s="405">
        <f>'Infrastructure (Direct Cost)'!C32</f>
        <v>0</v>
      </c>
      <c r="U28" s="405">
        <f>'Infrastructure (Direct Cost)'!D32</f>
        <v>0</v>
      </c>
      <c r="V28" s="405">
        <f>'Infrastructure (Direct Cost)'!E32</f>
        <v>0</v>
      </c>
      <c r="W28" s="405">
        <f>'Infrastructure (Direct Cost)'!F32</f>
        <v>0</v>
      </c>
      <c r="X28" s="405">
        <f>'Infrastructure (Direct Cost)'!G32</f>
        <v>0</v>
      </c>
      <c r="Y28" s="405">
        <f>'Infrastructure (Direct Cost)'!H32</f>
        <v>0</v>
      </c>
      <c r="Z28" s="405">
        <f>'Infrastructure (Direct Cost)'!I32</f>
        <v>0</v>
      </c>
      <c r="AA28" s="405">
        <f>'Infrastructure (Direct Cost)'!J32</f>
        <v>0</v>
      </c>
      <c r="AB28" s="405">
        <f>'Infrastructure (Direct Cost)'!K32</f>
        <v>0</v>
      </c>
      <c r="AC28" s="405">
        <f>'Infrastructure (Direct Cost)'!L32</f>
        <v>0</v>
      </c>
      <c r="AD28" s="405">
        <f>'Infrastructure (Direct Cost)'!M32</f>
        <v>0</v>
      </c>
      <c r="AE28" s="405">
        <f>'Infrastructure (Direct Cost)'!B33</f>
        <v>0</v>
      </c>
      <c r="AF28" s="405">
        <f>'Infrastructure (Direct Cost)'!C33</f>
        <v>0</v>
      </c>
      <c r="AG28" s="405">
        <f>'Infrastructure (Direct Cost)'!D33</f>
        <v>0</v>
      </c>
      <c r="AH28" s="405">
        <f>'Infrastructure (Direct Cost)'!E33</f>
        <v>0</v>
      </c>
      <c r="AI28" s="405">
        <f>'Infrastructure (Direct Cost)'!F33</f>
        <v>0</v>
      </c>
      <c r="AJ28" s="405">
        <f>'Infrastructure (Direct Cost)'!G33</f>
        <v>0</v>
      </c>
      <c r="AK28" s="405">
        <f>'Infrastructure (Direct Cost)'!H33</f>
        <v>0</v>
      </c>
      <c r="AL28" s="405">
        <f>'Infrastructure (Direct Cost)'!I33</f>
        <v>0</v>
      </c>
      <c r="AM28" s="405">
        <f>'Infrastructure (Direct Cost)'!J33</f>
        <v>0</v>
      </c>
      <c r="AN28" s="405">
        <f>'Infrastructure (Direct Cost)'!K33</f>
        <v>0</v>
      </c>
      <c r="AO28" s="405">
        <f>'Infrastructure (Direct Cost)'!L33</f>
        <v>0</v>
      </c>
      <c r="AP28" s="405">
        <f>'Infrastructure (Direct Cost)'!M33</f>
        <v>0</v>
      </c>
      <c r="AQ28" s="406">
        <f t="shared" ref="AQ28:AQ68" si="79">SUM(G28:AP28)</f>
        <v>0</v>
      </c>
      <c r="AR28" s="407" t="e">
        <f t="shared" ref="AR28:AR38" si="80">AQ28/$AQ$20</f>
        <v>#DIV/0!</v>
      </c>
    </row>
    <row r="29" spans="1:44" outlineLevel="2">
      <c r="A29" s="189" t="s">
        <v>101</v>
      </c>
      <c r="F29" s="181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4">
        <f t="shared" si="79"/>
        <v>0</v>
      </c>
      <c r="AR29" s="285" t="e">
        <f t="shared" si="80"/>
        <v>#DIV/0!</v>
      </c>
    </row>
    <row r="30" spans="1:44" ht="17.600000000000001" outlineLevel="2">
      <c r="A30" s="459"/>
      <c r="E30" s="400" t="s">
        <v>143</v>
      </c>
      <c r="F30" s="448">
        <f>5</f>
        <v>5</v>
      </c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182">
        <f t="shared" si="79"/>
        <v>0</v>
      </c>
      <c r="AR30" s="184" t="e">
        <f t="shared" si="80"/>
        <v>#DIV/0!</v>
      </c>
    </row>
    <row r="31" spans="1:44" ht="17.600000000000001" outlineLevel="2">
      <c r="A31" s="459"/>
      <c r="B31" s="137"/>
      <c r="C31" s="291"/>
      <c r="D31" s="171"/>
      <c r="E31" s="400" t="s">
        <v>143</v>
      </c>
      <c r="F31" s="448">
        <f>5</f>
        <v>5</v>
      </c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182">
        <f t="shared" si="79"/>
        <v>0</v>
      </c>
      <c r="AR31" s="184" t="e">
        <f t="shared" si="80"/>
        <v>#DIV/0!</v>
      </c>
    </row>
    <row r="32" spans="1:44" ht="17.600000000000001" outlineLevel="2">
      <c r="A32" s="459"/>
      <c r="B32" s="137"/>
      <c r="C32" s="137"/>
      <c r="D32" s="137"/>
      <c r="E32" s="400" t="s">
        <v>143</v>
      </c>
      <c r="F32" s="448">
        <f>5</f>
        <v>5</v>
      </c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182">
        <f t="shared" si="79"/>
        <v>0</v>
      </c>
      <c r="AR32" s="184" t="e">
        <f t="shared" si="80"/>
        <v>#DIV/0!</v>
      </c>
    </row>
    <row r="33" spans="1:44" ht="17.600000000000001" outlineLevel="1">
      <c r="A33" s="459"/>
      <c r="E33" s="400" t="s">
        <v>143</v>
      </c>
      <c r="F33" s="448">
        <f>5</f>
        <v>5</v>
      </c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182">
        <f t="shared" si="79"/>
        <v>0</v>
      </c>
      <c r="AR33" s="184" t="e">
        <f t="shared" si="80"/>
        <v>#DIV/0!</v>
      </c>
    </row>
    <row r="34" spans="1:44" ht="17.600000000000001" outlineLevel="2">
      <c r="A34" s="459"/>
      <c r="B34" s="200"/>
      <c r="D34" s="180"/>
      <c r="E34" s="400" t="s">
        <v>143</v>
      </c>
      <c r="F34" s="448">
        <f>5</f>
        <v>5</v>
      </c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182">
        <f t="shared" si="79"/>
        <v>0</v>
      </c>
      <c r="AR34" s="184" t="e">
        <f t="shared" si="80"/>
        <v>#DIV/0!</v>
      </c>
    </row>
    <row r="35" spans="1:44" ht="17.600000000000001" outlineLevel="2">
      <c r="A35" s="459"/>
      <c r="B35" s="179"/>
      <c r="D35" s="188"/>
      <c r="E35" s="400" t="s">
        <v>143</v>
      </c>
      <c r="F35" s="448">
        <f>5</f>
        <v>5</v>
      </c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182">
        <f>SUM(G35:AP35)</f>
        <v>0</v>
      </c>
      <c r="AR35" s="184" t="e">
        <f t="shared" si="80"/>
        <v>#DIV/0!</v>
      </c>
    </row>
    <row r="36" spans="1:44" outlineLevel="2">
      <c r="A36" s="460"/>
      <c r="B36" s="200"/>
      <c r="D36" s="180"/>
      <c r="F36" s="181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182">
        <f>SUM(G36:AP36)</f>
        <v>0</v>
      </c>
      <c r="AR36" s="184" t="e">
        <f t="shared" si="80"/>
        <v>#DIV/0!</v>
      </c>
    </row>
    <row r="37" spans="1:44" s="264" customFormat="1" outlineLevel="2">
      <c r="A37" s="189" t="s">
        <v>23</v>
      </c>
      <c r="B37" s="332" t="s">
        <v>144</v>
      </c>
      <c r="C37" s="259"/>
      <c r="D37" s="261"/>
      <c r="E37" s="137"/>
      <c r="F37" s="39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62">
        <f>SUM(G37:AP37)</f>
        <v>0</v>
      </c>
      <c r="AR37" s="263" t="e">
        <f t="shared" si="80"/>
        <v>#DIV/0!</v>
      </c>
    </row>
    <row r="38" spans="1:44" s="264" customFormat="1" ht="17.600000000000001" outlineLevel="2">
      <c r="A38" s="459" t="s">
        <v>156</v>
      </c>
      <c r="B38" s="465"/>
      <c r="C38" s="259"/>
      <c r="D38" s="261"/>
      <c r="E38" s="137"/>
      <c r="F38" s="39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182">
        <f t="shared" ref="AQ38:AQ44" si="81">SUM(G38:AP38)</f>
        <v>0</v>
      </c>
      <c r="AR38" s="184" t="e">
        <f t="shared" si="80"/>
        <v>#DIV/0!</v>
      </c>
    </row>
    <row r="39" spans="1:44" s="264" customFormat="1" ht="17.600000000000001" outlineLevel="2">
      <c r="A39" s="459"/>
      <c r="B39" s="465"/>
      <c r="C39" s="259"/>
      <c r="D39" s="261"/>
      <c r="E39" s="137"/>
      <c r="F39" s="39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182">
        <f t="shared" si="81"/>
        <v>0</v>
      </c>
      <c r="AR39" s="184" t="e">
        <f t="shared" ref="AR39:AR44" si="82">AQ39/$AQ$20</f>
        <v>#DIV/0!</v>
      </c>
    </row>
    <row r="40" spans="1:44" s="264" customFormat="1" ht="17.600000000000001" outlineLevel="2">
      <c r="A40" s="459"/>
      <c r="B40" s="465"/>
      <c r="C40" s="259"/>
      <c r="D40" s="261"/>
      <c r="E40" s="260"/>
      <c r="F40" s="39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182">
        <f t="shared" si="81"/>
        <v>0</v>
      </c>
      <c r="AR40" s="184" t="e">
        <f t="shared" si="82"/>
        <v>#DIV/0!</v>
      </c>
    </row>
    <row r="41" spans="1:44" s="264" customFormat="1" ht="17.600000000000001" outlineLevel="2">
      <c r="A41" s="459"/>
      <c r="B41" s="465"/>
      <c r="C41" s="259"/>
      <c r="D41" s="261"/>
      <c r="E41" s="260"/>
      <c r="F41" s="39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182">
        <f t="shared" si="81"/>
        <v>0</v>
      </c>
      <c r="AR41" s="184" t="e">
        <f t="shared" si="82"/>
        <v>#DIV/0!</v>
      </c>
    </row>
    <row r="42" spans="1:44" s="264" customFormat="1" outlineLevel="2">
      <c r="A42" s="189" t="s">
        <v>145</v>
      </c>
      <c r="B42" s="332" t="s">
        <v>146</v>
      </c>
      <c r="C42" s="259"/>
      <c r="D42" s="261"/>
      <c r="E42" s="260"/>
      <c r="F42" s="39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182">
        <f t="shared" si="81"/>
        <v>0</v>
      </c>
      <c r="AR42" s="184" t="e">
        <f t="shared" si="82"/>
        <v>#DIV/0!</v>
      </c>
    </row>
    <row r="43" spans="1:44" s="264" customFormat="1" ht="17.600000000000001" outlineLevel="2">
      <c r="A43" s="459"/>
      <c r="B43" s="465"/>
      <c r="C43" s="259"/>
      <c r="D43" s="261"/>
      <c r="E43" s="260"/>
      <c r="F43" s="39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182">
        <f t="shared" si="81"/>
        <v>0</v>
      </c>
      <c r="AR43" s="184" t="e">
        <f t="shared" si="82"/>
        <v>#DIV/0!</v>
      </c>
    </row>
    <row r="44" spans="1:44" s="264" customFormat="1" ht="17.600000000000001" outlineLevel="2">
      <c r="A44" s="459"/>
      <c r="B44" s="465"/>
      <c r="C44" s="259"/>
      <c r="D44" s="261"/>
      <c r="E44" s="260"/>
      <c r="F44" s="39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182">
        <f t="shared" si="81"/>
        <v>0</v>
      </c>
      <c r="AR44" s="184" t="e">
        <f t="shared" si="82"/>
        <v>#DIV/0!</v>
      </c>
    </row>
    <row r="45" spans="1:44" ht="17.600000000000001" outlineLevel="2">
      <c r="A45" s="459"/>
      <c r="B45" s="190"/>
      <c r="D45" s="198"/>
      <c r="E45" s="200"/>
      <c r="F45" s="181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182">
        <f t="shared" si="79"/>
        <v>0</v>
      </c>
      <c r="AR45" s="184" t="e">
        <f>AQ45/$AQ$20</f>
        <v>#DIV/0!</v>
      </c>
    </row>
    <row r="46" spans="1:44" outlineLevel="2">
      <c r="A46" s="189" t="s">
        <v>157</v>
      </c>
      <c r="B46" s="332" t="s">
        <v>158</v>
      </c>
      <c r="D46" s="198"/>
      <c r="E46" s="200"/>
      <c r="F46" s="181"/>
      <c r="G46" s="220">
        <f>'Developer (Direct Cost)'!C31</f>
        <v>0</v>
      </c>
      <c r="H46" s="220">
        <f>'Developer (Direct Cost)'!D31</f>
        <v>0</v>
      </c>
      <c r="I46" s="220">
        <f>'Developer (Direct Cost)'!E31</f>
        <v>0</v>
      </c>
      <c r="J46" s="220">
        <f>'Developer (Direct Cost)'!F31</f>
        <v>0</v>
      </c>
      <c r="K46" s="220">
        <f>'Developer (Direct Cost)'!G31</f>
        <v>0</v>
      </c>
      <c r="L46" s="220">
        <f>'Developer (Direct Cost)'!H31</f>
        <v>0</v>
      </c>
      <c r="M46" s="220">
        <f>'Developer (Direct Cost)'!I31</f>
        <v>0</v>
      </c>
      <c r="N46" s="220">
        <f>'Developer (Direct Cost)'!J31</f>
        <v>0</v>
      </c>
      <c r="O46" s="220">
        <f>'Developer (Direct Cost)'!K31</f>
        <v>0</v>
      </c>
      <c r="P46" s="220">
        <f>'Developer (Direct Cost)'!L31</f>
        <v>0</v>
      </c>
      <c r="Q46" s="220">
        <f>'Developer (Direct Cost)'!M31</f>
        <v>0</v>
      </c>
      <c r="R46" s="220">
        <f>'Developer (Direct Cost)'!N31</f>
        <v>0</v>
      </c>
      <c r="S46" s="220">
        <f>'Developer (Direct Cost)'!C32</f>
        <v>0</v>
      </c>
      <c r="T46" s="220">
        <f>'Developer (Direct Cost)'!D32</f>
        <v>0</v>
      </c>
      <c r="U46" s="220">
        <f>'Developer (Direct Cost)'!E32</f>
        <v>0</v>
      </c>
      <c r="V46" s="220">
        <f>'Developer (Direct Cost)'!F32</f>
        <v>0</v>
      </c>
      <c r="W46" s="220">
        <f>'Developer (Direct Cost)'!G32</f>
        <v>0</v>
      </c>
      <c r="X46" s="220">
        <f>'Developer (Direct Cost)'!H32</f>
        <v>0</v>
      </c>
      <c r="Y46" s="220">
        <f>'Developer (Direct Cost)'!I32</f>
        <v>0</v>
      </c>
      <c r="Z46" s="220">
        <f>'Developer (Direct Cost)'!J32</f>
        <v>0</v>
      </c>
      <c r="AA46" s="220">
        <f>'Developer (Direct Cost)'!K32</f>
        <v>0</v>
      </c>
      <c r="AB46" s="220">
        <f>'Developer (Direct Cost)'!L32</f>
        <v>0</v>
      </c>
      <c r="AC46" s="220">
        <f>'Developer (Direct Cost)'!M32</f>
        <v>0</v>
      </c>
      <c r="AD46" s="220">
        <f>'Developer (Direct Cost)'!N32</f>
        <v>0</v>
      </c>
      <c r="AE46" s="220">
        <f>'Infrastructure (Direct Cost)'!B33</f>
        <v>0</v>
      </c>
      <c r="AF46" s="220">
        <f>'Infrastructure (Direct Cost)'!C33</f>
        <v>0</v>
      </c>
      <c r="AG46" s="220">
        <f>'Infrastructure (Direct Cost)'!D33</f>
        <v>0</v>
      </c>
      <c r="AH46" s="220">
        <f>'Infrastructure (Direct Cost)'!E33</f>
        <v>0</v>
      </c>
      <c r="AI46" s="220">
        <f>'Infrastructure (Direct Cost)'!F33</f>
        <v>0</v>
      </c>
      <c r="AJ46" s="220">
        <f>'Infrastructure (Direct Cost)'!G33</f>
        <v>0</v>
      </c>
      <c r="AK46" s="220">
        <f>'Infrastructure (Direct Cost)'!H33</f>
        <v>0</v>
      </c>
      <c r="AL46" s="220">
        <f>'Infrastructure (Direct Cost)'!I33</f>
        <v>0</v>
      </c>
      <c r="AM46" s="220">
        <f>'Infrastructure (Direct Cost)'!J33</f>
        <v>0</v>
      </c>
      <c r="AN46" s="220">
        <f>'Infrastructure (Direct Cost)'!K33</f>
        <v>0</v>
      </c>
      <c r="AO46" s="220">
        <f>'Infrastructure (Direct Cost)'!L33</f>
        <v>0</v>
      </c>
      <c r="AP46" s="220">
        <f>'Infrastructure (Direct Cost)'!M33</f>
        <v>0</v>
      </c>
      <c r="AQ46" s="182">
        <f t="shared" ref="AQ46:AQ48" si="83">SUM(G46:AP46)</f>
        <v>0</v>
      </c>
      <c r="AR46" s="184" t="e">
        <f t="shared" ref="AR46:AR48" si="84">AQ46/$AQ$20</f>
        <v>#DIV/0!</v>
      </c>
    </row>
    <row r="47" spans="1:44" ht="17.600000000000001" outlineLevel="2">
      <c r="A47" s="459"/>
      <c r="B47" s="190"/>
      <c r="D47" s="198"/>
      <c r="E47" s="200"/>
      <c r="F47" s="181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182">
        <f t="shared" si="83"/>
        <v>0</v>
      </c>
      <c r="AR47" s="184" t="e">
        <f t="shared" si="84"/>
        <v>#DIV/0!</v>
      </c>
    </row>
    <row r="48" spans="1:44" ht="17.600000000000001" outlineLevel="2">
      <c r="A48" s="459"/>
      <c r="D48" s="198"/>
      <c r="E48" s="200"/>
      <c r="F48" s="181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182">
        <f t="shared" si="83"/>
        <v>0</v>
      </c>
      <c r="AR48" s="184" t="e">
        <f t="shared" si="84"/>
        <v>#DIV/0!</v>
      </c>
    </row>
    <row r="49" spans="1:45" ht="17.600000000000001" outlineLevel="2">
      <c r="A49" s="459"/>
      <c r="D49" s="198"/>
      <c r="E49" s="200"/>
      <c r="F49" s="39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182">
        <f t="shared" si="79"/>
        <v>0</v>
      </c>
      <c r="AR49" s="184" t="e">
        <f>AQ49/$AQ$20</f>
        <v>#DIV/0!</v>
      </c>
    </row>
    <row r="50" spans="1:45" s="252" customFormat="1" ht="20.6" outlineLevel="1">
      <c r="A50" s="408" t="s">
        <v>140</v>
      </c>
      <c r="B50" s="409"/>
      <c r="C50" s="410"/>
      <c r="D50" s="411"/>
      <c r="E50" s="409"/>
      <c r="F50" s="412"/>
      <c r="G50" s="413">
        <f>SUM(G51:G52)</f>
        <v>0</v>
      </c>
      <c r="H50" s="413">
        <f t="shared" ref="H50:AP50" si="85">SUM(H51:H52)</f>
        <v>0</v>
      </c>
      <c r="I50" s="413">
        <f t="shared" si="85"/>
        <v>0</v>
      </c>
      <c r="J50" s="413">
        <f t="shared" si="85"/>
        <v>0</v>
      </c>
      <c r="K50" s="413">
        <f t="shared" si="85"/>
        <v>0</v>
      </c>
      <c r="L50" s="413">
        <f t="shared" si="85"/>
        <v>0</v>
      </c>
      <c r="M50" s="413">
        <f t="shared" si="85"/>
        <v>0</v>
      </c>
      <c r="N50" s="413">
        <f t="shared" si="85"/>
        <v>0</v>
      </c>
      <c r="O50" s="413">
        <f t="shared" si="85"/>
        <v>0</v>
      </c>
      <c r="P50" s="413">
        <f t="shared" si="85"/>
        <v>0</v>
      </c>
      <c r="Q50" s="413">
        <f t="shared" si="85"/>
        <v>0</v>
      </c>
      <c r="R50" s="413">
        <f t="shared" si="85"/>
        <v>0</v>
      </c>
      <c r="S50" s="413">
        <f t="shared" si="85"/>
        <v>0</v>
      </c>
      <c r="T50" s="413">
        <f t="shared" si="85"/>
        <v>0</v>
      </c>
      <c r="U50" s="413">
        <f t="shared" si="85"/>
        <v>0</v>
      </c>
      <c r="V50" s="413">
        <f t="shared" si="85"/>
        <v>0</v>
      </c>
      <c r="W50" s="413">
        <f t="shared" si="85"/>
        <v>0</v>
      </c>
      <c r="X50" s="413">
        <f t="shared" si="85"/>
        <v>0</v>
      </c>
      <c r="Y50" s="413">
        <f t="shared" si="85"/>
        <v>0</v>
      </c>
      <c r="Z50" s="413">
        <f t="shared" si="85"/>
        <v>0</v>
      </c>
      <c r="AA50" s="413">
        <f t="shared" si="85"/>
        <v>0</v>
      </c>
      <c r="AB50" s="413">
        <f t="shared" si="85"/>
        <v>0</v>
      </c>
      <c r="AC50" s="413">
        <f t="shared" si="85"/>
        <v>0</v>
      </c>
      <c r="AD50" s="413">
        <f t="shared" si="85"/>
        <v>0</v>
      </c>
      <c r="AE50" s="413">
        <f t="shared" si="85"/>
        <v>0</v>
      </c>
      <c r="AF50" s="413">
        <f t="shared" si="85"/>
        <v>0</v>
      </c>
      <c r="AG50" s="413">
        <f t="shared" si="85"/>
        <v>0</v>
      </c>
      <c r="AH50" s="413">
        <f t="shared" si="85"/>
        <v>0</v>
      </c>
      <c r="AI50" s="413">
        <f t="shared" si="85"/>
        <v>0</v>
      </c>
      <c r="AJ50" s="413">
        <f t="shared" si="85"/>
        <v>0</v>
      </c>
      <c r="AK50" s="413">
        <f t="shared" si="85"/>
        <v>0</v>
      </c>
      <c r="AL50" s="413">
        <f t="shared" si="85"/>
        <v>0</v>
      </c>
      <c r="AM50" s="413">
        <f t="shared" si="85"/>
        <v>0</v>
      </c>
      <c r="AN50" s="413">
        <f t="shared" si="85"/>
        <v>0</v>
      </c>
      <c r="AO50" s="413">
        <f t="shared" si="85"/>
        <v>0</v>
      </c>
      <c r="AP50" s="413">
        <f t="shared" si="85"/>
        <v>0</v>
      </c>
      <c r="AQ50" s="414">
        <f t="shared" si="79"/>
        <v>0</v>
      </c>
      <c r="AR50" s="415" t="e">
        <f>AQ50/$AQ$20</f>
        <v>#DIV/0!</v>
      </c>
    </row>
    <row r="51" spans="1:45" outlineLevel="2">
      <c r="A51" s="332" t="s">
        <v>24</v>
      </c>
      <c r="B51" s="198"/>
      <c r="C51" s="223"/>
      <c r="D51" s="198"/>
      <c r="E51" s="388">
        <v>0.1</v>
      </c>
      <c r="F51" s="390" t="s">
        <v>142</v>
      </c>
      <c r="G51" s="220">
        <f>$E$51*G22</f>
        <v>0</v>
      </c>
      <c r="H51" s="220">
        <f t="shared" ref="H51:AP51" si="86">$E$51*H22</f>
        <v>0</v>
      </c>
      <c r="I51" s="220">
        <f t="shared" si="86"/>
        <v>0</v>
      </c>
      <c r="J51" s="220">
        <f t="shared" si="86"/>
        <v>0</v>
      </c>
      <c r="K51" s="220">
        <f t="shared" si="86"/>
        <v>0</v>
      </c>
      <c r="L51" s="220">
        <f t="shared" si="86"/>
        <v>0</v>
      </c>
      <c r="M51" s="220">
        <f t="shared" si="86"/>
        <v>0</v>
      </c>
      <c r="N51" s="220">
        <f t="shared" si="86"/>
        <v>0</v>
      </c>
      <c r="O51" s="220">
        <f t="shared" si="86"/>
        <v>0</v>
      </c>
      <c r="P51" s="220">
        <f t="shared" si="86"/>
        <v>0</v>
      </c>
      <c r="Q51" s="220">
        <f t="shared" si="86"/>
        <v>0</v>
      </c>
      <c r="R51" s="220">
        <f t="shared" si="86"/>
        <v>0</v>
      </c>
      <c r="S51" s="220">
        <f t="shared" si="86"/>
        <v>0</v>
      </c>
      <c r="T51" s="220">
        <f t="shared" si="86"/>
        <v>0</v>
      </c>
      <c r="U51" s="220">
        <f t="shared" si="86"/>
        <v>0</v>
      </c>
      <c r="V51" s="220">
        <f t="shared" si="86"/>
        <v>0</v>
      </c>
      <c r="W51" s="220">
        <f t="shared" si="86"/>
        <v>0</v>
      </c>
      <c r="X51" s="220">
        <f t="shared" si="86"/>
        <v>0</v>
      </c>
      <c r="Y51" s="220">
        <f t="shared" si="86"/>
        <v>0</v>
      </c>
      <c r="Z51" s="220">
        <f t="shared" si="86"/>
        <v>0</v>
      </c>
      <c r="AA51" s="220">
        <f t="shared" si="86"/>
        <v>0</v>
      </c>
      <c r="AB51" s="220">
        <f t="shared" si="86"/>
        <v>0</v>
      </c>
      <c r="AC51" s="220">
        <f t="shared" si="86"/>
        <v>0</v>
      </c>
      <c r="AD51" s="220">
        <f t="shared" si="86"/>
        <v>0</v>
      </c>
      <c r="AE51" s="220">
        <f t="shared" si="86"/>
        <v>0</v>
      </c>
      <c r="AF51" s="220">
        <f t="shared" si="86"/>
        <v>0</v>
      </c>
      <c r="AG51" s="220">
        <f t="shared" si="86"/>
        <v>0</v>
      </c>
      <c r="AH51" s="220">
        <f t="shared" si="86"/>
        <v>0</v>
      </c>
      <c r="AI51" s="220">
        <f t="shared" si="86"/>
        <v>0</v>
      </c>
      <c r="AJ51" s="220">
        <f t="shared" si="86"/>
        <v>0</v>
      </c>
      <c r="AK51" s="220">
        <f t="shared" si="86"/>
        <v>0</v>
      </c>
      <c r="AL51" s="220">
        <f t="shared" si="86"/>
        <v>0</v>
      </c>
      <c r="AM51" s="220">
        <f t="shared" si="86"/>
        <v>0</v>
      </c>
      <c r="AN51" s="220">
        <f t="shared" si="86"/>
        <v>0</v>
      </c>
      <c r="AO51" s="220">
        <f t="shared" si="86"/>
        <v>0</v>
      </c>
      <c r="AP51" s="220">
        <f t="shared" si="86"/>
        <v>0</v>
      </c>
      <c r="AQ51" s="182">
        <f t="shared" si="79"/>
        <v>0</v>
      </c>
      <c r="AR51" s="184" t="e">
        <f>AQ51/$AQ$20</f>
        <v>#DIV/0!</v>
      </c>
    </row>
    <row r="52" spans="1:45" outlineLevel="2">
      <c r="A52" s="332" t="s">
        <v>141</v>
      </c>
      <c r="B52" s="198"/>
      <c r="C52" s="223"/>
      <c r="D52" s="198"/>
      <c r="E52" s="388">
        <v>0.1</v>
      </c>
      <c r="F52" s="390" t="s">
        <v>142</v>
      </c>
      <c r="G52" s="220">
        <f>$E$51*G28</f>
        <v>0</v>
      </c>
      <c r="H52" s="220">
        <f t="shared" ref="H52:AP52" si="87">$E$51*H28</f>
        <v>0</v>
      </c>
      <c r="I52" s="220">
        <f t="shared" si="87"/>
        <v>0</v>
      </c>
      <c r="J52" s="220">
        <f t="shared" si="87"/>
        <v>0</v>
      </c>
      <c r="K52" s="220">
        <f t="shared" si="87"/>
        <v>0</v>
      </c>
      <c r="L52" s="220">
        <f t="shared" si="87"/>
        <v>0</v>
      </c>
      <c r="M52" s="220">
        <f t="shared" si="87"/>
        <v>0</v>
      </c>
      <c r="N52" s="220">
        <f t="shared" si="87"/>
        <v>0</v>
      </c>
      <c r="O52" s="220">
        <f t="shared" si="87"/>
        <v>0</v>
      </c>
      <c r="P52" s="220">
        <f t="shared" si="87"/>
        <v>0</v>
      </c>
      <c r="Q52" s="220">
        <f t="shared" si="87"/>
        <v>0</v>
      </c>
      <c r="R52" s="220">
        <f t="shared" si="87"/>
        <v>0</v>
      </c>
      <c r="S52" s="220">
        <f t="shared" si="87"/>
        <v>0</v>
      </c>
      <c r="T52" s="220">
        <f t="shared" si="87"/>
        <v>0</v>
      </c>
      <c r="U52" s="220">
        <f t="shared" si="87"/>
        <v>0</v>
      </c>
      <c r="V52" s="220">
        <f t="shared" si="87"/>
        <v>0</v>
      </c>
      <c r="W52" s="220">
        <f t="shared" si="87"/>
        <v>0</v>
      </c>
      <c r="X52" s="220">
        <f t="shared" si="87"/>
        <v>0</v>
      </c>
      <c r="Y52" s="220">
        <f t="shared" si="87"/>
        <v>0</v>
      </c>
      <c r="Z52" s="220">
        <f t="shared" si="87"/>
        <v>0</v>
      </c>
      <c r="AA52" s="220">
        <f t="shared" si="87"/>
        <v>0</v>
      </c>
      <c r="AB52" s="220">
        <f t="shared" si="87"/>
        <v>0</v>
      </c>
      <c r="AC52" s="220">
        <f t="shared" si="87"/>
        <v>0</v>
      </c>
      <c r="AD52" s="220">
        <f t="shared" si="87"/>
        <v>0</v>
      </c>
      <c r="AE52" s="220">
        <f t="shared" si="87"/>
        <v>0</v>
      </c>
      <c r="AF52" s="220">
        <f t="shared" si="87"/>
        <v>0</v>
      </c>
      <c r="AG52" s="220">
        <f t="shared" si="87"/>
        <v>0</v>
      </c>
      <c r="AH52" s="220">
        <f t="shared" si="87"/>
        <v>0</v>
      </c>
      <c r="AI52" s="220">
        <f t="shared" si="87"/>
        <v>0</v>
      </c>
      <c r="AJ52" s="220">
        <f t="shared" si="87"/>
        <v>0</v>
      </c>
      <c r="AK52" s="220">
        <f t="shared" si="87"/>
        <v>0</v>
      </c>
      <c r="AL52" s="220">
        <f t="shared" si="87"/>
        <v>0</v>
      </c>
      <c r="AM52" s="220">
        <f t="shared" si="87"/>
        <v>0</v>
      </c>
      <c r="AN52" s="220">
        <f t="shared" si="87"/>
        <v>0</v>
      </c>
      <c r="AO52" s="220">
        <f t="shared" si="87"/>
        <v>0</v>
      </c>
      <c r="AP52" s="220">
        <f t="shared" si="87"/>
        <v>0</v>
      </c>
      <c r="AQ52" s="182">
        <f t="shared" ref="AQ52" si="88">SUM(G52:AP52)</f>
        <v>0</v>
      </c>
      <c r="AR52" s="184" t="e">
        <f t="shared" ref="AR52" si="89">AQ52/$AQ$20</f>
        <v>#DIV/0!</v>
      </c>
    </row>
    <row r="53" spans="1:45" s="249" customFormat="1" ht="20.6" outlineLevel="1">
      <c r="A53" s="267" t="s">
        <v>78</v>
      </c>
      <c r="B53" s="269"/>
      <c r="C53" s="267"/>
      <c r="E53" s="269"/>
      <c r="F53" s="270"/>
      <c r="G53" s="254">
        <f t="shared" ref="G53:AP53" si="90">G20-G28-G50</f>
        <v>0</v>
      </c>
      <c r="H53" s="254">
        <f t="shared" si="90"/>
        <v>0</v>
      </c>
      <c r="I53" s="254">
        <f t="shared" si="90"/>
        <v>0</v>
      </c>
      <c r="J53" s="254">
        <f t="shared" si="90"/>
        <v>0</v>
      </c>
      <c r="K53" s="254">
        <f t="shared" si="90"/>
        <v>0</v>
      </c>
      <c r="L53" s="254">
        <f t="shared" si="90"/>
        <v>0</v>
      </c>
      <c r="M53" s="254">
        <f t="shared" si="90"/>
        <v>0</v>
      </c>
      <c r="N53" s="254">
        <f t="shared" si="90"/>
        <v>0</v>
      </c>
      <c r="O53" s="254">
        <f t="shared" si="90"/>
        <v>0</v>
      </c>
      <c r="P53" s="254">
        <f t="shared" si="90"/>
        <v>0</v>
      </c>
      <c r="Q53" s="254">
        <f t="shared" si="90"/>
        <v>0</v>
      </c>
      <c r="R53" s="254">
        <f t="shared" si="90"/>
        <v>0</v>
      </c>
      <c r="S53" s="254">
        <f t="shared" si="90"/>
        <v>0</v>
      </c>
      <c r="T53" s="254">
        <f t="shared" si="90"/>
        <v>0</v>
      </c>
      <c r="U53" s="254">
        <f t="shared" si="90"/>
        <v>0</v>
      </c>
      <c r="V53" s="254">
        <f t="shared" si="90"/>
        <v>0</v>
      </c>
      <c r="W53" s="254">
        <f t="shared" si="90"/>
        <v>0</v>
      </c>
      <c r="X53" s="254">
        <f t="shared" si="90"/>
        <v>0</v>
      </c>
      <c r="Y53" s="254">
        <f t="shared" si="90"/>
        <v>0</v>
      </c>
      <c r="Z53" s="254">
        <f t="shared" si="90"/>
        <v>0</v>
      </c>
      <c r="AA53" s="254">
        <f t="shared" si="90"/>
        <v>0</v>
      </c>
      <c r="AB53" s="254">
        <f t="shared" si="90"/>
        <v>0</v>
      </c>
      <c r="AC53" s="254">
        <f t="shared" si="90"/>
        <v>0</v>
      </c>
      <c r="AD53" s="254">
        <f t="shared" si="90"/>
        <v>0</v>
      </c>
      <c r="AE53" s="254">
        <f t="shared" si="90"/>
        <v>0</v>
      </c>
      <c r="AF53" s="254">
        <f t="shared" si="90"/>
        <v>0</v>
      </c>
      <c r="AG53" s="254">
        <f t="shared" si="90"/>
        <v>0</v>
      </c>
      <c r="AH53" s="254">
        <f t="shared" si="90"/>
        <v>0</v>
      </c>
      <c r="AI53" s="254">
        <f t="shared" si="90"/>
        <v>0</v>
      </c>
      <c r="AJ53" s="254">
        <f t="shared" si="90"/>
        <v>0</v>
      </c>
      <c r="AK53" s="254">
        <f t="shared" si="90"/>
        <v>0</v>
      </c>
      <c r="AL53" s="254">
        <f t="shared" si="90"/>
        <v>0</v>
      </c>
      <c r="AM53" s="254">
        <f t="shared" si="90"/>
        <v>0</v>
      </c>
      <c r="AN53" s="254">
        <f t="shared" si="90"/>
        <v>0</v>
      </c>
      <c r="AO53" s="254">
        <f t="shared" si="90"/>
        <v>0</v>
      </c>
      <c r="AP53" s="254">
        <f t="shared" si="90"/>
        <v>0</v>
      </c>
      <c r="AQ53" s="272">
        <f>SUM(G53:AP53)</f>
        <v>0</v>
      </c>
      <c r="AR53" s="256" t="e">
        <f>AQ53/$AQ$20</f>
        <v>#DIV/0!</v>
      </c>
      <c r="AS53" s="282"/>
    </row>
    <row r="54" spans="1:45" ht="20.6" outlineLevel="1">
      <c r="A54" s="266" t="s">
        <v>86</v>
      </c>
      <c r="F54" s="181"/>
      <c r="G54" s="254" t="e">
        <f>SUM(G55:G65)</f>
        <v>#REF!</v>
      </c>
      <c r="H54" s="254" t="e">
        <f t="shared" ref="H54:AP54" si="91">SUM(H55:H65)</f>
        <v>#REF!</v>
      </c>
      <c r="I54" s="254" t="e">
        <f t="shared" si="91"/>
        <v>#REF!</v>
      </c>
      <c r="J54" s="254" t="e">
        <f t="shared" si="91"/>
        <v>#REF!</v>
      </c>
      <c r="K54" s="254" t="e">
        <f t="shared" si="91"/>
        <v>#REF!</v>
      </c>
      <c r="L54" s="254" t="e">
        <f t="shared" si="91"/>
        <v>#REF!</v>
      </c>
      <c r="M54" s="254" t="e">
        <f t="shared" si="91"/>
        <v>#REF!</v>
      </c>
      <c r="N54" s="254" t="e">
        <f t="shared" si="91"/>
        <v>#REF!</v>
      </c>
      <c r="O54" s="254" t="e">
        <f t="shared" si="91"/>
        <v>#REF!</v>
      </c>
      <c r="P54" s="254" t="e">
        <f t="shared" si="91"/>
        <v>#REF!</v>
      </c>
      <c r="Q54" s="254" t="e">
        <f t="shared" si="91"/>
        <v>#REF!</v>
      </c>
      <c r="R54" s="254" t="e">
        <f t="shared" si="91"/>
        <v>#REF!</v>
      </c>
      <c r="S54" s="254" t="e">
        <f t="shared" si="91"/>
        <v>#REF!</v>
      </c>
      <c r="T54" s="254" t="e">
        <f t="shared" si="91"/>
        <v>#REF!</v>
      </c>
      <c r="U54" s="254" t="e">
        <f t="shared" si="91"/>
        <v>#REF!</v>
      </c>
      <c r="V54" s="254" t="e">
        <f t="shared" si="91"/>
        <v>#REF!</v>
      </c>
      <c r="W54" s="254" t="e">
        <f t="shared" si="91"/>
        <v>#REF!</v>
      </c>
      <c r="X54" s="254" t="e">
        <f t="shared" si="91"/>
        <v>#REF!</v>
      </c>
      <c r="Y54" s="254" t="e">
        <f t="shared" si="91"/>
        <v>#REF!</v>
      </c>
      <c r="Z54" s="254" t="e">
        <f t="shared" si="91"/>
        <v>#REF!</v>
      </c>
      <c r="AA54" s="254" t="e">
        <f t="shared" si="91"/>
        <v>#REF!</v>
      </c>
      <c r="AB54" s="254" t="e">
        <f t="shared" si="91"/>
        <v>#REF!</v>
      </c>
      <c r="AC54" s="254" t="e">
        <f t="shared" si="91"/>
        <v>#REF!</v>
      </c>
      <c r="AD54" s="254" t="e">
        <f t="shared" si="91"/>
        <v>#REF!</v>
      </c>
      <c r="AE54" s="254" t="e">
        <f t="shared" si="91"/>
        <v>#REF!</v>
      </c>
      <c r="AF54" s="254" t="e">
        <f t="shared" si="91"/>
        <v>#REF!</v>
      </c>
      <c r="AG54" s="254" t="e">
        <f t="shared" si="91"/>
        <v>#REF!</v>
      </c>
      <c r="AH54" s="254" t="e">
        <f t="shared" si="91"/>
        <v>#REF!</v>
      </c>
      <c r="AI54" s="254" t="e">
        <f t="shared" si="91"/>
        <v>#REF!</v>
      </c>
      <c r="AJ54" s="254" t="e">
        <f t="shared" si="91"/>
        <v>#REF!</v>
      </c>
      <c r="AK54" s="254" t="e">
        <f t="shared" si="91"/>
        <v>#REF!</v>
      </c>
      <c r="AL54" s="254" t="e">
        <f t="shared" si="91"/>
        <v>#REF!</v>
      </c>
      <c r="AM54" s="254" t="e">
        <f t="shared" si="91"/>
        <v>#REF!</v>
      </c>
      <c r="AN54" s="254" t="e">
        <f t="shared" si="91"/>
        <v>#REF!</v>
      </c>
      <c r="AO54" s="254" t="e">
        <f t="shared" si="91"/>
        <v>#REF!</v>
      </c>
      <c r="AP54" s="254" t="e">
        <f t="shared" si="91"/>
        <v>#REF!</v>
      </c>
      <c r="AQ54" s="255" t="e">
        <f>SUM(G54:AP54)</f>
        <v>#REF!</v>
      </c>
      <c r="AR54" s="256" t="e">
        <f>AQ54/$AQ$20</f>
        <v>#REF!</v>
      </c>
    </row>
    <row r="55" spans="1:45" s="316" customFormat="1" outlineLevel="1">
      <c r="A55" s="464" t="s">
        <v>161</v>
      </c>
      <c r="B55" s="400"/>
      <c r="C55" s="401"/>
      <c r="E55" s="392"/>
      <c r="F55" s="390"/>
      <c r="G55" s="462">
        <f>'Officer ( SGA) พนักงาน'!F139</f>
        <v>2000000</v>
      </c>
      <c r="H55" s="462">
        <f>'Officer ( SGA) พนักงาน'!G139</f>
        <v>2000000</v>
      </c>
      <c r="I55" s="462">
        <f>'Officer ( SGA) พนักงาน'!H139</f>
        <v>2000000</v>
      </c>
      <c r="J55" s="462">
        <f>'Officer ( SGA) พนักงาน'!I139</f>
        <v>2000000</v>
      </c>
      <c r="K55" s="462">
        <f>'Officer ( SGA) พนักงาน'!J139</f>
        <v>2000000</v>
      </c>
      <c r="L55" s="462">
        <f>'Officer ( SGA) พนักงาน'!K139</f>
        <v>2000000</v>
      </c>
      <c r="M55" s="462">
        <f>'Officer ( SGA) พนักงาน'!L139</f>
        <v>2000000</v>
      </c>
      <c r="N55" s="462">
        <f>'Officer ( SGA) พนักงาน'!M139</f>
        <v>2000000</v>
      </c>
      <c r="O55" s="462">
        <f>'Officer ( SGA) พนักงาน'!N139</f>
        <v>2000000</v>
      </c>
      <c r="P55" s="462">
        <f>'Officer ( SGA) พนักงาน'!O139</f>
        <v>2000000</v>
      </c>
      <c r="Q55" s="462">
        <f>'Officer ( SGA) พนักงาน'!P139</f>
        <v>2000000</v>
      </c>
      <c r="R55" s="462">
        <f>'Officer ( SGA) พนักงาน'!Q139</f>
        <v>2000000</v>
      </c>
      <c r="S55" s="462">
        <f>'Officer ( SGA) พนักงาน'!F140</f>
        <v>0</v>
      </c>
      <c r="T55" s="462">
        <f>'Officer ( SGA) พนักงาน'!G140</f>
        <v>0</v>
      </c>
      <c r="U55" s="462">
        <f>'Officer ( SGA) พนักงาน'!H140</f>
        <v>0</v>
      </c>
      <c r="V55" s="462">
        <f>'Officer ( SGA) พนักงาน'!I140</f>
        <v>0</v>
      </c>
      <c r="W55" s="462">
        <f>'Officer ( SGA) พนักงาน'!J140</f>
        <v>0</v>
      </c>
      <c r="X55" s="462">
        <f>'Officer ( SGA) พนักงาน'!K140</f>
        <v>0</v>
      </c>
      <c r="Y55" s="462">
        <f>'Officer ( SGA) พนักงาน'!L140</f>
        <v>0</v>
      </c>
      <c r="Z55" s="462">
        <f>'Officer ( SGA) พนักงาน'!M140</f>
        <v>0</v>
      </c>
      <c r="AA55" s="462">
        <f>'Officer ( SGA) พนักงาน'!N140</f>
        <v>0</v>
      </c>
      <c r="AB55" s="462">
        <f>'Officer ( SGA) พนักงาน'!O140</f>
        <v>0</v>
      </c>
      <c r="AC55" s="462">
        <f>'Officer ( SGA) พนักงาน'!P140</f>
        <v>0</v>
      </c>
      <c r="AD55" s="462">
        <f>'Officer ( SGA) พนักงาน'!Q140</f>
        <v>0</v>
      </c>
      <c r="AE55" s="462">
        <f>'Officer ( SGA) พนักงาน'!F141</f>
        <v>0</v>
      </c>
      <c r="AF55" s="462">
        <f>'Officer ( SGA) พนักงาน'!G141</f>
        <v>0</v>
      </c>
      <c r="AG55" s="462">
        <f>'Officer ( SGA) พนักงาน'!H141</f>
        <v>0</v>
      </c>
      <c r="AH55" s="462">
        <f>'Officer ( SGA) พนักงาน'!I141</f>
        <v>0</v>
      </c>
      <c r="AI55" s="462">
        <f>'Officer ( SGA) พนักงาน'!J141</f>
        <v>0</v>
      </c>
      <c r="AJ55" s="462">
        <f>'Officer ( SGA) พนักงาน'!K141</f>
        <v>0</v>
      </c>
      <c r="AK55" s="462">
        <f>'Officer ( SGA) พนักงาน'!L141</f>
        <v>0</v>
      </c>
      <c r="AL55" s="462">
        <f>'Officer ( SGA) พนักงาน'!M141</f>
        <v>0</v>
      </c>
      <c r="AM55" s="462">
        <f>'Officer ( SGA) พนักงาน'!N141</f>
        <v>0</v>
      </c>
      <c r="AN55" s="462">
        <f>'Officer ( SGA) พนักงาน'!O141</f>
        <v>0</v>
      </c>
      <c r="AO55" s="462">
        <f>'Officer ( SGA) พนักงาน'!P141</f>
        <v>0</v>
      </c>
      <c r="AP55" s="462">
        <f>'Officer ( SGA) พนักงาน'!Q141</f>
        <v>0</v>
      </c>
      <c r="AQ55" s="182">
        <f t="shared" ref="AQ55:AQ58" si="92">SUM(G55:AP55)</f>
        <v>24000000</v>
      </c>
      <c r="AR55" s="184" t="e">
        <f t="shared" ref="AR55:AR58" si="93">AQ55/$AQ$20</f>
        <v>#DIV/0!</v>
      </c>
    </row>
    <row r="56" spans="1:45" s="316" customFormat="1" outlineLevel="1">
      <c r="A56" s="464" t="s">
        <v>149</v>
      </c>
      <c r="B56" s="400"/>
      <c r="C56" s="401"/>
      <c r="E56" s="392"/>
      <c r="F56" s="390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  <c r="AL56" s="462"/>
      <c r="AM56" s="462"/>
      <c r="AN56" s="462"/>
      <c r="AO56" s="462"/>
      <c r="AP56" s="462"/>
      <c r="AQ56" s="182">
        <f t="shared" si="92"/>
        <v>0</v>
      </c>
      <c r="AR56" s="184" t="e">
        <f t="shared" si="93"/>
        <v>#DIV/0!</v>
      </c>
    </row>
    <row r="57" spans="1:45" outlineLevel="2">
      <c r="A57" s="387" t="s">
        <v>162</v>
      </c>
      <c r="D57" s="188"/>
      <c r="E57" s="236"/>
      <c r="F57" s="390"/>
      <c r="G57" s="220" t="e">
        <f>'Marketing (SGA)'!B56</f>
        <v>#REF!</v>
      </c>
      <c r="H57" s="220" t="e">
        <f>'Marketing (SGA)'!C56</f>
        <v>#REF!</v>
      </c>
      <c r="I57" s="220" t="e">
        <f>'Marketing (SGA)'!D56</f>
        <v>#REF!</v>
      </c>
      <c r="J57" s="220" t="e">
        <f>'Marketing (SGA)'!E56</f>
        <v>#REF!</v>
      </c>
      <c r="K57" s="220" t="e">
        <f>'Marketing (SGA)'!F56</f>
        <v>#REF!</v>
      </c>
      <c r="L57" s="220" t="e">
        <f>'Marketing (SGA)'!G56</f>
        <v>#REF!</v>
      </c>
      <c r="M57" s="220" t="e">
        <f>'Marketing (SGA)'!H56</f>
        <v>#REF!</v>
      </c>
      <c r="N57" s="220" t="e">
        <f>'Marketing (SGA)'!I56</f>
        <v>#REF!</v>
      </c>
      <c r="O57" s="220" t="e">
        <f>'Marketing (SGA)'!J56</f>
        <v>#REF!</v>
      </c>
      <c r="P57" s="220" t="e">
        <f>'Marketing (SGA)'!K56</f>
        <v>#REF!</v>
      </c>
      <c r="Q57" s="220" t="e">
        <f>'Marketing (SGA)'!L56</f>
        <v>#REF!</v>
      </c>
      <c r="R57" s="220" t="e">
        <f>'Marketing (SGA)'!M56</f>
        <v>#REF!</v>
      </c>
      <c r="S57" s="220" t="e">
        <f>'Marketing (SGA)'!B57</f>
        <v>#REF!</v>
      </c>
      <c r="T57" s="220" t="e">
        <f>'Marketing (SGA)'!C57</f>
        <v>#REF!</v>
      </c>
      <c r="U57" s="220" t="e">
        <f>'Marketing (SGA)'!D57</f>
        <v>#REF!</v>
      </c>
      <c r="V57" s="220" t="e">
        <f>'Marketing (SGA)'!E57</f>
        <v>#REF!</v>
      </c>
      <c r="W57" s="220" t="e">
        <f>'Marketing (SGA)'!F57</f>
        <v>#REF!</v>
      </c>
      <c r="X57" s="220" t="e">
        <f>'Marketing (SGA)'!G57</f>
        <v>#REF!</v>
      </c>
      <c r="Y57" s="220" t="e">
        <f>'Marketing (SGA)'!H57</f>
        <v>#REF!</v>
      </c>
      <c r="Z57" s="220" t="e">
        <f>'Marketing (SGA)'!I57</f>
        <v>#REF!</v>
      </c>
      <c r="AA57" s="220" t="e">
        <f>'Marketing (SGA)'!J57</f>
        <v>#REF!</v>
      </c>
      <c r="AB57" s="220" t="e">
        <f>'Marketing (SGA)'!K57</f>
        <v>#REF!</v>
      </c>
      <c r="AC57" s="220" t="e">
        <f>'Marketing (SGA)'!L57</f>
        <v>#REF!</v>
      </c>
      <c r="AD57" s="220" t="e">
        <f>'Marketing (SGA)'!M57</f>
        <v>#REF!</v>
      </c>
      <c r="AE57" s="222" t="e">
        <f>'Marketing (SGA)'!B58</f>
        <v>#REF!</v>
      </c>
      <c r="AF57" s="222" t="e">
        <f>'Marketing (SGA)'!C58</f>
        <v>#REF!</v>
      </c>
      <c r="AG57" s="222" t="e">
        <f>'Marketing (SGA)'!D58</f>
        <v>#REF!</v>
      </c>
      <c r="AH57" s="222" t="e">
        <f>'Marketing (SGA)'!E58</f>
        <v>#REF!</v>
      </c>
      <c r="AI57" s="222" t="e">
        <f>'Marketing (SGA)'!F58</f>
        <v>#REF!</v>
      </c>
      <c r="AJ57" s="222" t="e">
        <f>'Marketing (SGA)'!G58</f>
        <v>#REF!</v>
      </c>
      <c r="AK57" s="222" t="e">
        <f>'Marketing (SGA)'!H58</f>
        <v>#REF!</v>
      </c>
      <c r="AL57" s="222" t="e">
        <f>'Marketing (SGA)'!I58</f>
        <v>#REF!</v>
      </c>
      <c r="AM57" s="222" t="e">
        <f>'Marketing (SGA)'!J58</f>
        <v>#REF!</v>
      </c>
      <c r="AN57" s="222" t="e">
        <f>'Marketing (SGA)'!K58</f>
        <v>#REF!</v>
      </c>
      <c r="AO57" s="222" t="e">
        <f>'Marketing (SGA)'!L58</f>
        <v>#REF!</v>
      </c>
      <c r="AP57" s="222" t="e">
        <f>'Marketing (SGA)'!M58</f>
        <v>#REF!</v>
      </c>
      <c r="AQ57" s="182" t="e">
        <f t="shared" si="92"/>
        <v>#REF!</v>
      </c>
      <c r="AR57" s="184" t="e">
        <f t="shared" si="93"/>
        <v>#REF!</v>
      </c>
    </row>
    <row r="58" spans="1:45" ht="20.6" outlineLevel="1">
      <c r="A58" s="387" t="s">
        <v>163</v>
      </c>
      <c r="E58" s="392"/>
      <c r="F58" s="390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182">
        <f t="shared" si="92"/>
        <v>0</v>
      </c>
      <c r="AR58" s="184" t="e">
        <f t="shared" si="93"/>
        <v>#DIV/0!</v>
      </c>
    </row>
    <row r="59" spans="1:45" outlineLevel="2">
      <c r="A59" s="387" t="s">
        <v>164</v>
      </c>
      <c r="D59" s="188"/>
      <c r="E59" s="236"/>
      <c r="F59" s="390"/>
      <c r="G59" s="220">
        <f>'Other Expense (SGA)'!B32</f>
        <v>0</v>
      </c>
      <c r="H59" s="220">
        <f>'Other Expense (SGA)'!C32</f>
        <v>0</v>
      </c>
      <c r="I59" s="220">
        <f>'Other Expense (SGA)'!D32</f>
        <v>0</v>
      </c>
      <c r="J59" s="220">
        <f>'Other Expense (SGA)'!E32</f>
        <v>0</v>
      </c>
      <c r="K59" s="220">
        <f>'Other Expense (SGA)'!F32</f>
        <v>0</v>
      </c>
      <c r="L59" s="220">
        <f>'Other Expense (SGA)'!G32</f>
        <v>0</v>
      </c>
      <c r="M59" s="220">
        <f>'Other Expense (SGA)'!H32</f>
        <v>0</v>
      </c>
      <c r="N59" s="220">
        <f>'Other Expense (SGA)'!I32</f>
        <v>0</v>
      </c>
      <c r="O59" s="220">
        <f>'Other Expense (SGA)'!J32</f>
        <v>0</v>
      </c>
      <c r="P59" s="220">
        <f>'Other Expense (SGA)'!K32</f>
        <v>0</v>
      </c>
      <c r="Q59" s="220">
        <f>'Other Expense (SGA)'!L32</f>
        <v>0</v>
      </c>
      <c r="R59" s="220">
        <f>'Other Expense (SGA)'!M32</f>
        <v>0</v>
      </c>
      <c r="S59" s="220">
        <f>'Other Expense (SGA)'!B33</f>
        <v>0</v>
      </c>
      <c r="T59" s="220">
        <f>'Other Expense (SGA)'!C33</f>
        <v>0</v>
      </c>
      <c r="U59" s="220">
        <f>'Other Expense (SGA)'!D33</f>
        <v>0</v>
      </c>
      <c r="V59" s="220">
        <f>'Other Expense (SGA)'!E33</f>
        <v>0</v>
      </c>
      <c r="W59" s="220">
        <f>'Other Expense (SGA)'!F33</f>
        <v>0</v>
      </c>
      <c r="X59" s="220">
        <f>'Other Expense (SGA)'!G33</f>
        <v>0</v>
      </c>
      <c r="Y59" s="220">
        <f>'Other Expense (SGA)'!H33</f>
        <v>0</v>
      </c>
      <c r="Z59" s="220">
        <f>'Other Expense (SGA)'!I33</f>
        <v>0</v>
      </c>
      <c r="AA59" s="220">
        <f>'Other Expense (SGA)'!J33</f>
        <v>0</v>
      </c>
      <c r="AB59" s="220">
        <f>'Other Expense (SGA)'!K33</f>
        <v>0</v>
      </c>
      <c r="AC59" s="220">
        <f>'Other Expense (SGA)'!L33</f>
        <v>0</v>
      </c>
      <c r="AD59" s="220">
        <f>'Other Expense (SGA)'!M33</f>
        <v>0</v>
      </c>
      <c r="AE59" s="222">
        <f>'Other Expense (SGA)'!B34</f>
        <v>0</v>
      </c>
      <c r="AF59" s="222">
        <f>'Other Expense (SGA)'!C34</f>
        <v>0</v>
      </c>
      <c r="AG59" s="222">
        <f>'Other Expense (SGA)'!D34</f>
        <v>0</v>
      </c>
      <c r="AH59" s="222">
        <f>'Other Expense (SGA)'!E34</f>
        <v>0</v>
      </c>
      <c r="AI59" s="222">
        <f>'Other Expense (SGA)'!F34</f>
        <v>0</v>
      </c>
      <c r="AJ59" s="222">
        <f>'Other Expense (SGA)'!G34</f>
        <v>0</v>
      </c>
      <c r="AK59" s="222">
        <f>'Other Expense (SGA)'!H34</f>
        <v>0</v>
      </c>
      <c r="AL59" s="222">
        <f>'Other Expense (SGA)'!I34</f>
        <v>0</v>
      </c>
      <c r="AM59" s="222">
        <f>'Other Expense (SGA)'!J34</f>
        <v>0</v>
      </c>
      <c r="AN59" s="222">
        <f>'Other Expense (SGA)'!K34</f>
        <v>0</v>
      </c>
      <c r="AO59" s="222">
        <f>'Other Expense (SGA)'!L34</f>
        <v>0</v>
      </c>
      <c r="AP59" s="222">
        <f>'Other Expense (SGA)'!M34</f>
        <v>0</v>
      </c>
      <c r="AQ59" s="182">
        <f t="shared" si="79"/>
        <v>0</v>
      </c>
      <c r="AR59" s="184" t="e">
        <f>AQ59/$AQ$20</f>
        <v>#DIV/0!</v>
      </c>
    </row>
    <row r="60" spans="1:45" outlineLevel="2">
      <c r="A60" s="387" t="s">
        <v>165</v>
      </c>
      <c r="B60" s="137"/>
      <c r="D60" s="188"/>
      <c r="E60" s="137"/>
      <c r="F60" s="39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182">
        <f t="shared" si="79"/>
        <v>0</v>
      </c>
      <c r="AR60" s="184" t="e">
        <f>AQ60/$AQ$20</f>
        <v>#DIV/0!</v>
      </c>
    </row>
    <row r="61" spans="1:45" outlineLevel="2">
      <c r="A61" s="387" t="s">
        <v>166</v>
      </c>
      <c r="D61" s="188"/>
      <c r="E61" s="389"/>
      <c r="F61" s="390" t="s">
        <v>167</v>
      </c>
      <c r="G61" s="220">
        <f>$E$61</f>
        <v>0</v>
      </c>
      <c r="H61" s="220">
        <f t="shared" ref="H61:AP61" si="94">$E$61</f>
        <v>0</v>
      </c>
      <c r="I61" s="220">
        <f t="shared" si="94"/>
        <v>0</v>
      </c>
      <c r="J61" s="220">
        <f t="shared" si="94"/>
        <v>0</v>
      </c>
      <c r="K61" s="220">
        <f t="shared" si="94"/>
        <v>0</v>
      </c>
      <c r="L61" s="220">
        <f t="shared" si="94"/>
        <v>0</v>
      </c>
      <c r="M61" s="220">
        <f t="shared" si="94"/>
        <v>0</v>
      </c>
      <c r="N61" s="220">
        <f t="shared" si="94"/>
        <v>0</v>
      </c>
      <c r="O61" s="220">
        <f t="shared" si="94"/>
        <v>0</v>
      </c>
      <c r="P61" s="220">
        <f t="shared" si="94"/>
        <v>0</v>
      </c>
      <c r="Q61" s="220">
        <f t="shared" si="94"/>
        <v>0</v>
      </c>
      <c r="R61" s="220">
        <f t="shared" si="94"/>
        <v>0</v>
      </c>
      <c r="S61" s="220">
        <f t="shared" si="94"/>
        <v>0</v>
      </c>
      <c r="T61" s="220">
        <f t="shared" si="94"/>
        <v>0</v>
      </c>
      <c r="U61" s="220">
        <f t="shared" si="94"/>
        <v>0</v>
      </c>
      <c r="V61" s="220">
        <f t="shared" si="94"/>
        <v>0</v>
      </c>
      <c r="W61" s="220">
        <f t="shared" si="94"/>
        <v>0</v>
      </c>
      <c r="X61" s="220">
        <f t="shared" si="94"/>
        <v>0</v>
      </c>
      <c r="Y61" s="220">
        <f t="shared" si="94"/>
        <v>0</v>
      </c>
      <c r="Z61" s="220">
        <f t="shared" si="94"/>
        <v>0</v>
      </c>
      <c r="AA61" s="220">
        <f t="shared" si="94"/>
        <v>0</v>
      </c>
      <c r="AB61" s="220">
        <f t="shared" si="94"/>
        <v>0</v>
      </c>
      <c r="AC61" s="220">
        <f t="shared" si="94"/>
        <v>0</v>
      </c>
      <c r="AD61" s="220">
        <f t="shared" si="94"/>
        <v>0</v>
      </c>
      <c r="AE61" s="220">
        <f t="shared" si="94"/>
        <v>0</v>
      </c>
      <c r="AF61" s="220">
        <f t="shared" si="94"/>
        <v>0</v>
      </c>
      <c r="AG61" s="220">
        <f t="shared" si="94"/>
        <v>0</v>
      </c>
      <c r="AH61" s="220">
        <f t="shared" si="94"/>
        <v>0</v>
      </c>
      <c r="AI61" s="220">
        <f t="shared" si="94"/>
        <v>0</v>
      </c>
      <c r="AJ61" s="220">
        <f t="shared" si="94"/>
        <v>0</v>
      </c>
      <c r="AK61" s="220">
        <f t="shared" si="94"/>
        <v>0</v>
      </c>
      <c r="AL61" s="220">
        <f t="shared" si="94"/>
        <v>0</v>
      </c>
      <c r="AM61" s="220">
        <f t="shared" si="94"/>
        <v>0</v>
      </c>
      <c r="AN61" s="220">
        <f t="shared" si="94"/>
        <v>0</v>
      </c>
      <c r="AO61" s="220">
        <f t="shared" si="94"/>
        <v>0</v>
      </c>
      <c r="AP61" s="220">
        <f t="shared" si="94"/>
        <v>0</v>
      </c>
      <c r="AQ61" s="182">
        <f t="shared" si="79"/>
        <v>0</v>
      </c>
      <c r="AR61" s="184" t="e">
        <f>AQ61/$AQ$20</f>
        <v>#DIV/0!</v>
      </c>
    </row>
    <row r="62" spans="1:45" outlineLevel="2">
      <c r="A62" s="463"/>
      <c r="B62" s="191"/>
      <c r="C62" s="137"/>
      <c r="D62" s="188"/>
      <c r="E62" s="191"/>
      <c r="F62" s="39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182">
        <f t="shared" si="79"/>
        <v>0</v>
      </c>
      <c r="AR62" s="184" t="e">
        <f>AQ62/$AQ$20</f>
        <v>#DIV/0!</v>
      </c>
    </row>
    <row r="63" spans="1:45" outlineLevel="2">
      <c r="A63" s="387"/>
      <c r="D63" s="188"/>
      <c r="E63" s="137"/>
      <c r="F63" s="39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182">
        <f t="shared" si="79"/>
        <v>0</v>
      </c>
      <c r="AR63" s="184" t="e">
        <f>AQ63/$AQ$20</f>
        <v>#DIV/0!</v>
      </c>
    </row>
    <row r="64" spans="1:45" outlineLevel="2">
      <c r="A64" s="387"/>
      <c r="D64" s="188"/>
      <c r="E64" s="191"/>
      <c r="F64" s="39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182"/>
      <c r="AR64" s="184"/>
    </row>
    <row r="65" spans="1:46" outlineLevel="2">
      <c r="A65" s="387"/>
      <c r="D65" s="188"/>
      <c r="E65" s="191"/>
      <c r="F65" s="39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182">
        <f>SUM(G65:AP65)</f>
        <v>0</v>
      </c>
      <c r="AR65" s="184" t="e">
        <f>AQ65/$AQ$20</f>
        <v>#DIV/0!</v>
      </c>
    </row>
    <row r="66" spans="1:46" hidden="1" outlineLevel="2">
      <c r="A66" s="265"/>
      <c r="C66" s="260"/>
      <c r="E66" s="260"/>
      <c r="F66" s="181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182">
        <f t="shared" si="79"/>
        <v>0</v>
      </c>
      <c r="AR66" s="184" t="e">
        <f>AQ66/$AQ$20</f>
        <v>#DIV/0!</v>
      </c>
    </row>
    <row r="67" spans="1:46" hidden="1" outlineLevel="2">
      <c r="A67" s="265"/>
      <c r="C67" s="260"/>
      <c r="E67" s="260"/>
      <c r="F67" s="181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182">
        <f t="shared" si="79"/>
        <v>0</v>
      </c>
      <c r="AR67" s="184" t="e">
        <f>AQ67/$AQ$20</f>
        <v>#DIV/0!</v>
      </c>
    </row>
    <row r="68" spans="1:46" hidden="1" outlineLevel="2">
      <c r="A68" s="265"/>
      <c r="C68" s="260"/>
      <c r="E68" s="260"/>
      <c r="F68" s="181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182">
        <f t="shared" si="79"/>
        <v>0</v>
      </c>
      <c r="AR68" s="184" t="e">
        <f>AQ68/$AQ$20</f>
        <v>#DIV/0!</v>
      </c>
    </row>
    <row r="69" spans="1:46" hidden="1" outlineLevel="2">
      <c r="A69" s="172"/>
      <c r="D69" s="188"/>
      <c r="E69" s="191"/>
      <c r="F69" s="181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182"/>
      <c r="AR69" s="184"/>
    </row>
    <row r="70" spans="1:46" s="249" customFormat="1" ht="20.6" outlineLevel="1">
      <c r="A70" s="266" t="s">
        <v>102</v>
      </c>
      <c r="B70" s="269"/>
      <c r="C70" s="267"/>
      <c r="E70" s="269"/>
      <c r="F70" s="270"/>
      <c r="G70" s="271" t="e">
        <f t="shared" ref="G70:AP70" si="95">G53-G54</f>
        <v>#REF!</v>
      </c>
      <c r="H70" s="271" t="e">
        <f t="shared" si="95"/>
        <v>#REF!</v>
      </c>
      <c r="I70" s="271" t="e">
        <f t="shared" si="95"/>
        <v>#REF!</v>
      </c>
      <c r="J70" s="271" t="e">
        <f t="shared" si="95"/>
        <v>#REF!</v>
      </c>
      <c r="K70" s="271" t="e">
        <f t="shared" si="95"/>
        <v>#REF!</v>
      </c>
      <c r="L70" s="271" t="e">
        <f t="shared" si="95"/>
        <v>#REF!</v>
      </c>
      <c r="M70" s="271" t="e">
        <f t="shared" si="95"/>
        <v>#REF!</v>
      </c>
      <c r="N70" s="271" t="e">
        <f t="shared" si="95"/>
        <v>#REF!</v>
      </c>
      <c r="O70" s="271" t="e">
        <f t="shared" si="95"/>
        <v>#REF!</v>
      </c>
      <c r="P70" s="271" t="e">
        <f t="shared" si="95"/>
        <v>#REF!</v>
      </c>
      <c r="Q70" s="271" t="e">
        <f t="shared" si="95"/>
        <v>#REF!</v>
      </c>
      <c r="R70" s="271" t="e">
        <f t="shared" si="95"/>
        <v>#REF!</v>
      </c>
      <c r="S70" s="271" t="e">
        <f t="shared" si="95"/>
        <v>#REF!</v>
      </c>
      <c r="T70" s="271" t="e">
        <f t="shared" si="95"/>
        <v>#REF!</v>
      </c>
      <c r="U70" s="271" t="e">
        <f t="shared" si="95"/>
        <v>#REF!</v>
      </c>
      <c r="V70" s="271" t="e">
        <f t="shared" si="95"/>
        <v>#REF!</v>
      </c>
      <c r="W70" s="271" t="e">
        <f t="shared" si="95"/>
        <v>#REF!</v>
      </c>
      <c r="X70" s="271" t="e">
        <f t="shared" si="95"/>
        <v>#REF!</v>
      </c>
      <c r="Y70" s="271" t="e">
        <f t="shared" si="95"/>
        <v>#REF!</v>
      </c>
      <c r="Z70" s="271" t="e">
        <f t="shared" si="95"/>
        <v>#REF!</v>
      </c>
      <c r="AA70" s="271" t="e">
        <f t="shared" si="95"/>
        <v>#REF!</v>
      </c>
      <c r="AB70" s="271" t="e">
        <f t="shared" si="95"/>
        <v>#REF!</v>
      </c>
      <c r="AC70" s="271" t="e">
        <f t="shared" si="95"/>
        <v>#REF!</v>
      </c>
      <c r="AD70" s="271" t="e">
        <f t="shared" si="95"/>
        <v>#REF!</v>
      </c>
      <c r="AE70" s="271" t="e">
        <f t="shared" si="95"/>
        <v>#REF!</v>
      </c>
      <c r="AF70" s="271" t="e">
        <f t="shared" si="95"/>
        <v>#REF!</v>
      </c>
      <c r="AG70" s="271" t="e">
        <f t="shared" si="95"/>
        <v>#REF!</v>
      </c>
      <c r="AH70" s="271" t="e">
        <f t="shared" si="95"/>
        <v>#REF!</v>
      </c>
      <c r="AI70" s="271" t="e">
        <f t="shared" si="95"/>
        <v>#REF!</v>
      </c>
      <c r="AJ70" s="271" t="e">
        <f t="shared" si="95"/>
        <v>#REF!</v>
      </c>
      <c r="AK70" s="271" t="e">
        <f t="shared" si="95"/>
        <v>#REF!</v>
      </c>
      <c r="AL70" s="271" t="e">
        <f t="shared" si="95"/>
        <v>#REF!</v>
      </c>
      <c r="AM70" s="271" t="e">
        <f t="shared" si="95"/>
        <v>#REF!</v>
      </c>
      <c r="AN70" s="271" t="e">
        <f t="shared" si="95"/>
        <v>#REF!</v>
      </c>
      <c r="AO70" s="271" t="e">
        <f t="shared" si="95"/>
        <v>#REF!</v>
      </c>
      <c r="AP70" s="271" t="e">
        <f t="shared" si="95"/>
        <v>#REF!</v>
      </c>
      <c r="AQ70" s="272" t="e">
        <f>SUM(G70:AP70)</f>
        <v>#REF!</v>
      </c>
      <c r="AR70" s="256" t="e">
        <f t="shared" ref="AR70:AR76" si="96">AQ70/$AQ$20</f>
        <v>#REF!</v>
      </c>
      <c r="AS70" s="282"/>
      <c r="AT70" s="282"/>
    </row>
    <row r="71" spans="1:46" s="249" customFormat="1" ht="20.6" outlineLevel="1">
      <c r="A71" s="249" t="s">
        <v>87</v>
      </c>
      <c r="B71" s="269"/>
      <c r="C71" s="267"/>
      <c r="E71" s="269"/>
      <c r="F71" s="270"/>
      <c r="G71" s="254">
        <v>0</v>
      </c>
      <c r="H71" s="254">
        <v>0</v>
      </c>
      <c r="I71" s="254">
        <v>0</v>
      </c>
      <c r="J71" s="254">
        <v>0</v>
      </c>
      <c r="K71" s="254">
        <v>0</v>
      </c>
      <c r="L71" s="254">
        <v>0</v>
      </c>
      <c r="M71" s="254">
        <v>0</v>
      </c>
      <c r="N71" s="254">
        <v>0</v>
      </c>
      <c r="O71" s="254">
        <v>0</v>
      </c>
      <c r="P71" s="254">
        <v>0</v>
      </c>
      <c r="Q71" s="254">
        <v>0</v>
      </c>
      <c r="R71" s="254">
        <v>0</v>
      </c>
      <c r="S71" s="254">
        <v>0</v>
      </c>
      <c r="T71" s="254">
        <v>0</v>
      </c>
      <c r="U71" s="254">
        <v>0</v>
      </c>
      <c r="V71" s="254">
        <v>0</v>
      </c>
      <c r="W71" s="254">
        <v>0</v>
      </c>
      <c r="X71" s="254">
        <v>0</v>
      </c>
      <c r="Y71" s="254">
        <v>0</v>
      </c>
      <c r="Z71" s="254">
        <v>0</v>
      </c>
      <c r="AA71" s="254">
        <v>0</v>
      </c>
      <c r="AB71" s="254">
        <v>0</v>
      </c>
      <c r="AC71" s="254">
        <v>0</v>
      </c>
      <c r="AD71" s="254">
        <v>0</v>
      </c>
      <c r="AE71" s="254">
        <v>0</v>
      </c>
      <c r="AF71" s="254">
        <v>0</v>
      </c>
      <c r="AG71" s="254">
        <v>0</v>
      </c>
      <c r="AH71" s="254">
        <v>0</v>
      </c>
      <c r="AI71" s="254">
        <v>0</v>
      </c>
      <c r="AJ71" s="254">
        <v>0</v>
      </c>
      <c r="AK71" s="254">
        <v>0</v>
      </c>
      <c r="AL71" s="254">
        <v>0</v>
      </c>
      <c r="AM71" s="254">
        <v>0</v>
      </c>
      <c r="AN71" s="254">
        <v>0</v>
      </c>
      <c r="AO71" s="254">
        <v>0</v>
      </c>
      <c r="AP71" s="254">
        <v>0</v>
      </c>
      <c r="AQ71" s="272">
        <f t="shared" ref="AQ71:AQ76" si="97">SUM(G71:AP71)</f>
        <v>0</v>
      </c>
      <c r="AR71" s="256" t="e">
        <f t="shared" si="96"/>
        <v>#DIV/0!</v>
      </c>
    </row>
    <row r="72" spans="1:46" hidden="1" outlineLevel="2">
      <c r="A72" s="190" t="s">
        <v>103</v>
      </c>
      <c r="E72" s="196"/>
      <c r="F72" s="181"/>
      <c r="G72" s="220">
        <v>0</v>
      </c>
      <c r="H72" s="220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  <c r="U72" s="220">
        <v>0</v>
      </c>
      <c r="V72" s="220">
        <v>0</v>
      </c>
      <c r="W72" s="220">
        <v>0</v>
      </c>
      <c r="X72" s="220">
        <v>0</v>
      </c>
      <c r="Y72" s="220">
        <v>0</v>
      </c>
      <c r="Z72" s="220">
        <v>0</v>
      </c>
      <c r="AA72" s="220">
        <v>0</v>
      </c>
      <c r="AB72" s="220">
        <v>0</v>
      </c>
      <c r="AC72" s="220">
        <v>0</v>
      </c>
      <c r="AD72" s="220">
        <v>0</v>
      </c>
      <c r="AE72" s="220">
        <v>0</v>
      </c>
      <c r="AF72" s="220">
        <v>0</v>
      </c>
      <c r="AG72" s="220">
        <v>0</v>
      </c>
      <c r="AH72" s="220">
        <v>0</v>
      </c>
      <c r="AI72" s="220">
        <v>0</v>
      </c>
      <c r="AJ72" s="220">
        <v>0</v>
      </c>
      <c r="AK72" s="220">
        <v>0</v>
      </c>
      <c r="AL72" s="220">
        <v>0</v>
      </c>
      <c r="AM72" s="220">
        <v>0</v>
      </c>
      <c r="AN72" s="220">
        <v>0</v>
      </c>
      <c r="AO72" s="220">
        <v>0</v>
      </c>
      <c r="AP72" s="220">
        <v>0</v>
      </c>
      <c r="AQ72" s="182">
        <f t="shared" si="97"/>
        <v>0</v>
      </c>
      <c r="AR72" s="184" t="e">
        <f t="shared" si="96"/>
        <v>#DIV/0!</v>
      </c>
    </row>
    <row r="73" spans="1:46" hidden="1" outlineLevel="2">
      <c r="A73" s="190" t="s">
        <v>104</v>
      </c>
      <c r="E73" s="191"/>
      <c r="F73" s="181"/>
      <c r="G73" s="220">
        <v>0</v>
      </c>
      <c r="H73" s="220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  <c r="U73" s="220">
        <v>0</v>
      </c>
      <c r="V73" s="220">
        <v>0</v>
      </c>
      <c r="W73" s="220">
        <v>0</v>
      </c>
      <c r="X73" s="220">
        <v>0</v>
      </c>
      <c r="Y73" s="220">
        <v>0</v>
      </c>
      <c r="Z73" s="220">
        <v>0</v>
      </c>
      <c r="AA73" s="220">
        <v>0</v>
      </c>
      <c r="AB73" s="220">
        <v>0</v>
      </c>
      <c r="AC73" s="220">
        <v>0</v>
      </c>
      <c r="AD73" s="220">
        <v>0</v>
      </c>
      <c r="AE73" s="220">
        <v>0</v>
      </c>
      <c r="AF73" s="220">
        <v>0</v>
      </c>
      <c r="AG73" s="220">
        <v>0</v>
      </c>
      <c r="AH73" s="220">
        <v>0</v>
      </c>
      <c r="AI73" s="220">
        <v>0</v>
      </c>
      <c r="AJ73" s="220">
        <v>0</v>
      </c>
      <c r="AK73" s="220">
        <v>0</v>
      </c>
      <c r="AL73" s="220">
        <v>0</v>
      </c>
      <c r="AM73" s="220">
        <v>0</v>
      </c>
      <c r="AN73" s="220">
        <v>0</v>
      </c>
      <c r="AO73" s="220">
        <v>0</v>
      </c>
      <c r="AP73" s="220">
        <v>0</v>
      </c>
      <c r="AQ73" s="182">
        <f t="shared" si="97"/>
        <v>0</v>
      </c>
      <c r="AR73" s="184" t="e">
        <f t="shared" si="96"/>
        <v>#DIV/0!</v>
      </c>
    </row>
    <row r="74" spans="1:46" s="249" customFormat="1" ht="20.6" outlineLevel="1" collapsed="1">
      <c r="A74" s="275" t="s">
        <v>105</v>
      </c>
      <c r="B74" s="277"/>
      <c r="C74" s="278"/>
      <c r="D74" s="279"/>
      <c r="E74" s="277"/>
      <c r="F74" s="280"/>
      <c r="G74" s="254" t="e">
        <f>G70-SUM(G71:G73)</f>
        <v>#REF!</v>
      </c>
      <c r="H74" s="254" t="e">
        <f>H70-SUM(H71:H73)</f>
        <v>#REF!</v>
      </c>
      <c r="I74" s="254" t="e">
        <f t="shared" ref="I74:AP74" si="98">I70-SUM(I71:I73)</f>
        <v>#REF!</v>
      </c>
      <c r="J74" s="254" t="e">
        <f t="shared" si="98"/>
        <v>#REF!</v>
      </c>
      <c r="K74" s="254" t="e">
        <f t="shared" si="98"/>
        <v>#REF!</v>
      </c>
      <c r="L74" s="254" t="e">
        <f t="shared" si="98"/>
        <v>#REF!</v>
      </c>
      <c r="M74" s="254" t="e">
        <f>M70-SUM(M71:M73)</f>
        <v>#REF!</v>
      </c>
      <c r="N74" s="254" t="e">
        <f t="shared" si="98"/>
        <v>#REF!</v>
      </c>
      <c r="O74" s="254" t="e">
        <f t="shared" si="98"/>
        <v>#REF!</v>
      </c>
      <c r="P74" s="254" t="e">
        <f t="shared" si="98"/>
        <v>#REF!</v>
      </c>
      <c r="Q74" s="254" t="e">
        <f t="shared" si="98"/>
        <v>#REF!</v>
      </c>
      <c r="R74" s="254" t="e">
        <f t="shared" si="98"/>
        <v>#REF!</v>
      </c>
      <c r="S74" s="254" t="e">
        <f t="shared" si="98"/>
        <v>#REF!</v>
      </c>
      <c r="T74" s="254" t="e">
        <f t="shared" si="98"/>
        <v>#REF!</v>
      </c>
      <c r="U74" s="254" t="e">
        <f t="shared" si="98"/>
        <v>#REF!</v>
      </c>
      <c r="V74" s="254" t="e">
        <f t="shared" si="98"/>
        <v>#REF!</v>
      </c>
      <c r="W74" s="254" t="e">
        <f t="shared" si="98"/>
        <v>#REF!</v>
      </c>
      <c r="X74" s="254" t="e">
        <f t="shared" si="98"/>
        <v>#REF!</v>
      </c>
      <c r="Y74" s="254" t="e">
        <f t="shared" si="98"/>
        <v>#REF!</v>
      </c>
      <c r="Z74" s="254" t="e">
        <f t="shared" si="98"/>
        <v>#REF!</v>
      </c>
      <c r="AA74" s="254" t="e">
        <f t="shared" si="98"/>
        <v>#REF!</v>
      </c>
      <c r="AB74" s="254" t="e">
        <f t="shared" si="98"/>
        <v>#REF!</v>
      </c>
      <c r="AC74" s="254" t="e">
        <f t="shared" si="98"/>
        <v>#REF!</v>
      </c>
      <c r="AD74" s="254" t="e">
        <f t="shared" si="98"/>
        <v>#REF!</v>
      </c>
      <c r="AE74" s="254" t="e">
        <f t="shared" si="98"/>
        <v>#REF!</v>
      </c>
      <c r="AF74" s="254" t="e">
        <f t="shared" si="98"/>
        <v>#REF!</v>
      </c>
      <c r="AG74" s="254" t="e">
        <f t="shared" si="98"/>
        <v>#REF!</v>
      </c>
      <c r="AH74" s="254" t="e">
        <f t="shared" si="98"/>
        <v>#REF!</v>
      </c>
      <c r="AI74" s="254" t="e">
        <f t="shared" si="98"/>
        <v>#REF!</v>
      </c>
      <c r="AJ74" s="254" t="e">
        <f t="shared" si="98"/>
        <v>#REF!</v>
      </c>
      <c r="AK74" s="254" t="e">
        <f t="shared" si="98"/>
        <v>#REF!</v>
      </c>
      <c r="AL74" s="254" t="e">
        <f t="shared" si="98"/>
        <v>#REF!</v>
      </c>
      <c r="AM74" s="254" t="e">
        <f t="shared" si="98"/>
        <v>#REF!</v>
      </c>
      <c r="AN74" s="254" t="e">
        <f t="shared" si="98"/>
        <v>#REF!</v>
      </c>
      <c r="AO74" s="254" t="e">
        <f t="shared" si="98"/>
        <v>#REF!</v>
      </c>
      <c r="AP74" s="254" t="e">
        <f t="shared" si="98"/>
        <v>#REF!</v>
      </c>
      <c r="AQ74" s="272" t="e">
        <f>SUM(G74:AP74)</f>
        <v>#REF!</v>
      </c>
      <c r="AR74" s="256" t="e">
        <f t="shared" si="96"/>
        <v>#REF!</v>
      </c>
    </row>
    <row r="75" spans="1:46" s="252" customFormat="1" ht="20.6" outlineLevel="1">
      <c r="A75" s="266" t="s">
        <v>88</v>
      </c>
      <c r="B75" s="250"/>
      <c r="C75" s="251"/>
      <c r="E75" s="276"/>
      <c r="F75" s="253"/>
      <c r="G75" s="268">
        <v>0</v>
      </c>
      <c r="H75" s="268">
        <v>0</v>
      </c>
      <c r="I75" s="268">
        <v>0</v>
      </c>
      <c r="J75" s="268">
        <v>0</v>
      </c>
      <c r="K75" s="268">
        <v>0</v>
      </c>
      <c r="L75" s="268">
        <v>0</v>
      </c>
      <c r="M75" s="268">
        <v>0</v>
      </c>
      <c r="N75" s="268">
        <v>0</v>
      </c>
      <c r="O75" s="268">
        <v>0</v>
      </c>
      <c r="P75" s="268">
        <v>0</v>
      </c>
      <c r="Q75" s="268">
        <v>0</v>
      </c>
      <c r="R75" s="268">
        <v>0</v>
      </c>
      <c r="S75" s="268">
        <v>0</v>
      </c>
      <c r="T75" s="268">
        <v>0</v>
      </c>
      <c r="U75" s="268">
        <v>0</v>
      </c>
      <c r="V75" s="268">
        <v>0</v>
      </c>
      <c r="W75" s="268">
        <v>0</v>
      </c>
      <c r="X75" s="268">
        <v>0</v>
      </c>
      <c r="Y75" s="268">
        <v>0</v>
      </c>
      <c r="Z75" s="268">
        <v>0</v>
      </c>
      <c r="AA75" s="268">
        <v>0</v>
      </c>
      <c r="AB75" s="268">
        <v>0</v>
      </c>
      <c r="AC75" s="268">
        <v>0</v>
      </c>
      <c r="AD75" s="268">
        <v>0</v>
      </c>
      <c r="AE75" s="268">
        <v>0</v>
      </c>
      <c r="AF75" s="268">
        <v>0</v>
      </c>
      <c r="AG75" s="268">
        <v>0</v>
      </c>
      <c r="AH75" s="268">
        <v>0</v>
      </c>
      <c r="AI75" s="268">
        <v>0</v>
      </c>
      <c r="AJ75" s="268">
        <v>0</v>
      </c>
      <c r="AK75" s="268">
        <v>0</v>
      </c>
      <c r="AL75" s="268">
        <v>0</v>
      </c>
      <c r="AM75" s="268">
        <v>0</v>
      </c>
      <c r="AN75" s="268">
        <v>0</v>
      </c>
      <c r="AO75" s="268">
        <v>0</v>
      </c>
      <c r="AP75" s="268">
        <v>0</v>
      </c>
      <c r="AQ75" s="273">
        <f t="shared" si="97"/>
        <v>0</v>
      </c>
      <c r="AR75" s="274" t="e">
        <f t="shared" si="96"/>
        <v>#DIV/0!</v>
      </c>
    </row>
    <row r="76" spans="1:46" s="249" customFormat="1" ht="20.6">
      <c r="A76" s="266" t="s">
        <v>80</v>
      </c>
      <c r="B76" s="269"/>
      <c r="C76" s="267"/>
      <c r="E76" s="269"/>
      <c r="F76" s="270"/>
      <c r="G76" s="254" t="e">
        <f>G74-G75</f>
        <v>#REF!</v>
      </c>
      <c r="H76" s="254" t="e">
        <f t="shared" ref="H76:AP76" si="99">H74-H75</f>
        <v>#REF!</v>
      </c>
      <c r="I76" s="254" t="e">
        <f t="shared" si="99"/>
        <v>#REF!</v>
      </c>
      <c r="J76" s="254" t="e">
        <f t="shared" si="99"/>
        <v>#REF!</v>
      </c>
      <c r="K76" s="254" t="e">
        <f t="shared" si="99"/>
        <v>#REF!</v>
      </c>
      <c r="L76" s="254" t="e">
        <f t="shared" si="99"/>
        <v>#REF!</v>
      </c>
      <c r="M76" s="254" t="e">
        <f t="shared" si="99"/>
        <v>#REF!</v>
      </c>
      <c r="N76" s="254" t="e">
        <f t="shared" si="99"/>
        <v>#REF!</v>
      </c>
      <c r="O76" s="254" t="e">
        <f t="shared" si="99"/>
        <v>#REF!</v>
      </c>
      <c r="P76" s="254" t="e">
        <f t="shared" si="99"/>
        <v>#REF!</v>
      </c>
      <c r="Q76" s="254" t="e">
        <f t="shared" si="99"/>
        <v>#REF!</v>
      </c>
      <c r="R76" s="254" t="e">
        <f t="shared" si="99"/>
        <v>#REF!</v>
      </c>
      <c r="S76" s="254" t="e">
        <f t="shared" si="99"/>
        <v>#REF!</v>
      </c>
      <c r="T76" s="254" t="e">
        <f t="shared" si="99"/>
        <v>#REF!</v>
      </c>
      <c r="U76" s="254" t="e">
        <f t="shared" si="99"/>
        <v>#REF!</v>
      </c>
      <c r="V76" s="254" t="e">
        <f t="shared" si="99"/>
        <v>#REF!</v>
      </c>
      <c r="W76" s="254" t="e">
        <f t="shared" si="99"/>
        <v>#REF!</v>
      </c>
      <c r="X76" s="254" t="e">
        <f t="shared" si="99"/>
        <v>#REF!</v>
      </c>
      <c r="Y76" s="254" t="e">
        <f t="shared" si="99"/>
        <v>#REF!</v>
      </c>
      <c r="Z76" s="254" t="e">
        <f t="shared" si="99"/>
        <v>#REF!</v>
      </c>
      <c r="AA76" s="254" t="e">
        <f t="shared" si="99"/>
        <v>#REF!</v>
      </c>
      <c r="AB76" s="254" t="e">
        <f>AB74-AB75</f>
        <v>#REF!</v>
      </c>
      <c r="AC76" s="254" t="e">
        <f t="shared" si="99"/>
        <v>#REF!</v>
      </c>
      <c r="AD76" s="254" t="e">
        <f t="shared" si="99"/>
        <v>#REF!</v>
      </c>
      <c r="AE76" s="254" t="e">
        <f t="shared" si="99"/>
        <v>#REF!</v>
      </c>
      <c r="AF76" s="254" t="e">
        <f t="shared" si="99"/>
        <v>#REF!</v>
      </c>
      <c r="AG76" s="254" t="e">
        <f t="shared" si="99"/>
        <v>#REF!</v>
      </c>
      <c r="AH76" s="254" t="e">
        <f t="shared" si="99"/>
        <v>#REF!</v>
      </c>
      <c r="AI76" s="254" t="e">
        <f t="shared" si="99"/>
        <v>#REF!</v>
      </c>
      <c r="AJ76" s="254" t="e">
        <f t="shared" si="99"/>
        <v>#REF!</v>
      </c>
      <c r="AK76" s="254" t="e">
        <f t="shared" si="99"/>
        <v>#REF!</v>
      </c>
      <c r="AL76" s="254" t="e">
        <f t="shared" si="99"/>
        <v>#REF!</v>
      </c>
      <c r="AM76" s="254" t="e">
        <f t="shared" si="99"/>
        <v>#REF!</v>
      </c>
      <c r="AN76" s="254" t="e">
        <f t="shared" si="99"/>
        <v>#REF!</v>
      </c>
      <c r="AO76" s="254" t="e">
        <f t="shared" si="99"/>
        <v>#REF!</v>
      </c>
      <c r="AP76" s="254" t="e">
        <f t="shared" si="99"/>
        <v>#REF!</v>
      </c>
      <c r="AQ76" s="272" t="e">
        <f t="shared" si="97"/>
        <v>#REF!</v>
      </c>
      <c r="AR76" s="256" t="e">
        <f t="shared" si="96"/>
        <v>#REF!</v>
      </c>
    </row>
    <row r="77" spans="1:46" s="249" customFormat="1" ht="20.6">
      <c r="A77" s="266" t="s">
        <v>94</v>
      </c>
      <c r="B77" s="269"/>
      <c r="C77" s="267"/>
      <c r="E77" s="269"/>
      <c r="F77" s="270"/>
      <c r="G77" s="254" t="e">
        <f>G76</f>
        <v>#REF!</v>
      </c>
      <c r="H77" s="254" t="e">
        <f>H76</f>
        <v>#REF!</v>
      </c>
      <c r="I77" s="254" t="e">
        <f t="shared" ref="I77:AO77" si="100">H77+I76</f>
        <v>#REF!</v>
      </c>
      <c r="J77" s="254" t="e">
        <f t="shared" si="100"/>
        <v>#REF!</v>
      </c>
      <c r="K77" s="254" t="e">
        <f t="shared" si="100"/>
        <v>#REF!</v>
      </c>
      <c r="L77" s="254" t="e">
        <f t="shared" si="100"/>
        <v>#REF!</v>
      </c>
      <c r="M77" s="254" t="e">
        <f t="shared" si="100"/>
        <v>#REF!</v>
      </c>
      <c r="N77" s="254" t="e">
        <f t="shared" si="100"/>
        <v>#REF!</v>
      </c>
      <c r="O77" s="254" t="e">
        <f t="shared" si="100"/>
        <v>#REF!</v>
      </c>
      <c r="P77" s="254" t="e">
        <f t="shared" si="100"/>
        <v>#REF!</v>
      </c>
      <c r="Q77" s="254" t="e">
        <f t="shared" si="100"/>
        <v>#REF!</v>
      </c>
      <c r="R77" s="254" t="e">
        <f>G77+R76</f>
        <v>#REF!</v>
      </c>
      <c r="S77" s="254" t="e">
        <f>H77+S76</f>
        <v>#REF!</v>
      </c>
      <c r="T77" s="254" t="e">
        <f t="shared" si="100"/>
        <v>#REF!</v>
      </c>
      <c r="U77" s="254" t="e">
        <f t="shared" si="100"/>
        <v>#REF!</v>
      </c>
      <c r="V77" s="254" t="e">
        <f t="shared" si="100"/>
        <v>#REF!</v>
      </c>
      <c r="W77" s="254" t="e">
        <f t="shared" si="100"/>
        <v>#REF!</v>
      </c>
      <c r="X77" s="254" t="e">
        <f t="shared" si="100"/>
        <v>#REF!</v>
      </c>
      <c r="Y77" s="254" t="e">
        <f t="shared" si="100"/>
        <v>#REF!</v>
      </c>
      <c r="Z77" s="254" t="e">
        <f t="shared" si="100"/>
        <v>#REF!</v>
      </c>
      <c r="AA77" s="254" t="e">
        <f t="shared" si="100"/>
        <v>#REF!</v>
      </c>
      <c r="AB77" s="254" t="e">
        <f t="shared" si="100"/>
        <v>#REF!</v>
      </c>
      <c r="AC77" s="254" t="e">
        <f t="shared" si="100"/>
        <v>#REF!</v>
      </c>
      <c r="AD77" s="254" t="e">
        <f t="shared" si="100"/>
        <v>#REF!</v>
      </c>
      <c r="AE77" s="254" t="e">
        <f t="shared" si="100"/>
        <v>#REF!</v>
      </c>
      <c r="AF77" s="254" t="e">
        <f t="shared" si="100"/>
        <v>#REF!</v>
      </c>
      <c r="AG77" s="254" t="e">
        <f t="shared" si="100"/>
        <v>#REF!</v>
      </c>
      <c r="AH77" s="254" t="e">
        <f t="shared" si="100"/>
        <v>#REF!</v>
      </c>
      <c r="AI77" s="254" t="e">
        <f t="shared" si="100"/>
        <v>#REF!</v>
      </c>
      <c r="AJ77" s="254" t="e">
        <f t="shared" si="100"/>
        <v>#REF!</v>
      </c>
      <c r="AK77" s="254" t="e">
        <f t="shared" si="100"/>
        <v>#REF!</v>
      </c>
      <c r="AL77" s="254" t="e">
        <f t="shared" si="100"/>
        <v>#REF!</v>
      </c>
      <c r="AM77" s="254" t="e">
        <f t="shared" si="100"/>
        <v>#REF!</v>
      </c>
      <c r="AN77" s="254" t="e">
        <f t="shared" si="100"/>
        <v>#REF!</v>
      </c>
      <c r="AO77" s="254" t="e">
        <f t="shared" si="100"/>
        <v>#REF!</v>
      </c>
      <c r="AP77" s="254" t="e">
        <f>AO77+AP76</f>
        <v>#REF!</v>
      </c>
      <c r="AQ77" s="272"/>
      <c r="AR77" s="256"/>
    </row>
    <row r="78" spans="1:46" ht="20.6">
      <c r="A78" s="322" t="s">
        <v>106</v>
      </c>
      <c r="B78" s="185"/>
      <c r="C78" s="186"/>
      <c r="D78" s="173"/>
      <c r="E78" s="185"/>
      <c r="F78" s="187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  <c r="AQ78" s="201" t="s">
        <v>98</v>
      </c>
      <c r="AR78" s="202"/>
    </row>
    <row r="79" spans="1:46" s="249" customFormat="1" ht="20.6">
      <c r="A79" s="249" t="s">
        <v>84</v>
      </c>
      <c r="B79" s="269"/>
      <c r="C79" s="267"/>
      <c r="E79" s="269"/>
      <c r="F79" s="270"/>
      <c r="G79" s="254">
        <f t="shared" ref="G79:L79" si="101">SUM(G80:G82)</f>
        <v>0</v>
      </c>
      <c r="H79" s="254">
        <f t="shared" si="101"/>
        <v>0</v>
      </c>
      <c r="I79" s="254">
        <f t="shared" si="101"/>
        <v>0</v>
      </c>
      <c r="J79" s="254">
        <f t="shared" si="101"/>
        <v>0</v>
      </c>
      <c r="K79" s="254">
        <f t="shared" si="101"/>
        <v>0</v>
      </c>
      <c r="L79" s="254">
        <f t="shared" si="101"/>
        <v>0</v>
      </c>
      <c r="M79" s="254">
        <f>SUM(M80:M82)</f>
        <v>0</v>
      </c>
      <c r="N79" s="254">
        <f t="shared" ref="N79:AP79" si="102">SUM(N80:N82)</f>
        <v>0</v>
      </c>
      <c r="O79" s="254">
        <f t="shared" si="102"/>
        <v>0</v>
      </c>
      <c r="P79" s="254">
        <f t="shared" si="102"/>
        <v>0</v>
      </c>
      <c r="Q79" s="254">
        <f t="shared" si="102"/>
        <v>0</v>
      </c>
      <c r="R79" s="254">
        <f t="shared" si="102"/>
        <v>0</v>
      </c>
      <c r="S79" s="254">
        <f t="shared" si="102"/>
        <v>0</v>
      </c>
      <c r="T79" s="254">
        <f t="shared" si="102"/>
        <v>0</v>
      </c>
      <c r="U79" s="254">
        <f t="shared" si="102"/>
        <v>0</v>
      </c>
      <c r="V79" s="254">
        <f t="shared" si="102"/>
        <v>0</v>
      </c>
      <c r="W79" s="254">
        <f t="shared" si="102"/>
        <v>0</v>
      </c>
      <c r="X79" s="254">
        <f t="shared" si="102"/>
        <v>0</v>
      </c>
      <c r="Y79" s="254">
        <f t="shared" si="102"/>
        <v>0</v>
      </c>
      <c r="Z79" s="254">
        <f t="shared" si="102"/>
        <v>0</v>
      </c>
      <c r="AA79" s="254">
        <f t="shared" si="102"/>
        <v>0</v>
      </c>
      <c r="AB79" s="254">
        <f t="shared" si="102"/>
        <v>0</v>
      </c>
      <c r="AC79" s="254">
        <f t="shared" si="102"/>
        <v>0</v>
      </c>
      <c r="AD79" s="254">
        <f t="shared" si="102"/>
        <v>0</v>
      </c>
      <c r="AE79" s="254">
        <f t="shared" si="102"/>
        <v>0</v>
      </c>
      <c r="AF79" s="254">
        <f t="shared" si="102"/>
        <v>0</v>
      </c>
      <c r="AG79" s="254">
        <f t="shared" si="102"/>
        <v>0</v>
      </c>
      <c r="AH79" s="254">
        <f t="shared" si="102"/>
        <v>0</v>
      </c>
      <c r="AI79" s="254">
        <f t="shared" si="102"/>
        <v>0</v>
      </c>
      <c r="AJ79" s="254">
        <f t="shared" si="102"/>
        <v>0</v>
      </c>
      <c r="AK79" s="254">
        <f t="shared" si="102"/>
        <v>0</v>
      </c>
      <c r="AL79" s="254">
        <f t="shared" si="102"/>
        <v>0</v>
      </c>
      <c r="AM79" s="254">
        <f t="shared" si="102"/>
        <v>0</v>
      </c>
      <c r="AN79" s="254">
        <f t="shared" si="102"/>
        <v>0</v>
      </c>
      <c r="AO79" s="254">
        <f t="shared" si="102"/>
        <v>0</v>
      </c>
      <c r="AP79" s="254">
        <f t="shared" si="102"/>
        <v>0</v>
      </c>
      <c r="AQ79" s="272">
        <f>SUM(G79:AP79)</f>
        <v>0</v>
      </c>
      <c r="AR79" s="256" t="e">
        <f t="shared" ref="AR79:AR93" si="103">AQ79/$AQ$79</f>
        <v>#DIV/0!</v>
      </c>
    </row>
    <row r="80" spans="1:46" outlineLevel="1">
      <c r="A80" s="214" t="s">
        <v>111</v>
      </c>
      <c r="B80" s="228"/>
      <c r="C80" s="228"/>
      <c r="D80" s="230"/>
      <c r="E80" s="231"/>
      <c r="F80" s="232"/>
      <c r="G80" s="235">
        <f t="shared" ref="G80:AP80" si="104">G21</f>
        <v>0</v>
      </c>
      <c r="H80" s="235">
        <f t="shared" si="104"/>
        <v>0</v>
      </c>
      <c r="I80" s="235">
        <f t="shared" si="104"/>
        <v>0</v>
      </c>
      <c r="J80" s="235">
        <f t="shared" si="104"/>
        <v>0</v>
      </c>
      <c r="K80" s="235">
        <f t="shared" si="104"/>
        <v>0</v>
      </c>
      <c r="L80" s="235">
        <f t="shared" si="104"/>
        <v>0</v>
      </c>
      <c r="M80" s="235">
        <f t="shared" si="104"/>
        <v>0</v>
      </c>
      <c r="N80" s="235">
        <f t="shared" si="104"/>
        <v>0</v>
      </c>
      <c r="O80" s="235">
        <f t="shared" si="104"/>
        <v>0</v>
      </c>
      <c r="P80" s="235">
        <f t="shared" si="104"/>
        <v>0</v>
      </c>
      <c r="Q80" s="235">
        <f t="shared" si="104"/>
        <v>0</v>
      </c>
      <c r="R80" s="235">
        <f t="shared" si="104"/>
        <v>0</v>
      </c>
      <c r="S80" s="235">
        <f t="shared" si="104"/>
        <v>0</v>
      </c>
      <c r="T80" s="235">
        <f t="shared" si="104"/>
        <v>0</v>
      </c>
      <c r="U80" s="235">
        <f t="shared" si="104"/>
        <v>0</v>
      </c>
      <c r="V80" s="235">
        <f t="shared" si="104"/>
        <v>0</v>
      </c>
      <c r="W80" s="235">
        <f t="shared" si="104"/>
        <v>0</v>
      </c>
      <c r="X80" s="235">
        <f t="shared" si="104"/>
        <v>0</v>
      </c>
      <c r="Y80" s="235">
        <f t="shared" si="104"/>
        <v>0</v>
      </c>
      <c r="Z80" s="235">
        <f t="shared" si="104"/>
        <v>0</v>
      </c>
      <c r="AA80" s="235">
        <f t="shared" si="104"/>
        <v>0</v>
      </c>
      <c r="AB80" s="235">
        <f t="shared" si="104"/>
        <v>0</v>
      </c>
      <c r="AC80" s="235">
        <f t="shared" si="104"/>
        <v>0</v>
      </c>
      <c r="AD80" s="235">
        <f t="shared" si="104"/>
        <v>0</v>
      </c>
      <c r="AE80" s="235">
        <f t="shared" si="104"/>
        <v>0</v>
      </c>
      <c r="AF80" s="235">
        <f t="shared" si="104"/>
        <v>0</v>
      </c>
      <c r="AG80" s="235">
        <f t="shared" si="104"/>
        <v>0</v>
      </c>
      <c r="AH80" s="235">
        <f t="shared" si="104"/>
        <v>0</v>
      </c>
      <c r="AI80" s="235">
        <f t="shared" si="104"/>
        <v>0</v>
      </c>
      <c r="AJ80" s="235">
        <f t="shared" si="104"/>
        <v>0</v>
      </c>
      <c r="AK80" s="235">
        <f t="shared" si="104"/>
        <v>0</v>
      </c>
      <c r="AL80" s="235">
        <f t="shared" si="104"/>
        <v>0</v>
      </c>
      <c r="AM80" s="235">
        <f t="shared" si="104"/>
        <v>0</v>
      </c>
      <c r="AN80" s="235">
        <f t="shared" si="104"/>
        <v>0</v>
      </c>
      <c r="AO80" s="235">
        <f t="shared" si="104"/>
        <v>0</v>
      </c>
      <c r="AP80" s="235">
        <f t="shared" si="104"/>
        <v>0</v>
      </c>
      <c r="AQ80" s="215">
        <f>SUM(G80:AP80)</f>
        <v>0</v>
      </c>
      <c r="AR80" s="216" t="e">
        <f t="shared" si="103"/>
        <v>#DIV/0!</v>
      </c>
    </row>
    <row r="81" spans="1:44" outlineLevel="1">
      <c r="A81" s="321" t="s">
        <v>130</v>
      </c>
      <c r="B81" s="292"/>
      <c r="F81" s="181"/>
      <c r="G81" s="222"/>
      <c r="H81" s="222">
        <f t="shared" ref="H81:Q81" si="105">H22</f>
        <v>0</v>
      </c>
      <c r="I81" s="222">
        <f t="shared" si="105"/>
        <v>0</v>
      </c>
      <c r="J81" s="222">
        <f t="shared" si="105"/>
        <v>0</v>
      </c>
      <c r="K81" s="222">
        <f t="shared" si="105"/>
        <v>0</v>
      </c>
      <c r="L81" s="222">
        <f t="shared" si="105"/>
        <v>0</v>
      </c>
      <c r="M81" s="222">
        <f t="shared" si="105"/>
        <v>0</v>
      </c>
      <c r="N81" s="222">
        <f t="shared" si="105"/>
        <v>0</v>
      </c>
      <c r="O81" s="222">
        <f t="shared" si="105"/>
        <v>0</v>
      </c>
      <c r="P81" s="222">
        <f t="shared" si="105"/>
        <v>0</v>
      </c>
      <c r="Q81" s="222">
        <f t="shared" si="105"/>
        <v>0</v>
      </c>
      <c r="R81" s="222">
        <f t="shared" ref="R81:AP81" si="106">G22</f>
        <v>0</v>
      </c>
      <c r="S81" s="222">
        <f t="shared" si="106"/>
        <v>0</v>
      </c>
      <c r="T81" s="222">
        <f t="shared" si="106"/>
        <v>0</v>
      </c>
      <c r="U81" s="222">
        <f t="shared" si="106"/>
        <v>0</v>
      </c>
      <c r="V81" s="222">
        <f t="shared" si="106"/>
        <v>0</v>
      </c>
      <c r="W81" s="222">
        <f t="shared" si="106"/>
        <v>0</v>
      </c>
      <c r="X81" s="222">
        <f t="shared" si="106"/>
        <v>0</v>
      </c>
      <c r="Y81" s="222">
        <f t="shared" si="106"/>
        <v>0</v>
      </c>
      <c r="Z81" s="222">
        <f t="shared" si="106"/>
        <v>0</v>
      </c>
      <c r="AA81" s="222">
        <f t="shared" si="106"/>
        <v>0</v>
      </c>
      <c r="AB81" s="222">
        <f t="shared" si="106"/>
        <v>0</v>
      </c>
      <c r="AC81" s="222">
        <f t="shared" si="106"/>
        <v>0</v>
      </c>
      <c r="AD81" s="222">
        <f t="shared" si="106"/>
        <v>0</v>
      </c>
      <c r="AE81" s="222">
        <f t="shared" si="106"/>
        <v>0</v>
      </c>
      <c r="AF81" s="222">
        <f t="shared" si="106"/>
        <v>0</v>
      </c>
      <c r="AG81" s="222">
        <f t="shared" si="106"/>
        <v>0</v>
      </c>
      <c r="AH81" s="222">
        <f t="shared" si="106"/>
        <v>0</v>
      </c>
      <c r="AI81" s="222">
        <f t="shared" si="106"/>
        <v>0</v>
      </c>
      <c r="AJ81" s="222">
        <f t="shared" si="106"/>
        <v>0</v>
      </c>
      <c r="AK81" s="222">
        <f t="shared" si="106"/>
        <v>0</v>
      </c>
      <c r="AL81" s="222">
        <f t="shared" si="106"/>
        <v>0</v>
      </c>
      <c r="AM81" s="222">
        <f t="shared" si="106"/>
        <v>0</v>
      </c>
      <c r="AN81" s="222">
        <f t="shared" si="106"/>
        <v>0</v>
      </c>
      <c r="AO81" s="222">
        <f t="shared" si="106"/>
        <v>0</v>
      </c>
      <c r="AP81" s="222">
        <f t="shared" si="106"/>
        <v>0</v>
      </c>
      <c r="AQ81" s="182">
        <f>SUM(G81:AP81)</f>
        <v>0</v>
      </c>
      <c r="AR81" s="198" t="e">
        <f t="shared" si="103"/>
        <v>#DIV/0!</v>
      </c>
    </row>
    <row r="82" spans="1:44" outlineLevel="1">
      <c r="A82" s="197"/>
      <c r="B82" s="292"/>
      <c r="F82" s="181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182">
        <f>SUM(G82:AP82)</f>
        <v>0</v>
      </c>
      <c r="AR82" s="198" t="e">
        <f t="shared" si="103"/>
        <v>#DIV/0!</v>
      </c>
    </row>
    <row r="83" spans="1:44" s="249" customFormat="1" ht="20.6">
      <c r="A83" s="249" t="s">
        <v>85</v>
      </c>
      <c r="B83" s="269"/>
      <c r="C83" s="267"/>
      <c r="E83" s="269"/>
      <c r="F83" s="270"/>
      <c r="G83" s="271" t="e">
        <f>SUM(G85,G88,,G93,G94,G95,G92)</f>
        <v>#REF!</v>
      </c>
      <c r="H83" s="271" t="e">
        <f t="shared" ref="H83:AP83" si="107">SUM(H85,H88,,H93,H94,H95,H92)</f>
        <v>#REF!</v>
      </c>
      <c r="I83" s="271" t="e">
        <f t="shared" si="107"/>
        <v>#REF!</v>
      </c>
      <c r="J83" s="271" t="e">
        <f t="shared" si="107"/>
        <v>#REF!</v>
      </c>
      <c r="K83" s="271" t="e">
        <f t="shared" si="107"/>
        <v>#REF!</v>
      </c>
      <c r="L83" s="271" t="e">
        <f t="shared" si="107"/>
        <v>#REF!</v>
      </c>
      <c r="M83" s="271" t="e">
        <f t="shared" si="107"/>
        <v>#REF!</v>
      </c>
      <c r="N83" s="271" t="e">
        <f t="shared" si="107"/>
        <v>#REF!</v>
      </c>
      <c r="O83" s="271" t="e">
        <f t="shared" si="107"/>
        <v>#REF!</v>
      </c>
      <c r="P83" s="271" t="e">
        <f t="shared" si="107"/>
        <v>#REF!</v>
      </c>
      <c r="Q83" s="271" t="e">
        <f t="shared" si="107"/>
        <v>#REF!</v>
      </c>
      <c r="R83" s="271" t="e">
        <f t="shared" si="107"/>
        <v>#REF!</v>
      </c>
      <c r="S83" s="271" t="e">
        <f t="shared" si="107"/>
        <v>#REF!</v>
      </c>
      <c r="T83" s="271" t="e">
        <f t="shared" si="107"/>
        <v>#REF!</v>
      </c>
      <c r="U83" s="271" t="e">
        <f t="shared" si="107"/>
        <v>#REF!</v>
      </c>
      <c r="V83" s="271" t="e">
        <f t="shared" si="107"/>
        <v>#REF!</v>
      </c>
      <c r="W83" s="271" t="e">
        <f t="shared" si="107"/>
        <v>#REF!</v>
      </c>
      <c r="X83" s="271" t="e">
        <f t="shared" si="107"/>
        <v>#REF!</v>
      </c>
      <c r="Y83" s="271" t="e">
        <f t="shared" si="107"/>
        <v>#REF!</v>
      </c>
      <c r="Z83" s="271" t="e">
        <f t="shared" si="107"/>
        <v>#REF!</v>
      </c>
      <c r="AA83" s="271" t="e">
        <f t="shared" si="107"/>
        <v>#REF!</v>
      </c>
      <c r="AB83" s="271" t="e">
        <f t="shared" si="107"/>
        <v>#REF!</v>
      </c>
      <c r="AC83" s="271" t="e">
        <f t="shared" si="107"/>
        <v>#REF!</v>
      </c>
      <c r="AD83" s="271" t="e">
        <f t="shared" si="107"/>
        <v>#REF!</v>
      </c>
      <c r="AE83" s="271" t="e">
        <f t="shared" si="107"/>
        <v>#REF!</v>
      </c>
      <c r="AF83" s="271" t="e">
        <f t="shared" si="107"/>
        <v>#REF!</v>
      </c>
      <c r="AG83" s="271" t="e">
        <f t="shared" si="107"/>
        <v>#REF!</v>
      </c>
      <c r="AH83" s="271" t="e">
        <f t="shared" si="107"/>
        <v>#REF!</v>
      </c>
      <c r="AI83" s="271" t="e">
        <f t="shared" si="107"/>
        <v>#REF!</v>
      </c>
      <c r="AJ83" s="271" t="e">
        <f t="shared" si="107"/>
        <v>#REF!</v>
      </c>
      <c r="AK83" s="271" t="e">
        <f t="shared" si="107"/>
        <v>#REF!</v>
      </c>
      <c r="AL83" s="271" t="e">
        <f t="shared" si="107"/>
        <v>#REF!</v>
      </c>
      <c r="AM83" s="271" t="e">
        <f t="shared" si="107"/>
        <v>#REF!</v>
      </c>
      <c r="AN83" s="271" t="e">
        <f t="shared" si="107"/>
        <v>#REF!</v>
      </c>
      <c r="AO83" s="271" t="e">
        <f t="shared" si="107"/>
        <v>#REF!</v>
      </c>
      <c r="AP83" s="271" t="e">
        <f t="shared" si="107"/>
        <v>#REF!</v>
      </c>
      <c r="AQ83" s="272" t="e">
        <f>SUM(G83:AP83)</f>
        <v>#REF!</v>
      </c>
      <c r="AR83" s="281" t="e">
        <f t="shared" si="103"/>
        <v>#REF!</v>
      </c>
    </row>
    <row r="84" spans="1:44" s="249" customFormat="1" ht="20.6" outlineLevel="1">
      <c r="A84" s="287" t="s">
        <v>119</v>
      </c>
      <c r="B84" s="269"/>
      <c r="C84" s="267"/>
      <c r="E84" s="269"/>
      <c r="F84" s="270"/>
      <c r="G84" s="288">
        <f>SUM(G85,G88)</f>
        <v>0</v>
      </c>
      <c r="H84" s="288">
        <f t="shared" ref="H84:AP84" si="108">SUM(H85,H88)</f>
        <v>0</v>
      </c>
      <c r="I84" s="288">
        <f t="shared" si="108"/>
        <v>0</v>
      </c>
      <c r="J84" s="288">
        <f t="shared" si="108"/>
        <v>0</v>
      </c>
      <c r="K84" s="288">
        <f t="shared" si="108"/>
        <v>0</v>
      </c>
      <c r="L84" s="288">
        <f t="shared" si="108"/>
        <v>0</v>
      </c>
      <c r="M84" s="288">
        <f t="shared" si="108"/>
        <v>0</v>
      </c>
      <c r="N84" s="288">
        <f t="shared" si="108"/>
        <v>0</v>
      </c>
      <c r="O84" s="288">
        <f t="shared" si="108"/>
        <v>0</v>
      </c>
      <c r="P84" s="288">
        <f t="shared" si="108"/>
        <v>0</v>
      </c>
      <c r="Q84" s="288">
        <f t="shared" si="108"/>
        <v>0</v>
      </c>
      <c r="R84" s="288">
        <f t="shared" si="108"/>
        <v>0</v>
      </c>
      <c r="S84" s="288">
        <f t="shared" si="108"/>
        <v>0</v>
      </c>
      <c r="T84" s="288">
        <f t="shared" si="108"/>
        <v>0</v>
      </c>
      <c r="U84" s="288">
        <f t="shared" si="108"/>
        <v>0</v>
      </c>
      <c r="V84" s="288">
        <f t="shared" si="108"/>
        <v>0</v>
      </c>
      <c r="W84" s="288">
        <f t="shared" si="108"/>
        <v>0</v>
      </c>
      <c r="X84" s="288">
        <f t="shared" si="108"/>
        <v>0</v>
      </c>
      <c r="Y84" s="288">
        <f t="shared" si="108"/>
        <v>0</v>
      </c>
      <c r="Z84" s="288">
        <f t="shared" si="108"/>
        <v>0</v>
      </c>
      <c r="AA84" s="288">
        <f t="shared" si="108"/>
        <v>0</v>
      </c>
      <c r="AB84" s="288">
        <f t="shared" si="108"/>
        <v>0</v>
      </c>
      <c r="AC84" s="288">
        <f t="shared" si="108"/>
        <v>0</v>
      </c>
      <c r="AD84" s="288">
        <f t="shared" si="108"/>
        <v>0</v>
      </c>
      <c r="AE84" s="288">
        <f t="shared" si="108"/>
        <v>0</v>
      </c>
      <c r="AF84" s="288">
        <f t="shared" si="108"/>
        <v>0</v>
      </c>
      <c r="AG84" s="288">
        <f t="shared" si="108"/>
        <v>0</v>
      </c>
      <c r="AH84" s="288">
        <f t="shared" si="108"/>
        <v>0</v>
      </c>
      <c r="AI84" s="288">
        <f t="shared" si="108"/>
        <v>0</v>
      </c>
      <c r="AJ84" s="288">
        <f t="shared" si="108"/>
        <v>0</v>
      </c>
      <c r="AK84" s="288">
        <f t="shared" si="108"/>
        <v>0</v>
      </c>
      <c r="AL84" s="288">
        <f t="shared" si="108"/>
        <v>0</v>
      </c>
      <c r="AM84" s="288">
        <f t="shared" si="108"/>
        <v>0</v>
      </c>
      <c r="AN84" s="288">
        <f t="shared" si="108"/>
        <v>0</v>
      </c>
      <c r="AO84" s="288">
        <f t="shared" si="108"/>
        <v>0</v>
      </c>
      <c r="AP84" s="288">
        <f t="shared" si="108"/>
        <v>0</v>
      </c>
      <c r="AQ84" s="289">
        <f t="shared" ref="AQ84:AQ95" si="109">SUM(G84:AP84)</f>
        <v>0</v>
      </c>
      <c r="AR84" s="290" t="e">
        <f t="shared" si="103"/>
        <v>#DIV/0!</v>
      </c>
    </row>
    <row r="85" spans="1:44" outlineLevel="2">
      <c r="A85" s="323" t="s">
        <v>107</v>
      </c>
      <c r="B85" s="324"/>
      <c r="C85" s="325"/>
      <c r="D85" s="326"/>
      <c r="E85" s="324"/>
      <c r="F85" s="327"/>
      <c r="G85" s="328">
        <f t="shared" ref="G85:AP85" si="110">SUM(G86:G87)</f>
        <v>0</v>
      </c>
      <c r="H85" s="328">
        <f t="shared" si="110"/>
        <v>0</v>
      </c>
      <c r="I85" s="328">
        <f t="shared" si="110"/>
        <v>0</v>
      </c>
      <c r="J85" s="328">
        <f t="shared" si="110"/>
        <v>0</v>
      </c>
      <c r="K85" s="328">
        <f t="shared" si="110"/>
        <v>0</v>
      </c>
      <c r="L85" s="328">
        <f t="shared" si="110"/>
        <v>0</v>
      </c>
      <c r="M85" s="328">
        <f t="shared" si="110"/>
        <v>0</v>
      </c>
      <c r="N85" s="328">
        <f t="shared" si="110"/>
        <v>0</v>
      </c>
      <c r="O85" s="328">
        <f t="shared" si="110"/>
        <v>0</v>
      </c>
      <c r="P85" s="328">
        <f t="shared" si="110"/>
        <v>0</v>
      </c>
      <c r="Q85" s="328">
        <f t="shared" si="110"/>
        <v>0</v>
      </c>
      <c r="R85" s="328">
        <f t="shared" si="110"/>
        <v>0</v>
      </c>
      <c r="S85" s="328">
        <f t="shared" si="110"/>
        <v>0</v>
      </c>
      <c r="T85" s="328">
        <f t="shared" si="110"/>
        <v>0</v>
      </c>
      <c r="U85" s="328">
        <f t="shared" si="110"/>
        <v>0</v>
      </c>
      <c r="V85" s="328">
        <f t="shared" si="110"/>
        <v>0</v>
      </c>
      <c r="W85" s="328">
        <f t="shared" si="110"/>
        <v>0</v>
      </c>
      <c r="X85" s="328">
        <f t="shared" si="110"/>
        <v>0</v>
      </c>
      <c r="Y85" s="328">
        <f t="shared" si="110"/>
        <v>0</v>
      </c>
      <c r="Z85" s="328">
        <f t="shared" si="110"/>
        <v>0</v>
      </c>
      <c r="AA85" s="328">
        <f t="shared" si="110"/>
        <v>0</v>
      </c>
      <c r="AB85" s="328">
        <f t="shared" si="110"/>
        <v>0</v>
      </c>
      <c r="AC85" s="328">
        <f t="shared" si="110"/>
        <v>0</v>
      </c>
      <c r="AD85" s="328">
        <f t="shared" si="110"/>
        <v>0</v>
      </c>
      <c r="AE85" s="328">
        <f t="shared" si="110"/>
        <v>0</v>
      </c>
      <c r="AF85" s="328">
        <f t="shared" si="110"/>
        <v>0</v>
      </c>
      <c r="AG85" s="328">
        <f t="shared" si="110"/>
        <v>0</v>
      </c>
      <c r="AH85" s="328">
        <f t="shared" si="110"/>
        <v>0</v>
      </c>
      <c r="AI85" s="328">
        <f t="shared" si="110"/>
        <v>0</v>
      </c>
      <c r="AJ85" s="328">
        <f t="shared" si="110"/>
        <v>0</v>
      </c>
      <c r="AK85" s="328">
        <f t="shared" si="110"/>
        <v>0</v>
      </c>
      <c r="AL85" s="328">
        <f t="shared" si="110"/>
        <v>0</v>
      </c>
      <c r="AM85" s="328">
        <f t="shared" si="110"/>
        <v>0</v>
      </c>
      <c r="AN85" s="328">
        <f t="shared" si="110"/>
        <v>0</v>
      </c>
      <c r="AO85" s="328">
        <f t="shared" si="110"/>
        <v>0</v>
      </c>
      <c r="AP85" s="328">
        <f t="shared" si="110"/>
        <v>0</v>
      </c>
      <c r="AQ85" s="329">
        <f t="shared" si="109"/>
        <v>0</v>
      </c>
      <c r="AR85" s="330" t="e">
        <f t="shared" si="103"/>
        <v>#DIV/0!</v>
      </c>
    </row>
    <row r="86" spans="1:44" outlineLevel="2">
      <c r="A86" s="286"/>
      <c r="F86" s="181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182">
        <f t="shared" si="109"/>
        <v>0</v>
      </c>
      <c r="AR86" s="198" t="e">
        <f t="shared" si="103"/>
        <v>#DIV/0!</v>
      </c>
    </row>
    <row r="87" spans="1:44" outlineLevel="2">
      <c r="A87" s="286"/>
      <c r="F87" s="181"/>
      <c r="G87" s="220">
        <f>'Infrastructure (Direct Cost)'!B13</f>
        <v>0</v>
      </c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182">
        <f t="shared" si="109"/>
        <v>0</v>
      </c>
      <c r="AR87" s="198" t="e">
        <f t="shared" si="103"/>
        <v>#DIV/0!</v>
      </c>
    </row>
    <row r="88" spans="1:44" outlineLevel="2">
      <c r="A88" s="323" t="s">
        <v>23</v>
      </c>
      <c r="B88" s="331"/>
      <c r="C88" s="325"/>
      <c r="D88" s="326"/>
      <c r="E88" s="324"/>
      <c r="F88" s="327"/>
      <c r="G88" s="328">
        <f>SUM(G89:G91)</f>
        <v>0</v>
      </c>
      <c r="H88" s="328">
        <f t="shared" ref="H88:AP88" si="111">SUM(H89:H91)</f>
        <v>0</v>
      </c>
      <c r="I88" s="328">
        <f t="shared" si="111"/>
        <v>0</v>
      </c>
      <c r="J88" s="328">
        <f t="shared" si="111"/>
        <v>0</v>
      </c>
      <c r="K88" s="328">
        <f t="shared" si="111"/>
        <v>0</v>
      </c>
      <c r="L88" s="328">
        <f t="shared" si="111"/>
        <v>0</v>
      </c>
      <c r="M88" s="328">
        <f t="shared" si="111"/>
        <v>0</v>
      </c>
      <c r="N88" s="328">
        <f t="shared" si="111"/>
        <v>0</v>
      </c>
      <c r="O88" s="328">
        <f t="shared" si="111"/>
        <v>0</v>
      </c>
      <c r="P88" s="328">
        <f t="shared" si="111"/>
        <v>0</v>
      </c>
      <c r="Q88" s="328">
        <f t="shared" si="111"/>
        <v>0</v>
      </c>
      <c r="R88" s="328">
        <f t="shared" si="111"/>
        <v>0</v>
      </c>
      <c r="S88" s="328">
        <f t="shared" si="111"/>
        <v>0</v>
      </c>
      <c r="T88" s="328">
        <f t="shared" si="111"/>
        <v>0</v>
      </c>
      <c r="U88" s="328">
        <f t="shared" si="111"/>
        <v>0</v>
      </c>
      <c r="V88" s="328">
        <f t="shared" si="111"/>
        <v>0</v>
      </c>
      <c r="W88" s="328">
        <f t="shared" si="111"/>
        <v>0</v>
      </c>
      <c r="X88" s="328">
        <f t="shared" si="111"/>
        <v>0</v>
      </c>
      <c r="Y88" s="328">
        <f t="shared" si="111"/>
        <v>0</v>
      </c>
      <c r="Z88" s="328">
        <f t="shared" si="111"/>
        <v>0</v>
      </c>
      <c r="AA88" s="328">
        <f t="shared" si="111"/>
        <v>0</v>
      </c>
      <c r="AB88" s="328">
        <f t="shared" si="111"/>
        <v>0</v>
      </c>
      <c r="AC88" s="328">
        <f t="shared" si="111"/>
        <v>0</v>
      </c>
      <c r="AD88" s="328">
        <f t="shared" si="111"/>
        <v>0</v>
      </c>
      <c r="AE88" s="328">
        <f t="shared" si="111"/>
        <v>0</v>
      </c>
      <c r="AF88" s="328">
        <f t="shared" si="111"/>
        <v>0</v>
      </c>
      <c r="AG88" s="328">
        <f t="shared" si="111"/>
        <v>0</v>
      </c>
      <c r="AH88" s="328">
        <f t="shared" si="111"/>
        <v>0</v>
      </c>
      <c r="AI88" s="328">
        <f t="shared" si="111"/>
        <v>0</v>
      </c>
      <c r="AJ88" s="328">
        <f t="shared" si="111"/>
        <v>0</v>
      </c>
      <c r="AK88" s="328">
        <f t="shared" si="111"/>
        <v>0</v>
      </c>
      <c r="AL88" s="328">
        <f t="shared" si="111"/>
        <v>0</v>
      </c>
      <c r="AM88" s="328">
        <f t="shared" si="111"/>
        <v>0</v>
      </c>
      <c r="AN88" s="328">
        <f t="shared" si="111"/>
        <v>0</v>
      </c>
      <c r="AO88" s="328">
        <f t="shared" si="111"/>
        <v>0</v>
      </c>
      <c r="AP88" s="328">
        <f t="shared" si="111"/>
        <v>0</v>
      </c>
      <c r="AQ88" s="329">
        <f t="shared" si="109"/>
        <v>0</v>
      </c>
      <c r="AR88" s="330" t="e">
        <f t="shared" si="103"/>
        <v>#DIV/0!</v>
      </c>
    </row>
    <row r="89" spans="1:44" outlineLevel="2">
      <c r="A89" s="321"/>
      <c r="B89" s="292"/>
      <c r="F89" s="181"/>
      <c r="G89" s="220"/>
      <c r="H89" s="220">
        <f t="shared" ref="H89:AP89" si="112">G34</f>
        <v>0</v>
      </c>
      <c r="I89" s="220">
        <f t="shared" si="112"/>
        <v>0</v>
      </c>
      <c r="J89" s="220">
        <f t="shared" si="112"/>
        <v>0</v>
      </c>
      <c r="K89" s="220">
        <f t="shared" si="112"/>
        <v>0</v>
      </c>
      <c r="L89" s="220">
        <f t="shared" si="112"/>
        <v>0</v>
      </c>
      <c r="M89" s="220">
        <f t="shared" si="112"/>
        <v>0</v>
      </c>
      <c r="N89" s="220">
        <f t="shared" si="112"/>
        <v>0</v>
      </c>
      <c r="O89" s="220">
        <f t="shared" si="112"/>
        <v>0</v>
      </c>
      <c r="P89" s="220">
        <f t="shared" si="112"/>
        <v>0</v>
      </c>
      <c r="Q89" s="220">
        <f t="shared" si="112"/>
        <v>0</v>
      </c>
      <c r="R89" s="220">
        <f t="shared" si="112"/>
        <v>0</v>
      </c>
      <c r="S89" s="220">
        <f t="shared" si="112"/>
        <v>0</v>
      </c>
      <c r="T89" s="220">
        <f t="shared" si="112"/>
        <v>0</v>
      </c>
      <c r="U89" s="220">
        <f t="shared" si="112"/>
        <v>0</v>
      </c>
      <c r="V89" s="220">
        <f t="shared" si="112"/>
        <v>0</v>
      </c>
      <c r="W89" s="220">
        <f t="shared" si="112"/>
        <v>0</v>
      </c>
      <c r="X89" s="220">
        <f t="shared" si="112"/>
        <v>0</v>
      </c>
      <c r="Y89" s="220">
        <f t="shared" si="112"/>
        <v>0</v>
      </c>
      <c r="Z89" s="220">
        <f t="shared" si="112"/>
        <v>0</v>
      </c>
      <c r="AA89" s="220">
        <f t="shared" si="112"/>
        <v>0</v>
      </c>
      <c r="AB89" s="220">
        <f t="shared" si="112"/>
        <v>0</v>
      </c>
      <c r="AC89" s="220">
        <f t="shared" si="112"/>
        <v>0</v>
      </c>
      <c r="AD89" s="220">
        <f t="shared" si="112"/>
        <v>0</v>
      </c>
      <c r="AE89" s="220">
        <f t="shared" si="112"/>
        <v>0</v>
      </c>
      <c r="AF89" s="220">
        <f t="shared" si="112"/>
        <v>0</v>
      </c>
      <c r="AG89" s="220">
        <f t="shared" si="112"/>
        <v>0</v>
      </c>
      <c r="AH89" s="220">
        <f t="shared" si="112"/>
        <v>0</v>
      </c>
      <c r="AI89" s="220">
        <f t="shared" si="112"/>
        <v>0</v>
      </c>
      <c r="AJ89" s="220">
        <f t="shared" si="112"/>
        <v>0</v>
      </c>
      <c r="AK89" s="220">
        <f t="shared" si="112"/>
        <v>0</v>
      </c>
      <c r="AL89" s="220">
        <f t="shared" si="112"/>
        <v>0</v>
      </c>
      <c r="AM89" s="220">
        <f t="shared" si="112"/>
        <v>0</v>
      </c>
      <c r="AN89" s="220">
        <f t="shared" si="112"/>
        <v>0</v>
      </c>
      <c r="AO89" s="220">
        <f t="shared" si="112"/>
        <v>0</v>
      </c>
      <c r="AP89" s="220">
        <f t="shared" si="112"/>
        <v>0</v>
      </c>
      <c r="AQ89" s="182">
        <f>SUM(G89:AP89)</f>
        <v>0</v>
      </c>
      <c r="AR89" s="198" t="e">
        <f>AQ89/$AQ$79</f>
        <v>#DIV/0!</v>
      </c>
    </row>
    <row r="90" spans="1:44" outlineLevel="2">
      <c r="A90" s="321"/>
      <c r="B90" s="292"/>
      <c r="F90" s="181"/>
      <c r="G90" s="220"/>
      <c r="H90" s="220">
        <f t="shared" ref="H90:AP90" si="113">G36</f>
        <v>0</v>
      </c>
      <c r="I90" s="220">
        <f t="shared" si="113"/>
        <v>0</v>
      </c>
      <c r="J90" s="220">
        <f t="shared" si="113"/>
        <v>0</v>
      </c>
      <c r="K90" s="220">
        <f t="shared" si="113"/>
        <v>0</v>
      </c>
      <c r="L90" s="220">
        <f t="shared" si="113"/>
        <v>0</v>
      </c>
      <c r="M90" s="220">
        <f t="shared" si="113"/>
        <v>0</v>
      </c>
      <c r="N90" s="220">
        <f t="shared" si="113"/>
        <v>0</v>
      </c>
      <c r="O90" s="220">
        <f t="shared" si="113"/>
        <v>0</v>
      </c>
      <c r="P90" s="220">
        <f t="shared" si="113"/>
        <v>0</v>
      </c>
      <c r="Q90" s="220">
        <f t="shared" si="113"/>
        <v>0</v>
      </c>
      <c r="R90" s="220">
        <f t="shared" si="113"/>
        <v>0</v>
      </c>
      <c r="S90" s="220">
        <f t="shared" si="113"/>
        <v>0</v>
      </c>
      <c r="T90" s="220">
        <f t="shared" si="113"/>
        <v>0</v>
      </c>
      <c r="U90" s="220">
        <f t="shared" si="113"/>
        <v>0</v>
      </c>
      <c r="V90" s="220">
        <f t="shared" si="113"/>
        <v>0</v>
      </c>
      <c r="W90" s="220">
        <f t="shared" si="113"/>
        <v>0</v>
      </c>
      <c r="X90" s="220">
        <f t="shared" si="113"/>
        <v>0</v>
      </c>
      <c r="Y90" s="220">
        <f t="shared" si="113"/>
        <v>0</v>
      </c>
      <c r="Z90" s="220">
        <f t="shared" si="113"/>
        <v>0</v>
      </c>
      <c r="AA90" s="220">
        <f t="shared" si="113"/>
        <v>0</v>
      </c>
      <c r="AB90" s="220">
        <f t="shared" si="113"/>
        <v>0</v>
      </c>
      <c r="AC90" s="220">
        <f t="shared" si="113"/>
        <v>0</v>
      </c>
      <c r="AD90" s="220">
        <f t="shared" si="113"/>
        <v>0</v>
      </c>
      <c r="AE90" s="220">
        <f t="shared" si="113"/>
        <v>0</v>
      </c>
      <c r="AF90" s="220">
        <f t="shared" si="113"/>
        <v>0</v>
      </c>
      <c r="AG90" s="220">
        <f t="shared" si="113"/>
        <v>0</v>
      </c>
      <c r="AH90" s="220">
        <f t="shared" si="113"/>
        <v>0</v>
      </c>
      <c r="AI90" s="220">
        <f t="shared" si="113"/>
        <v>0</v>
      </c>
      <c r="AJ90" s="220">
        <f t="shared" si="113"/>
        <v>0</v>
      </c>
      <c r="AK90" s="220">
        <f t="shared" si="113"/>
        <v>0</v>
      </c>
      <c r="AL90" s="220">
        <f t="shared" si="113"/>
        <v>0</v>
      </c>
      <c r="AM90" s="220">
        <f t="shared" si="113"/>
        <v>0</v>
      </c>
      <c r="AN90" s="220">
        <f t="shared" si="113"/>
        <v>0</v>
      </c>
      <c r="AO90" s="220">
        <f t="shared" si="113"/>
        <v>0</v>
      </c>
      <c r="AP90" s="220">
        <f t="shared" si="113"/>
        <v>0</v>
      </c>
      <c r="AQ90" s="182">
        <f>SUM(G90:AP90)</f>
        <v>0</v>
      </c>
      <c r="AR90" s="198" t="e">
        <f>AQ90/$AQ$79</f>
        <v>#DIV/0!</v>
      </c>
    </row>
    <row r="91" spans="1:44" outlineLevel="2">
      <c r="A91" s="321"/>
      <c r="B91" s="292"/>
      <c r="F91" s="181"/>
      <c r="G91" s="220">
        <f t="shared" ref="G91:AP91" si="114">G45</f>
        <v>0</v>
      </c>
      <c r="H91" s="220">
        <f t="shared" si="114"/>
        <v>0</v>
      </c>
      <c r="I91" s="220">
        <f t="shared" si="114"/>
        <v>0</v>
      </c>
      <c r="J91" s="220">
        <f t="shared" si="114"/>
        <v>0</v>
      </c>
      <c r="K91" s="220">
        <f t="shared" si="114"/>
        <v>0</v>
      </c>
      <c r="L91" s="220">
        <f t="shared" si="114"/>
        <v>0</v>
      </c>
      <c r="M91" s="220">
        <f t="shared" si="114"/>
        <v>0</v>
      </c>
      <c r="N91" s="220">
        <f t="shared" si="114"/>
        <v>0</v>
      </c>
      <c r="O91" s="220">
        <f t="shared" si="114"/>
        <v>0</v>
      </c>
      <c r="P91" s="220">
        <f t="shared" si="114"/>
        <v>0</v>
      </c>
      <c r="Q91" s="220">
        <f t="shared" si="114"/>
        <v>0</v>
      </c>
      <c r="R91" s="220">
        <f t="shared" si="114"/>
        <v>0</v>
      </c>
      <c r="S91" s="220">
        <f t="shared" si="114"/>
        <v>0</v>
      </c>
      <c r="T91" s="220">
        <f t="shared" si="114"/>
        <v>0</v>
      </c>
      <c r="U91" s="220">
        <f t="shared" si="114"/>
        <v>0</v>
      </c>
      <c r="V91" s="220">
        <f t="shared" si="114"/>
        <v>0</v>
      </c>
      <c r="W91" s="220">
        <f t="shared" si="114"/>
        <v>0</v>
      </c>
      <c r="X91" s="220">
        <f t="shared" si="114"/>
        <v>0</v>
      </c>
      <c r="Y91" s="220">
        <f t="shared" si="114"/>
        <v>0</v>
      </c>
      <c r="Z91" s="220">
        <f t="shared" si="114"/>
        <v>0</v>
      </c>
      <c r="AA91" s="220">
        <f t="shared" si="114"/>
        <v>0</v>
      </c>
      <c r="AB91" s="220">
        <f t="shared" si="114"/>
        <v>0</v>
      </c>
      <c r="AC91" s="220">
        <f t="shared" si="114"/>
        <v>0</v>
      </c>
      <c r="AD91" s="220">
        <f t="shared" si="114"/>
        <v>0</v>
      </c>
      <c r="AE91" s="220">
        <f t="shared" si="114"/>
        <v>0</v>
      </c>
      <c r="AF91" s="220">
        <f t="shared" si="114"/>
        <v>0</v>
      </c>
      <c r="AG91" s="220">
        <f t="shared" si="114"/>
        <v>0</v>
      </c>
      <c r="AH91" s="220">
        <f t="shared" si="114"/>
        <v>0</v>
      </c>
      <c r="AI91" s="220">
        <f t="shared" si="114"/>
        <v>0</v>
      </c>
      <c r="AJ91" s="220">
        <f t="shared" si="114"/>
        <v>0</v>
      </c>
      <c r="AK91" s="220">
        <f t="shared" si="114"/>
        <v>0</v>
      </c>
      <c r="AL91" s="220">
        <f t="shared" si="114"/>
        <v>0</v>
      </c>
      <c r="AM91" s="220">
        <f t="shared" si="114"/>
        <v>0</v>
      </c>
      <c r="AN91" s="220">
        <f t="shared" si="114"/>
        <v>0</v>
      </c>
      <c r="AO91" s="220">
        <f t="shared" si="114"/>
        <v>0</v>
      </c>
      <c r="AP91" s="220">
        <f t="shared" si="114"/>
        <v>0</v>
      </c>
      <c r="AQ91" s="182">
        <f>SUM(G91:AP91)</f>
        <v>0</v>
      </c>
      <c r="AR91" s="198" t="e">
        <f>AQ91/$AQ$79</f>
        <v>#DIV/0!</v>
      </c>
    </row>
    <row r="92" spans="1:44" ht="20.6" outlineLevel="1">
      <c r="A92" s="287" t="s">
        <v>118</v>
      </c>
      <c r="F92" s="181"/>
      <c r="G92" s="220"/>
      <c r="H92" s="220">
        <f t="shared" ref="H92:AP92" si="115">G50</f>
        <v>0</v>
      </c>
      <c r="I92" s="220">
        <f t="shared" si="115"/>
        <v>0</v>
      </c>
      <c r="J92" s="220">
        <f t="shared" si="115"/>
        <v>0</v>
      </c>
      <c r="K92" s="220">
        <f t="shared" si="115"/>
        <v>0</v>
      </c>
      <c r="L92" s="220">
        <f t="shared" si="115"/>
        <v>0</v>
      </c>
      <c r="M92" s="220">
        <f t="shared" si="115"/>
        <v>0</v>
      </c>
      <c r="N92" s="220">
        <f t="shared" si="115"/>
        <v>0</v>
      </c>
      <c r="O92" s="220">
        <f t="shared" si="115"/>
        <v>0</v>
      </c>
      <c r="P92" s="220">
        <f t="shared" si="115"/>
        <v>0</v>
      </c>
      <c r="Q92" s="220">
        <f t="shared" si="115"/>
        <v>0</v>
      </c>
      <c r="R92" s="220">
        <f t="shared" si="115"/>
        <v>0</v>
      </c>
      <c r="S92" s="220">
        <f t="shared" si="115"/>
        <v>0</v>
      </c>
      <c r="T92" s="220">
        <f t="shared" si="115"/>
        <v>0</v>
      </c>
      <c r="U92" s="220">
        <f t="shared" si="115"/>
        <v>0</v>
      </c>
      <c r="V92" s="220">
        <f t="shared" si="115"/>
        <v>0</v>
      </c>
      <c r="W92" s="220">
        <f t="shared" si="115"/>
        <v>0</v>
      </c>
      <c r="X92" s="220">
        <f t="shared" si="115"/>
        <v>0</v>
      </c>
      <c r="Y92" s="220">
        <f t="shared" si="115"/>
        <v>0</v>
      </c>
      <c r="Z92" s="220">
        <f t="shared" si="115"/>
        <v>0</v>
      </c>
      <c r="AA92" s="220">
        <f t="shared" si="115"/>
        <v>0</v>
      </c>
      <c r="AB92" s="220">
        <f t="shared" si="115"/>
        <v>0</v>
      </c>
      <c r="AC92" s="220">
        <f t="shared" si="115"/>
        <v>0</v>
      </c>
      <c r="AD92" s="220">
        <f t="shared" si="115"/>
        <v>0</v>
      </c>
      <c r="AE92" s="220">
        <f t="shared" si="115"/>
        <v>0</v>
      </c>
      <c r="AF92" s="220">
        <f t="shared" si="115"/>
        <v>0</v>
      </c>
      <c r="AG92" s="220">
        <f t="shared" si="115"/>
        <v>0</v>
      </c>
      <c r="AH92" s="220">
        <f t="shared" si="115"/>
        <v>0</v>
      </c>
      <c r="AI92" s="220">
        <f t="shared" si="115"/>
        <v>0</v>
      </c>
      <c r="AJ92" s="220">
        <f t="shared" si="115"/>
        <v>0</v>
      </c>
      <c r="AK92" s="220">
        <f t="shared" si="115"/>
        <v>0</v>
      </c>
      <c r="AL92" s="220">
        <f t="shared" si="115"/>
        <v>0</v>
      </c>
      <c r="AM92" s="220">
        <f t="shared" si="115"/>
        <v>0</v>
      </c>
      <c r="AN92" s="220">
        <f t="shared" si="115"/>
        <v>0</v>
      </c>
      <c r="AO92" s="220">
        <f t="shared" si="115"/>
        <v>0</v>
      </c>
      <c r="AP92" s="220">
        <f t="shared" si="115"/>
        <v>0</v>
      </c>
      <c r="AQ92" s="182">
        <f>SUM(G92:AP92)</f>
        <v>0</v>
      </c>
      <c r="AR92" s="198" t="e">
        <f>AQ92/$AQ$79</f>
        <v>#DIV/0!</v>
      </c>
    </row>
    <row r="93" spans="1:44" ht="20.6" outlineLevel="1">
      <c r="A93" s="287" t="s">
        <v>86</v>
      </c>
      <c r="F93" s="181"/>
      <c r="G93" s="220" t="e">
        <f t="shared" ref="G93:AP93" si="116">G54</f>
        <v>#REF!</v>
      </c>
      <c r="H93" s="220" t="e">
        <f t="shared" si="116"/>
        <v>#REF!</v>
      </c>
      <c r="I93" s="220" t="e">
        <f t="shared" si="116"/>
        <v>#REF!</v>
      </c>
      <c r="J93" s="220" t="e">
        <f t="shared" si="116"/>
        <v>#REF!</v>
      </c>
      <c r="K93" s="220" t="e">
        <f t="shared" si="116"/>
        <v>#REF!</v>
      </c>
      <c r="L93" s="220" t="e">
        <f t="shared" si="116"/>
        <v>#REF!</v>
      </c>
      <c r="M93" s="220" t="e">
        <f t="shared" si="116"/>
        <v>#REF!</v>
      </c>
      <c r="N93" s="220" t="e">
        <f t="shared" si="116"/>
        <v>#REF!</v>
      </c>
      <c r="O93" s="220" t="e">
        <f t="shared" si="116"/>
        <v>#REF!</v>
      </c>
      <c r="P93" s="220" t="e">
        <f t="shared" si="116"/>
        <v>#REF!</v>
      </c>
      <c r="Q93" s="220" t="e">
        <f t="shared" si="116"/>
        <v>#REF!</v>
      </c>
      <c r="R93" s="220" t="e">
        <f t="shared" si="116"/>
        <v>#REF!</v>
      </c>
      <c r="S93" s="220" t="e">
        <f t="shared" si="116"/>
        <v>#REF!</v>
      </c>
      <c r="T93" s="220" t="e">
        <f t="shared" si="116"/>
        <v>#REF!</v>
      </c>
      <c r="U93" s="220" t="e">
        <f t="shared" si="116"/>
        <v>#REF!</v>
      </c>
      <c r="V93" s="220" t="e">
        <f t="shared" si="116"/>
        <v>#REF!</v>
      </c>
      <c r="W93" s="220" t="e">
        <f t="shared" si="116"/>
        <v>#REF!</v>
      </c>
      <c r="X93" s="220" t="e">
        <f t="shared" si="116"/>
        <v>#REF!</v>
      </c>
      <c r="Y93" s="220" t="e">
        <f t="shared" si="116"/>
        <v>#REF!</v>
      </c>
      <c r="Z93" s="220" t="e">
        <f t="shared" si="116"/>
        <v>#REF!</v>
      </c>
      <c r="AA93" s="220" t="e">
        <f t="shared" si="116"/>
        <v>#REF!</v>
      </c>
      <c r="AB93" s="220" t="e">
        <f t="shared" si="116"/>
        <v>#REF!</v>
      </c>
      <c r="AC93" s="220" t="e">
        <f t="shared" si="116"/>
        <v>#REF!</v>
      </c>
      <c r="AD93" s="220" t="e">
        <f t="shared" si="116"/>
        <v>#REF!</v>
      </c>
      <c r="AE93" s="220" t="e">
        <f t="shared" si="116"/>
        <v>#REF!</v>
      </c>
      <c r="AF93" s="220" t="e">
        <f t="shared" si="116"/>
        <v>#REF!</v>
      </c>
      <c r="AG93" s="220" t="e">
        <f t="shared" si="116"/>
        <v>#REF!</v>
      </c>
      <c r="AH93" s="220" t="e">
        <f t="shared" si="116"/>
        <v>#REF!</v>
      </c>
      <c r="AI93" s="220" t="e">
        <f t="shared" si="116"/>
        <v>#REF!</v>
      </c>
      <c r="AJ93" s="220" t="e">
        <f t="shared" si="116"/>
        <v>#REF!</v>
      </c>
      <c r="AK93" s="220" t="e">
        <f t="shared" si="116"/>
        <v>#REF!</v>
      </c>
      <c r="AL93" s="220" t="e">
        <f t="shared" si="116"/>
        <v>#REF!</v>
      </c>
      <c r="AM93" s="220" t="e">
        <f t="shared" si="116"/>
        <v>#REF!</v>
      </c>
      <c r="AN93" s="220" t="e">
        <f t="shared" si="116"/>
        <v>#REF!</v>
      </c>
      <c r="AO93" s="220" t="e">
        <f t="shared" si="116"/>
        <v>#REF!</v>
      </c>
      <c r="AP93" s="220" t="e">
        <f t="shared" si="116"/>
        <v>#REF!</v>
      </c>
      <c r="AQ93" s="182" t="e">
        <f>SUM(G93:AP93)</f>
        <v>#REF!</v>
      </c>
      <c r="AR93" s="198" t="e">
        <f t="shared" si="103"/>
        <v>#REF!</v>
      </c>
    </row>
    <row r="94" spans="1:44" ht="20.6" outlineLevel="1">
      <c r="A94" s="287" t="s">
        <v>79</v>
      </c>
      <c r="F94" s="181"/>
      <c r="G94" s="220">
        <v>0</v>
      </c>
      <c r="H94" s="220">
        <v>0</v>
      </c>
      <c r="I94" s="220">
        <v>0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  <c r="U94" s="220">
        <v>0</v>
      </c>
      <c r="V94" s="220">
        <v>0</v>
      </c>
      <c r="W94" s="220">
        <v>0</v>
      </c>
      <c r="X94" s="220">
        <v>0</v>
      </c>
      <c r="Y94" s="220">
        <v>0</v>
      </c>
      <c r="Z94" s="220">
        <v>0</v>
      </c>
      <c r="AA94" s="220">
        <v>0</v>
      </c>
      <c r="AB94" s="220">
        <v>0</v>
      </c>
      <c r="AC94" s="220">
        <v>0</v>
      </c>
      <c r="AD94" s="220">
        <v>0</v>
      </c>
      <c r="AE94" s="220">
        <v>0</v>
      </c>
      <c r="AF94" s="220">
        <v>0</v>
      </c>
      <c r="AG94" s="220">
        <v>0</v>
      </c>
      <c r="AH94" s="220">
        <v>0</v>
      </c>
      <c r="AI94" s="220">
        <v>0</v>
      </c>
      <c r="AJ94" s="220">
        <v>0</v>
      </c>
      <c r="AK94" s="220">
        <v>0</v>
      </c>
      <c r="AL94" s="220">
        <v>0</v>
      </c>
      <c r="AM94" s="220">
        <v>0</v>
      </c>
      <c r="AN94" s="220">
        <v>0</v>
      </c>
      <c r="AO94" s="220">
        <v>0</v>
      </c>
      <c r="AP94" s="220">
        <v>0</v>
      </c>
      <c r="AQ94" s="182">
        <f t="shared" si="109"/>
        <v>0</v>
      </c>
      <c r="AR94" s="198" t="e">
        <f>AQ94/$AQ$79</f>
        <v>#DIV/0!</v>
      </c>
    </row>
    <row r="95" spans="1:44" ht="20.6" outlineLevel="1">
      <c r="A95" s="287" t="s">
        <v>88</v>
      </c>
      <c r="F95" s="181"/>
      <c r="G95" s="220">
        <v>0</v>
      </c>
      <c r="H95" s="220">
        <v>0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  <c r="U95" s="220">
        <v>0</v>
      </c>
      <c r="V95" s="220">
        <v>0</v>
      </c>
      <c r="W95" s="220">
        <v>0</v>
      </c>
      <c r="X95" s="220">
        <v>0</v>
      </c>
      <c r="Y95" s="220">
        <v>0</v>
      </c>
      <c r="Z95" s="220">
        <v>0</v>
      </c>
      <c r="AA95" s="220">
        <v>0</v>
      </c>
      <c r="AB95" s="220">
        <v>0</v>
      </c>
      <c r="AC95" s="220">
        <v>0</v>
      </c>
      <c r="AD95" s="220">
        <v>0</v>
      </c>
      <c r="AE95" s="220">
        <v>0</v>
      </c>
      <c r="AF95" s="220">
        <v>0</v>
      </c>
      <c r="AG95" s="220">
        <v>0</v>
      </c>
      <c r="AH95" s="220">
        <v>0</v>
      </c>
      <c r="AI95" s="220">
        <v>0</v>
      </c>
      <c r="AJ95" s="220">
        <v>0</v>
      </c>
      <c r="AK95" s="220">
        <v>0</v>
      </c>
      <c r="AL95" s="220">
        <v>0</v>
      </c>
      <c r="AM95" s="220">
        <v>0</v>
      </c>
      <c r="AN95" s="220">
        <v>0</v>
      </c>
      <c r="AO95" s="220">
        <v>0</v>
      </c>
      <c r="AP95" s="220">
        <v>0</v>
      </c>
      <c r="AQ95" s="182">
        <f t="shared" si="109"/>
        <v>0</v>
      </c>
      <c r="AR95" s="198" t="e">
        <f>AQ95/$AQ$79</f>
        <v>#DIV/0!</v>
      </c>
    </row>
    <row r="96" spans="1:44">
      <c r="A96" s="199" t="s">
        <v>108</v>
      </c>
      <c r="B96" s="192"/>
      <c r="C96" s="193"/>
      <c r="D96" s="194"/>
      <c r="E96" s="192"/>
      <c r="F96" s="195"/>
      <c r="G96" s="220" t="e">
        <f t="shared" ref="G96:AP96" si="117">G79-G83</f>
        <v>#REF!</v>
      </c>
      <c r="H96" s="220" t="e">
        <f t="shared" si="117"/>
        <v>#REF!</v>
      </c>
      <c r="I96" s="220" t="e">
        <f t="shared" si="117"/>
        <v>#REF!</v>
      </c>
      <c r="J96" s="220" t="e">
        <f t="shared" si="117"/>
        <v>#REF!</v>
      </c>
      <c r="K96" s="220" t="e">
        <f t="shared" si="117"/>
        <v>#REF!</v>
      </c>
      <c r="L96" s="220" t="e">
        <f t="shared" si="117"/>
        <v>#REF!</v>
      </c>
      <c r="M96" s="220" t="e">
        <f t="shared" si="117"/>
        <v>#REF!</v>
      </c>
      <c r="N96" s="220" t="e">
        <f t="shared" si="117"/>
        <v>#REF!</v>
      </c>
      <c r="O96" s="220" t="e">
        <f t="shared" si="117"/>
        <v>#REF!</v>
      </c>
      <c r="P96" s="220" t="e">
        <f t="shared" si="117"/>
        <v>#REF!</v>
      </c>
      <c r="Q96" s="220" t="e">
        <f t="shared" si="117"/>
        <v>#REF!</v>
      </c>
      <c r="R96" s="220" t="e">
        <f t="shared" si="117"/>
        <v>#REF!</v>
      </c>
      <c r="S96" s="220" t="e">
        <f t="shared" si="117"/>
        <v>#REF!</v>
      </c>
      <c r="T96" s="220" t="e">
        <f t="shared" si="117"/>
        <v>#REF!</v>
      </c>
      <c r="U96" s="220" t="e">
        <f t="shared" si="117"/>
        <v>#REF!</v>
      </c>
      <c r="V96" s="220" t="e">
        <f t="shared" si="117"/>
        <v>#REF!</v>
      </c>
      <c r="W96" s="220" t="e">
        <f t="shared" si="117"/>
        <v>#REF!</v>
      </c>
      <c r="X96" s="220" t="e">
        <f t="shared" si="117"/>
        <v>#REF!</v>
      </c>
      <c r="Y96" s="220" t="e">
        <f t="shared" si="117"/>
        <v>#REF!</v>
      </c>
      <c r="Z96" s="220" t="e">
        <f t="shared" si="117"/>
        <v>#REF!</v>
      </c>
      <c r="AA96" s="220" t="e">
        <f t="shared" si="117"/>
        <v>#REF!</v>
      </c>
      <c r="AB96" s="220" t="e">
        <f t="shared" si="117"/>
        <v>#REF!</v>
      </c>
      <c r="AC96" s="220" t="e">
        <f t="shared" si="117"/>
        <v>#REF!</v>
      </c>
      <c r="AD96" s="220" t="e">
        <f t="shared" si="117"/>
        <v>#REF!</v>
      </c>
      <c r="AE96" s="220" t="e">
        <f t="shared" si="117"/>
        <v>#REF!</v>
      </c>
      <c r="AF96" s="220" t="e">
        <f t="shared" si="117"/>
        <v>#REF!</v>
      </c>
      <c r="AG96" s="220" t="e">
        <f t="shared" si="117"/>
        <v>#REF!</v>
      </c>
      <c r="AH96" s="220" t="e">
        <f t="shared" si="117"/>
        <v>#REF!</v>
      </c>
      <c r="AI96" s="220" t="e">
        <f t="shared" si="117"/>
        <v>#REF!</v>
      </c>
      <c r="AJ96" s="220" t="e">
        <f t="shared" si="117"/>
        <v>#REF!</v>
      </c>
      <c r="AK96" s="220" t="e">
        <f t="shared" si="117"/>
        <v>#REF!</v>
      </c>
      <c r="AL96" s="220" t="e">
        <f t="shared" si="117"/>
        <v>#REF!</v>
      </c>
      <c r="AM96" s="220" t="e">
        <f t="shared" si="117"/>
        <v>#REF!</v>
      </c>
      <c r="AN96" s="220" t="e">
        <f t="shared" si="117"/>
        <v>#REF!</v>
      </c>
      <c r="AO96" s="220" t="e">
        <f t="shared" si="117"/>
        <v>#REF!</v>
      </c>
      <c r="AP96" s="220" t="e">
        <f t="shared" si="117"/>
        <v>#REF!</v>
      </c>
      <c r="AQ96" s="182" t="e">
        <f>SUM(G96:AP96)</f>
        <v>#REF!</v>
      </c>
      <c r="AR96" s="184" t="e">
        <f>AQ96/$AQ$79</f>
        <v>#REF!</v>
      </c>
    </row>
    <row r="97" spans="1:44">
      <c r="A97" s="199" t="s">
        <v>109</v>
      </c>
      <c r="B97" s="192"/>
      <c r="C97" s="193"/>
      <c r="D97" s="194"/>
      <c r="E97" s="192"/>
      <c r="F97" s="195"/>
      <c r="G97" s="220"/>
      <c r="H97" s="220" t="e">
        <f>G98</f>
        <v>#REF!</v>
      </c>
      <c r="I97" s="220" t="e">
        <f>H98</f>
        <v>#REF!</v>
      </c>
      <c r="J97" s="220" t="e">
        <f t="shared" ref="J97:AP97" si="118">I98</f>
        <v>#REF!</v>
      </c>
      <c r="K97" s="220" t="e">
        <f t="shared" si="118"/>
        <v>#REF!</v>
      </c>
      <c r="L97" s="220" t="e">
        <f t="shared" si="118"/>
        <v>#REF!</v>
      </c>
      <c r="M97" s="220" t="e">
        <f t="shared" si="118"/>
        <v>#REF!</v>
      </c>
      <c r="N97" s="220" t="e">
        <f t="shared" si="118"/>
        <v>#REF!</v>
      </c>
      <c r="O97" s="220" t="e">
        <f t="shared" si="118"/>
        <v>#REF!</v>
      </c>
      <c r="P97" s="220" t="e">
        <f t="shared" si="118"/>
        <v>#REF!</v>
      </c>
      <c r="Q97" s="220" t="e">
        <f t="shared" si="118"/>
        <v>#REF!</v>
      </c>
      <c r="R97" s="220" t="e">
        <f t="shared" si="118"/>
        <v>#REF!</v>
      </c>
      <c r="S97" s="220" t="e">
        <f>R98</f>
        <v>#REF!</v>
      </c>
      <c r="T97" s="220" t="e">
        <f t="shared" si="118"/>
        <v>#REF!</v>
      </c>
      <c r="U97" s="220" t="e">
        <f t="shared" si="118"/>
        <v>#REF!</v>
      </c>
      <c r="V97" s="220" t="e">
        <f t="shared" si="118"/>
        <v>#REF!</v>
      </c>
      <c r="W97" s="220" t="e">
        <f t="shared" si="118"/>
        <v>#REF!</v>
      </c>
      <c r="X97" s="220" t="e">
        <f t="shared" si="118"/>
        <v>#REF!</v>
      </c>
      <c r="Y97" s="220" t="e">
        <f t="shared" si="118"/>
        <v>#REF!</v>
      </c>
      <c r="Z97" s="220" t="e">
        <f t="shared" si="118"/>
        <v>#REF!</v>
      </c>
      <c r="AA97" s="220" t="e">
        <f t="shared" si="118"/>
        <v>#REF!</v>
      </c>
      <c r="AB97" s="220" t="e">
        <f t="shared" si="118"/>
        <v>#REF!</v>
      </c>
      <c r="AC97" s="220" t="e">
        <f t="shared" si="118"/>
        <v>#REF!</v>
      </c>
      <c r="AD97" s="220" t="e">
        <f t="shared" si="118"/>
        <v>#REF!</v>
      </c>
      <c r="AE97" s="220" t="e">
        <f t="shared" si="118"/>
        <v>#REF!</v>
      </c>
      <c r="AF97" s="220" t="e">
        <f t="shared" si="118"/>
        <v>#REF!</v>
      </c>
      <c r="AG97" s="220" t="e">
        <f t="shared" si="118"/>
        <v>#REF!</v>
      </c>
      <c r="AH97" s="220" t="e">
        <f t="shared" si="118"/>
        <v>#REF!</v>
      </c>
      <c r="AI97" s="220" t="e">
        <f t="shared" si="118"/>
        <v>#REF!</v>
      </c>
      <c r="AJ97" s="220" t="e">
        <f t="shared" si="118"/>
        <v>#REF!</v>
      </c>
      <c r="AK97" s="220" t="e">
        <f t="shared" si="118"/>
        <v>#REF!</v>
      </c>
      <c r="AL97" s="220" t="e">
        <f t="shared" si="118"/>
        <v>#REF!</v>
      </c>
      <c r="AM97" s="220" t="e">
        <f t="shared" si="118"/>
        <v>#REF!</v>
      </c>
      <c r="AN97" s="220" t="e">
        <f t="shared" si="118"/>
        <v>#REF!</v>
      </c>
      <c r="AO97" s="220" t="e">
        <f t="shared" si="118"/>
        <v>#REF!</v>
      </c>
      <c r="AP97" s="220" t="e">
        <f t="shared" si="118"/>
        <v>#REF!</v>
      </c>
      <c r="AQ97" s="182"/>
      <c r="AR97" s="184"/>
    </row>
    <row r="98" spans="1:44">
      <c r="A98" s="199" t="s">
        <v>110</v>
      </c>
      <c r="B98" s="192"/>
      <c r="C98" s="193"/>
      <c r="D98" s="194"/>
      <c r="E98" s="192"/>
      <c r="F98" s="195"/>
      <c r="G98" s="220" t="e">
        <f>G96</f>
        <v>#REF!</v>
      </c>
      <c r="H98" s="220" t="e">
        <f>H96+H97</f>
        <v>#REF!</v>
      </c>
      <c r="I98" s="220" t="e">
        <f>I96+I97</f>
        <v>#REF!</v>
      </c>
      <c r="J98" s="220" t="e">
        <f t="shared" ref="J98:AP98" si="119">J96+J97</f>
        <v>#REF!</v>
      </c>
      <c r="K98" s="220" t="e">
        <f t="shared" si="119"/>
        <v>#REF!</v>
      </c>
      <c r="L98" s="220" t="e">
        <f t="shared" si="119"/>
        <v>#REF!</v>
      </c>
      <c r="M98" s="220" t="e">
        <f t="shared" si="119"/>
        <v>#REF!</v>
      </c>
      <c r="N98" s="220" t="e">
        <f t="shared" si="119"/>
        <v>#REF!</v>
      </c>
      <c r="O98" s="220" t="e">
        <f t="shared" si="119"/>
        <v>#REF!</v>
      </c>
      <c r="P98" s="220" t="e">
        <f t="shared" si="119"/>
        <v>#REF!</v>
      </c>
      <c r="Q98" s="220" t="e">
        <f t="shared" si="119"/>
        <v>#REF!</v>
      </c>
      <c r="R98" s="220" t="e">
        <f t="shared" si="119"/>
        <v>#REF!</v>
      </c>
      <c r="S98" s="220" t="e">
        <f t="shared" si="119"/>
        <v>#REF!</v>
      </c>
      <c r="T98" s="220" t="e">
        <f t="shared" si="119"/>
        <v>#REF!</v>
      </c>
      <c r="U98" s="220" t="e">
        <f t="shared" si="119"/>
        <v>#REF!</v>
      </c>
      <c r="V98" s="220" t="e">
        <f>V96+V97</f>
        <v>#REF!</v>
      </c>
      <c r="W98" s="220" t="e">
        <f t="shared" si="119"/>
        <v>#REF!</v>
      </c>
      <c r="X98" s="220" t="e">
        <f t="shared" si="119"/>
        <v>#REF!</v>
      </c>
      <c r="Y98" s="220" t="e">
        <f t="shared" si="119"/>
        <v>#REF!</v>
      </c>
      <c r="Z98" s="220" t="e">
        <f t="shared" si="119"/>
        <v>#REF!</v>
      </c>
      <c r="AA98" s="220" t="e">
        <f t="shared" si="119"/>
        <v>#REF!</v>
      </c>
      <c r="AB98" s="220" t="e">
        <f t="shared" si="119"/>
        <v>#REF!</v>
      </c>
      <c r="AC98" s="220" t="e">
        <f t="shared" si="119"/>
        <v>#REF!</v>
      </c>
      <c r="AD98" s="220" t="e">
        <f t="shared" si="119"/>
        <v>#REF!</v>
      </c>
      <c r="AE98" s="220" t="e">
        <f t="shared" si="119"/>
        <v>#REF!</v>
      </c>
      <c r="AF98" s="220" t="e">
        <f t="shared" si="119"/>
        <v>#REF!</v>
      </c>
      <c r="AG98" s="220" t="e">
        <f t="shared" si="119"/>
        <v>#REF!</v>
      </c>
      <c r="AH98" s="220" t="e">
        <f t="shared" si="119"/>
        <v>#REF!</v>
      </c>
      <c r="AI98" s="220" t="e">
        <f t="shared" si="119"/>
        <v>#REF!</v>
      </c>
      <c r="AJ98" s="220" t="e">
        <f t="shared" si="119"/>
        <v>#REF!</v>
      </c>
      <c r="AK98" s="220" t="e">
        <f t="shared" si="119"/>
        <v>#REF!</v>
      </c>
      <c r="AL98" s="220" t="e">
        <f t="shared" si="119"/>
        <v>#REF!</v>
      </c>
      <c r="AM98" s="220" t="e">
        <f t="shared" si="119"/>
        <v>#REF!</v>
      </c>
      <c r="AN98" s="220" t="e">
        <f t="shared" si="119"/>
        <v>#REF!</v>
      </c>
      <c r="AO98" s="220" t="e">
        <f t="shared" si="119"/>
        <v>#REF!</v>
      </c>
      <c r="AP98" s="220" t="e">
        <f t="shared" si="119"/>
        <v>#REF!</v>
      </c>
      <c r="AQ98" s="182"/>
      <c r="AR98" s="184"/>
    </row>
    <row r="99" spans="1:44" ht="15" thickBot="1">
      <c r="F99" s="181"/>
    </row>
    <row r="100" spans="1:44">
      <c r="A100" s="205" t="s">
        <v>81</v>
      </c>
      <c r="B100" s="206" t="e">
        <f>AQ96/AQ83</f>
        <v>#REF!</v>
      </c>
      <c r="F100" s="181"/>
      <c r="I100" s="225"/>
    </row>
    <row r="101" spans="1:44">
      <c r="A101" s="207" t="s">
        <v>82</v>
      </c>
      <c r="B101" s="208" t="e">
        <f>(MATCH(0,F98:AP98)-1)+(0-INDEX(F98:AP98,MATCH(0,F98:AP98)))/(INDEX(F98:AP98,MATCH(0,F98:AP98)+1)-INDEX(F98:AP98,MATCH(0,F98:AP98)))</f>
        <v>#N/A</v>
      </c>
      <c r="F101" s="181"/>
      <c r="I101" s="226"/>
      <c r="J101" s="220"/>
      <c r="K101" s="226"/>
      <c r="L101" s="183"/>
    </row>
    <row r="102" spans="1:44">
      <c r="A102" s="207" t="s">
        <v>89</v>
      </c>
      <c r="B102" s="209" t="str">
        <f>IFERROR(HLOOKUP(ROUNDUP(B101,0),$G$1:$AO$12,3),"Non PB")</f>
        <v>Non PB</v>
      </c>
      <c r="F102" s="181"/>
      <c r="I102" s="225"/>
      <c r="J102" s="184"/>
    </row>
    <row r="103" spans="1:44">
      <c r="A103" s="207" t="s">
        <v>83</v>
      </c>
      <c r="B103" s="210" t="e">
        <f>IRR(G96:AP96)</f>
        <v>#VALUE!</v>
      </c>
      <c r="D103" s="184"/>
      <c r="F103" s="181"/>
      <c r="J103" s="184"/>
    </row>
    <row r="104" spans="1:44">
      <c r="A104" s="207" t="s">
        <v>90</v>
      </c>
      <c r="B104" s="208" t="e">
        <f>(MATCH(0,F76:AP76)-1)+(0-INDEX(F76:AP76,MATCH(0,F76:AP76)))/(INDEX(F76:AP76,MATCH(0,F76:AP76)+1)-INDEX(F76:AP76,MATCH(0,F76:AP76)))</f>
        <v>#N/A</v>
      </c>
      <c r="F104" s="181"/>
      <c r="J104" s="227"/>
    </row>
    <row r="105" spans="1:44">
      <c r="A105" s="207" t="s">
        <v>91</v>
      </c>
      <c r="B105" s="209" t="str">
        <f>IFERROR(HLOOKUP(ROUNDUP(B104,0),$G$1:$AO$12,3),"Non B.E.P")</f>
        <v>Non B.E.P</v>
      </c>
      <c r="F105" s="181"/>
    </row>
    <row r="106" spans="1:44">
      <c r="A106" s="207" t="s">
        <v>92</v>
      </c>
      <c r="B106" s="217" t="str">
        <f>IFERROR(HLOOKUP(ROUNDUP(B105,0),$G$3:$AP$22,11),"Non B.E.P")</f>
        <v>Non B.E.P</v>
      </c>
      <c r="F106" s="181"/>
      <c r="H106" s="316"/>
    </row>
    <row r="107" spans="1:44">
      <c r="A107" s="207" t="s">
        <v>93</v>
      </c>
      <c r="B107" s="211" t="str">
        <f>IFERROR(HLOOKUP(ROUNDUP(B105,0),$G$3:$AP$22,9),"None")</f>
        <v>None</v>
      </c>
      <c r="C107" s="237"/>
      <c r="F107" s="181"/>
    </row>
    <row r="108" spans="1:44">
      <c r="A108" s="233" t="s">
        <v>94</v>
      </c>
      <c r="B108" s="208" t="e">
        <f>(MATCH(0,F77:AP77)-1)+(0-INDEX(F77:AP77,MATCH(0,F77:AP77)))/(INDEX(F77:AP77,MATCH(0,F77:AP77)+1)-INDEX(F77:AP77,MATCH(0,F77:AP77)))</f>
        <v>#N/A</v>
      </c>
      <c r="F108" s="181"/>
    </row>
    <row r="109" spans="1:44" ht="15" thickBot="1">
      <c r="A109" s="212" t="s">
        <v>95</v>
      </c>
      <c r="B109" s="213" t="str">
        <f>IFERROR(HLOOKUP(ROUNDUP(B108,0),$G$1:$AP$3,3),"None")</f>
        <v>None</v>
      </c>
      <c r="F109" s="181"/>
    </row>
    <row r="110" spans="1:44">
      <c r="A110" s="238" t="s">
        <v>113</v>
      </c>
      <c r="B110" s="137" t="e">
        <f>NPV(B111,G96:AP96)</f>
        <v>#REF!</v>
      </c>
      <c r="F110" s="181"/>
    </row>
    <row r="111" spans="1:44">
      <c r="A111" s="239" t="s">
        <v>114</v>
      </c>
      <c r="B111" s="391"/>
      <c r="F111" s="181"/>
    </row>
    <row r="112" spans="1:44">
      <c r="F112" s="181"/>
    </row>
    <row r="113" spans="6:6">
      <c r="F113" s="181"/>
    </row>
    <row r="114" spans="6:6">
      <c r="F114" s="181"/>
    </row>
    <row r="115" spans="6:6">
      <c r="F115" s="181"/>
    </row>
    <row r="116" spans="6:6">
      <c r="F116" s="181"/>
    </row>
    <row r="117" spans="6:6">
      <c r="F117" s="181"/>
    </row>
    <row r="118" spans="6:6">
      <c r="F118" s="181"/>
    </row>
    <row r="119" spans="6:6">
      <c r="F119" s="181"/>
    </row>
    <row r="120" spans="6:6">
      <c r="F120" s="181"/>
    </row>
    <row r="121" spans="6:6">
      <c r="F121" s="181"/>
    </row>
    <row r="122" spans="6:6">
      <c r="F122" s="181"/>
    </row>
    <row r="123" spans="6:6">
      <c r="F123" s="181"/>
    </row>
    <row r="124" spans="6:6">
      <c r="F124" s="181"/>
    </row>
    <row r="125" spans="6:6">
      <c r="F125" s="181"/>
    </row>
    <row r="126" spans="6:6">
      <c r="F126" s="181"/>
    </row>
    <row r="127" spans="6:6">
      <c r="F127" s="181"/>
    </row>
    <row r="128" spans="6:6">
      <c r="F128" s="181"/>
    </row>
    <row r="129" spans="6:6">
      <c r="F129" s="181"/>
    </row>
    <row r="130" spans="6:6">
      <c r="F130" s="181"/>
    </row>
    <row r="131" spans="6:6">
      <c r="F131" s="181"/>
    </row>
    <row r="132" spans="6:6">
      <c r="F132" s="181"/>
    </row>
    <row r="133" spans="6:6">
      <c r="F133" s="181"/>
    </row>
    <row r="134" spans="6:6">
      <c r="F134" s="181"/>
    </row>
    <row r="135" spans="6:6">
      <c r="F135" s="181"/>
    </row>
    <row r="136" spans="6:6">
      <c r="F136" s="181"/>
    </row>
    <row r="137" spans="6:6">
      <c r="F137" s="181"/>
    </row>
    <row r="138" spans="6:6">
      <c r="F138" s="181"/>
    </row>
    <row r="139" spans="6:6">
      <c r="F139" s="181"/>
    </row>
    <row r="140" spans="6:6">
      <c r="F140" s="181"/>
    </row>
    <row r="141" spans="6:6">
      <c r="F141" s="181"/>
    </row>
    <row r="142" spans="6:6">
      <c r="F142" s="181"/>
    </row>
    <row r="143" spans="6:6">
      <c r="F143" s="181"/>
    </row>
    <row r="144" spans="6:6">
      <c r="F144" s="181"/>
    </row>
    <row r="145" spans="6:6">
      <c r="F145" s="181"/>
    </row>
    <row r="146" spans="6:6">
      <c r="F146" s="181"/>
    </row>
    <row r="147" spans="6:6">
      <c r="F147" s="181"/>
    </row>
    <row r="148" spans="6:6">
      <c r="F148" s="181"/>
    </row>
    <row r="149" spans="6:6">
      <c r="F149" s="181"/>
    </row>
    <row r="150" spans="6:6">
      <c r="F150" s="181"/>
    </row>
    <row r="151" spans="6:6">
      <c r="F151" s="181"/>
    </row>
    <row r="152" spans="6:6">
      <c r="F152" s="181"/>
    </row>
    <row r="153" spans="6:6">
      <c r="F153" s="181"/>
    </row>
    <row r="154" spans="6:6">
      <c r="F154" s="181"/>
    </row>
    <row r="155" spans="6:6">
      <c r="F155" s="181"/>
    </row>
    <row r="156" spans="6:6">
      <c r="F156" s="181"/>
    </row>
    <row r="157" spans="6:6">
      <c r="F157" s="181"/>
    </row>
    <row r="158" spans="6:6">
      <c r="F158" s="181"/>
    </row>
    <row r="159" spans="6:6">
      <c r="F159" s="181"/>
    </row>
    <row r="160" spans="6:6">
      <c r="F160" s="181"/>
    </row>
    <row r="161" spans="6:6">
      <c r="F161" s="181"/>
    </row>
    <row r="162" spans="6:6">
      <c r="F162" s="181"/>
    </row>
    <row r="163" spans="6:6">
      <c r="F163" s="181"/>
    </row>
    <row r="164" spans="6:6">
      <c r="F164" s="181"/>
    </row>
    <row r="165" spans="6:6">
      <c r="F165" s="181"/>
    </row>
    <row r="166" spans="6:6">
      <c r="F166" s="181"/>
    </row>
    <row r="167" spans="6:6">
      <c r="F167" s="181"/>
    </row>
    <row r="168" spans="6:6">
      <c r="F168" s="181"/>
    </row>
    <row r="169" spans="6:6">
      <c r="F169" s="181"/>
    </row>
    <row r="170" spans="6:6">
      <c r="F170" s="181"/>
    </row>
    <row r="171" spans="6:6">
      <c r="F171" s="181"/>
    </row>
    <row r="172" spans="6:6">
      <c r="F172" s="181"/>
    </row>
    <row r="173" spans="6:6">
      <c r="F173" s="181"/>
    </row>
    <row r="174" spans="6:6">
      <c r="F174" s="181"/>
    </row>
    <row r="175" spans="6:6">
      <c r="F175" s="181"/>
    </row>
    <row r="176" spans="6:6">
      <c r="F176" s="181"/>
    </row>
    <row r="177" spans="6:6">
      <c r="F177" s="181"/>
    </row>
    <row r="178" spans="6:6">
      <c r="F178" s="181"/>
    </row>
    <row r="179" spans="6:6">
      <c r="F179" s="181"/>
    </row>
    <row r="180" spans="6:6">
      <c r="F180" s="181"/>
    </row>
    <row r="181" spans="6:6">
      <c r="F181" s="181"/>
    </row>
    <row r="182" spans="6:6">
      <c r="F182" s="181"/>
    </row>
    <row r="183" spans="6:6">
      <c r="F183" s="181"/>
    </row>
    <row r="184" spans="6:6">
      <c r="F184" s="181"/>
    </row>
    <row r="185" spans="6:6">
      <c r="F185" s="181"/>
    </row>
    <row r="186" spans="6:6">
      <c r="F186" s="181"/>
    </row>
    <row r="187" spans="6:6">
      <c r="F187" s="181"/>
    </row>
    <row r="188" spans="6:6">
      <c r="F188" s="181"/>
    </row>
    <row r="189" spans="6:6">
      <c r="F189" s="181"/>
    </row>
    <row r="190" spans="6:6">
      <c r="F190" s="181"/>
    </row>
    <row r="191" spans="6:6">
      <c r="F191" s="181"/>
    </row>
    <row r="192" spans="6:6">
      <c r="F192" s="181"/>
    </row>
    <row r="193" spans="6:6">
      <c r="F193" s="181"/>
    </row>
    <row r="194" spans="6:6">
      <c r="F194" s="181"/>
    </row>
    <row r="195" spans="6:6">
      <c r="F195" s="181"/>
    </row>
    <row r="196" spans="6:6">
      <c r="F196" s="181"/>
    </row>
    <row r="197" spans="6:6">
      <c r="F197" s="181"/>
    </row>
    <row r="198" spans="6:6">
      <c r="F198" s="181"/>
    </row>
    <row r="199" spans="6:6">
      <c r="F199" s="181"/>
    </row>
    <row r="200" spans="6:6">
      <c r="F200" s="181"/>
    </row>
    <row r="201" spans="6:6">
      <c r="F201" s="181"/>
    </row>
    <row r="202" spans="6:6">
      <c r="F202" s="181"/>
    </row>
    <row r="203" spans="6:6">
      <c r="F203" s="181"/>
    </row>
    <row r="204" spans="6:6">
      <c r="F204" s="181"/>
    </row>
    <row r="205" spans="6:6">
      <c r="F205" s="181"/>
    </row>
    <row r="206" spans="6:6">
      <c r="F206" s="181"/>
    </row>
    <row r="207" spans="6:6">
      <c r="F207" s="181"/>
    </row>
    <row r="208" spans="6:6">
      <c r="F208" s="181"/>
    </row>
    <row r="209" spans="6:6">
      <c r="F209" s="181"/>
    </row>
    <row r="210" spans="6:6">
      <c r="F210" s="181"/>
    </row>
    <row r="211" spans="6:6">
      <c r="F211" s="181"/>
    </row>
    <row r="212" spans="6:6">
      <c r="F212" s="181"/>
    </row>
    <row r="213" spans="6:6">
      <c r="F213" s="181"/>
    </row>
    <row r="214" spans="6:6">
      <c r="F214" s="181"/>
    </row>
    <row r="215" spans="6:6">
      <c r="F215" s="181"/>
    </row>
    <row r="216" spans="6:6">
      <c r="F216" s="181"/>
    </row>
    <row r="217" spans="6:6">
      <c r="F217" s="181"/>
    </row>
    <row r="218" spans="6:6">
      <c r="F218" s="181"/>
    </row>
    <row r="219" spans="6:6">
      <c r="F219" s="181"/>
    </row>
    <row r="220" spans="6:6">
      <c r="F220" s="181"/>
    </row>
    <row r="221" spans="6:6">
      <c r="F221" s="181"/>
    </row>
    <row r="222" spans="6:6">
      <c r="F222" s="181"/>
    </row>
    <row r="223" spans="6:6">
      <c r="F223" s="181"/>
    </row>
    <row r="224" spans="6:6">
      <c r="F224" s="181"/>
    </row>
  </sheetData>
  <mergeCells count="2">
    <mergeCell ref="E4:F4"/>
    <mergeCell ref="A1:D3"/>
  </mergeCells>
  <conditionalFormatting sqref="A53:AR53">
    <cfRule type="cellIs" dxfId="4" priority="4" operator="greaterThanOrEqual">
      <formula>0</formula>
    </cfRule>
  </conditionalFormatting>
  <conditionalFormatting sqref="A70:AR70">
    <cfRule type="cellIs" dxfId="3" priority="3" operator="greaterThanOrEqual">
      <formula>0</formula>
    </cfRule>
  </conditionalFormatting>
  <conditionalFormatting sqref="A76:AR77">
    <cfRule type="cellIs" dxfId="2" priority="1" operator="greaterThanOrEqual">
      <formula>0</formula>
    </cfRule>
  </conditionalFormatting>
  <conditionalFormatting sqref="G74:AR74">
    <cfRule type="cellIs" dxfId="1" priority="2" operator="greaterThanOrEqual">
      <formula>0</formula>
    </cfRule>
  </conditionalFormatting>
  <conditionalFormatting sqref="G96:AR98">
    <cfRule type="cellIs" dxfId="0" priority="5" operator="greaterThanOrEqual">
      <formula>0</formula>
    </cfRule>
  </conditionalFormatting>
  <dataValidations disablePrompts="1" count="2">
    <dataValidation type="list" allowBlank="1" showInputMessage="1" showErrorMessage="1" sqref="AW2:AW3" xr:uid="{00000000-0002-0000-0100-000000000000}">
      <formula1>$AW$2:$AW$3</formula1>
    </dataValidation>
    <dataValidation type="list" allowBlank="1" showInputMessage="1" showErrorMessage="1" sqref="AT5:AT7 AT9 AT11" xr:uid="{00000000-0002-0000-0100-000001000000}">
      <formula1>$AT$5:$AT$6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D875"/>
  <sheetViews>
    <sheetView tabSelected="1" topLeftCell="E1" zoomScale="75" zoomScaleNormal="50" workbookViewId="0">
      <selection activeCell="J24" sqref="J24"/>
    </sheetView>
  </sheetViews>
  <sheetFormatPr defaultColWidth="10.4609375" defaultRowHeight="12.9"/>
  <cols>
    <col min="1" max="1" width="30.84375" style="335" customWidth="1"/>
    <col min="2" max="2" width="19.3046875" style="335" customWidth="1"/>
    <col min="3" max="3" width="19.3046875" style="512" customWidth="1"/>
    <col min="4" max="4" width="19.3046875" style="335" customWidth="1"/>
    <col min="5" max="5" width="30.84375" style="335" customWidth="1"/>
    <col min="6" max="6" width="19.3046875" style="335" customWidth="1"/>
    <col min="7" max="7" width="30.84375" style="335" customWidth="1"/>
    <col min="8" max="8" width="19.3046875" style="335" customWidth="1"/>
    <col min="9" max="9" width="30.84375" style="334" customWidth="1"/>
    <col min="10" max="10" width="19.3046875" style="335" customWidth="1"/>
    <col min="11" max="11" width="30.84375" style="334" customWidth="1"/>
    <col min="12" max="12" width="19.3046875" style="335" customWidth="1"/>
    <col min="13" max="13" width="30.84375" style="334" customWidth="1"/>
    <col min="14" max="14" width="19.3046875" style="335" customWidth="1"/>
    <col min="15" max="15" width="30.84375" style="334" customWidth="1"/>
    <col min="16" max="16" width="19.3046875" style="335" customWidth="1"/>
    <col min="17" max="17" width="30.84375" style="334" customWidth="1"/>
    <col min="18" max="18" width="19.3046875" style="335" customWidth="1"/>
    <col min="19" max="19" width="30.84375" style="334" customWidth="1"/>
    <col min="20" max="20" width="19.3046875" style="335" customWidth="1"/>
    <col min="21" max="21" width="30.84375" style="334" customWidth="1"/>
    <col min="22" max="22" width="19.3046875" style="335" customWidth="1"/>
    <col min="23" max="23" width="30.84375" style="334" customWidth="1"/>
    <col min="24" max="24" width="19.3046875" style="335" customWidth="1"/>
    <col min="25" max="25" width="30.84375" style="334" customWidth="1"/>
    <col min="26" max="26" width="19.3046875" style="335" customWidth="1"/>
    <col min="27" max="28" width="30.84375" style="334" customWidth="1"/>
    <col min="29" max="29" width="10.4609375" style="334"/>
    <col min="30" max="16384" width="10.4609375" style="335"/>
  </cols>
  <sheetData>
    <row r="1" spans="1:30" ht="26.15">
      <c r="A1" s="611" t="s">
        <v>132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333"/>
    </row>
    <row r="2" spans="1:30" ht="24.75" customHeight="1">
      <c r="A2" s="381" t="s">
        <v>168</v>
      </c>
      <c r="B2" s="381"/>
      <c r="C2" s="499"/>
      <c r="D2" s="381"/>
      <c r="E2" s="376"/>
      <c r="F2" s="381"/>
      <c r="G2" s="376"/>
      <c r="H2" s="381"/>
      <c r="I2" s="376"/>
      <c r="J2" s="381"/>
      <c r="K2" s="376"/>
      <c r="L2" s="381"/>
      <c r="M2" s="376"/>
      <c r="N2" s="381"/>
      <c r="O2" s="376"/>
      <c r="P2" s="381"/>
      <c r="Q2" s="376"/>
      <c r="R2" s="381"/>
      <c r="S2" s="376"/>
      <c r="T2" s="381"/>
      <c r="U2" s="376"/>
      <c r="V2" s="381"/>
      <c r="W2" s="376"/>
      <c r="X2" s="381"/>
      <c r="Y2" s="376"/>
      <c r="Z2" s="381"/>
      <c r="AA2" s="376"/>
      <c r="AB2" s="376"/>
    </row>
    <row r="3" spans="1:30">
      <c r="A3" s="614" t="s">
        <v>115</v>
      </c>
      <c r="B3" s="466"/>
      <c r="C3" s="500"/>
      <c r="D3" s="466"/>
      <c r="E3" s="606">
        <v>44197</v>
      </c>
      <c r="F3" s="466"/>
      <c r="G3" s="637">
        <v>44228</v>
      </c>
      <c r="H3" s="466"/>
      <c r="I3" s="606">
        <v>44256</v>
      </c>
      <c r="J3" s="466"/>
      <c r="K3" s="637">
        <v>44287</v>
      </c>
      <c r="L3" s="466"/>
      <c r="M3" s="606">
        <v>44317</v>
      </c>
      <c r="N3" s="466"/>
      <c r="O3" s="637">
        <v>44348</v>
      </c>
      <c r="P3" s="466"/>
      <c r="Q3" s="606">
        <v>44378</v>
      </c>
      <c r="R3" s="466"/>
      <c r="S3" s="637">
        <v>44409</v>
      </c>
      <c r="T3" s="526"/>
      <c r="U3" s="606">
        <v>44440</v>
      </c>
      <c r="V3" s="526"/>
      <c r="W3" s="637">
        <v>44470</v>
      </c>
      <c r="X3" s="526"/>
      <c r="Y3" s="606">
        <v>44501</v>
      </c>
      <c r="Z3" s="526"/>
      <c r="AA3" s="637">
        <v>44531</v>
      </c>
      <c r="AB3" s="635" t="s">
        <v>112</v>
      </c>
    </row>
    <row r="4" spans="1:30">
      <c r="A4" s="615"/>
      <c r="B4" s="466"/>
      <c r="C4" s="500"/>
      <c r="D4" s="466"/>
      <c r="E4" s="607"/>
      <c r="F4" s="466"/>
      <c r="G4" s="638"/>
      <c r="H4" s="466"/>
      <c r="I4" s="607"/>
      <c r="J4" s="466"/>
      <c r="K4" s="638"/>
      <c r="L4" s="466"/>
      <c r="M4" s="607"/>
      <c r="N4" s="466"/>
      <c r="O4" s="638"/>
      <c r="P4" s="466"/>
      <c r="Q4" s="607"/>
      <c r="R4" s="466"/>
      <c r="S4" s="638"/>
      <c r="T4" s="527"/>
      <c r="U4" s="607"/>
      <c r="V4" s="527"/>
      <c r="W4" s="638"/>
      <c r="X4" s="527"/>
      <c r="Y4" s="607"/>
      <c r="Z4" s="527"/>
      <c r="AA4" s="638"/>
      <c r="AB4" s="636"/>
    </row>
    <row r="5" spans="1:30" s="396" customFormat="1">
      <c r="A5" s="393" t="s">
        <v>65</v>
      </c>
      <c r="B5" s="393"/>
      <c r="C5" s="501"/>
      <c r="D5" s="393"/>
      <c r="E5" s="394"/>
      <c r="F5" s="393"/>
      <c r="G5" s="394"/>
      <c r="H5" s="393"/>
      <c r="I5" s="394"/>
      <c r="J5" s="393"/>
      <c r="K5" s="394"/>
      <c r="L5" s="393"/>
      <c r="M5" s="394"/>
      <c r="N5" s="393"/>
      <c r="O5" s="394"/>
      <c r="P5" s="393"/>
      <c r="Q5" s="394"/>
      <c r="R5" s="393"/>
      <c r="S5" s="394"/>
      <c r="T5" s="393"/>
      <c r="U5" s="394"/>
      <c r="V5" s="393"/>
      <c r="W5" s="394"/>
      <c r="X5" s="393"/>
      <c r="Y5" s="394"/>
      <c r="Z5" s="393"/>
      <c r="AA5" s="394"/>
      <c r="AB5" s="394"/>
      <c r="AC5" s="395"/>
    </row>
    <row r="6" spans="1:30" s="396" customFormat="1">
      <c r="A6" s="393" t="s">
        <v>172</v>
      </c>
      <c r="B6" s="393"/>
      <c r="C6" s="501"/>
      <c r="D6" s="393"/>
      <c r="E6" s="394"/>
      <c r="F6" s="393"/>
      <c r="G6" s="394"/>
      <c r="H6" s="393"/>
      <c r="I6" s="394"/>
      <c r="J6" s="393"/>
      <c r="K6" s="394"/>
      <c r="L6" s="393"/>
      <c r="M6" s="394"/>
      <c r="N6" s="393"/>
      <c r="O6" s="394"/>
      <c r="P6" s="393"/>
      <c r="Q6" s="394"/>
      <c r="R6" s="393"/>
      <c r="S6" s="394"/>
      <c r="T6" s="393"/>
      <c r="U6" s="394"/>
      <c r="V6" s="393"/>
      <c r="W6" s="394"/>
      <c r="X6" s="393"/>
      <c r="Y6" s="394"/>
      <c r="Z6" s="393"/>
      <c r="AA6" s="394"/>
      <c r="AB6" s="394"/>
      <c r="AC6" s="395"/>
    </row>
    <row r="7" spans="1:30" s="396" customFormat="1">
      <c r="A7" s="393" t="s">
        <v>173</v>
      </c>
      <c r="B7" s="393"/>
      <c r="C7" s="501"/>
      <c r="D7" s="393"/>
      <c r="E7" s="394"/>
      <c r="F7" s="393"/>
      <c r="G7" s="394"/>
      <c r="H7" s="393"/>
      <c r="I7" s="394"/>
      <c r="J7" s="393"/>
      <c r="K7" s="394"/>
      <c r="L7" s="393"/>
      <c r="M7" s="394"/>
      <c r="N7" s="393"/>
      <c r="O7" s="394"/>
      <c r="P7" s="393"/>
      <c r="Q7" s="394"/>
      <c r="R7" s="393"/>
      <c r="S7" s="394"/>
      <c r="T7" s="393"/>
      <c r="U7" s="394"/>
      <c r="V7" s="393"/>
      <c r="W7" s="394"/>
      <c r="X7" s="393"/>
      <c r="Y7" s="394"/>
      <c r="Z7" s="393"/>
      <c r="AA7" s="394"/>
      <c r="AB7" s="394"/>
      <c r="AC7" s="395"/>
    </row>
    <row r="8" spans="1:30" s="396" customFormat="1">
      <c r="A8" s="397"/>
      <c r="B8" s="397"/>
      <c r="C8" s="502"/>
      <c r="D8" s="397"/>
      <c r="E8" s="398"/>
      <c r="F8" s="397"/>
      <c r="G8" s="398"/>
      <c r="H8" s="397"/>
      <c r="I8" s="398"/>
      <c r="J8" s="397"/>
      <c r="K8" s="398"/>
      <c r="L8" s="397"/>
      <c r="M8" s="398"/>
      <c r="N8" s="397"/>
      <c r="O8" s="398"/>
      <c r="P8" s="397"/>
      <c r="Q8" s="398"/>
      <c r="R8" s="397"/>
      <c r="S8" s="398"/>
      <c r="T8" s="397"/>
      <c r="U8" s="398"/>
      <c r="V8" s="397"/>
      <c r="W8" s="398"/>
      <c r="X8" s="397"/>
      <c r="Y8" s="398"/>
      <c r="Z8" s="397"/>
      <c r="AA8" s="398"/>
      <c r="AB8" s="398"/>
      <c r="AC8" s="395"/>
    </row>
    <row r="9" spans="1:30">
      <c r="A9" s="374"/>
      <c r="B9" s="374"/>
      <c r="C9" s="503"/>
      <c r="D9" s="374"/>
      <c r="E9" s="363"/>
      <c r="F9" s="374"/>
      <c r="G9" s="363"/>
      <c r="H9" s="374"/>
      <c r="I9" s="363"/>
      <c r="J9" s="374"/>
      <c r="K9" s="363"/>
      <c r="L9" s="374"/>
      <c r="M9" s="363"/>
      <c r="N9" s="374"/>
      <c r="O9" s="363"/>
      <c r="P9" s="374"/>
      <c r="Q9" s="363"/>
      <c r="R9" s="374"/>
      <c r="S9" s="363"/>
      <c r="T9" s="374"/>
      <c r="U9" s="363"/>
      <c r="V9" s="374"/>
      <c r="W9" s="363"/>
      <c r="X9" s="374"/>
      <c r="Y9" s="363"/>
      <c r="Z9" s="374"/>
      <c r="AA9" s="363"/>
      <c r="AB9" s="363"/>
      <c r="AD9" s="350"/>
    </row>
    <row r="10" spans="1:30" s="349" customFormat="1">
      <c r="A10" s="359" t="s">
        <v>200</v>
      </c>
      <c r="B10" s="359">
        <v>26</v>
      </c>
      <c r="C10" s="504">
        <v>850</v>
      </c>
      <c r="D10" s="359">
        <v>0</v>
      </c>
      <c r="E10" s="362">
        <f>(B10*C10)*D10</f>
        <v>0</v>
      </c>
      <c r="F10" s="359">
        <v>0</v>
      </c>
      <c r="G10" s="362">
        <f>(B10*C10)*F10</f>
        <v>0</v>
      </c>
      <c r="H10" s="359">
        <v>0</v>
      </c>
      <c r="I10" s="362">
        <f>(B10*C10)*H10</f>
        <v>0</v>
      </c>
      <c r="J10" s="359">
        <v>0</v>
      </c>
      <c r="K10" s="362">
        <f>(B10*C10)*J10</f>
        <v>0</v>
      </c>
      <c r="L10" s="359">
        <v>0</v>
      </c>
      <c r="M10" s="362">
        <f>(B10*C10)*L10</f>
        <v>0</v>
      </c>
      <c r="N10" s="359">
        <v>0</v>
      </c>
      <c r="O10" s="362">
        <f>(B10*C10)*N10</f>
        <v>0</v>
      </c>
      <c r="P10" s="359">
        <v>10</v>
      </c>
      <c r="Q10" s="362">
        <f>(B10*C10)*P10</f>
        <v>221000</v>
      </c>
      <c r="R10" s="359">
        <v>10</v>
      </c>
      <c r="S10" s="362">
        <f>(B10*C10)*R10</f>
        <v>221000</v>
      </c>
      <c r="T10" s="491">
        <v>10</v>
      </c>
      <c r="U10" s="362">
        <f>(B10*C10)*T10</f>
        <v>221000</v>
      </c>
      <c r="V10" s="491">
        <v>10</v>
      </c>
      <c r="W10" s="362">
        <f>(B10*C10)*V10</f>
        <v>221000</v>
      </c>
      <c r="X10" s="491">
        <v>10</v>
      </c>
      <c r="Y10" s="362">
        <f>(B10*C10)*X10</f>
        <v>221000</v>
      </c>
      <c r="Z10" s="491">
        <v>10</v>
      </c>
      <c r="AA10" s="362">
        <f>(B10*C10)*Z10</f>
        <v>221000</v>
      </c>
      <c r="AB10" s="361"/>
      <c r="AC10" s="342"/>
      <c r="AD10" s="348"/>
    </row>
    <row r="11" spans="1:30" s="349" customFormat="1">
      <c r="A11" s="359" t="s">
        <v>200</v>
      </c>
      <c r="B11" s="359">
        <v>33</v>
      </c>
      <c r="C11" s="504">
        <v>850</v>
      </c>
      <c r="D11" s="359">
        <v>0</v>
      </c>
      <c r="E11" s="362">
        <f>(B11*C11)*D11</f>
        <v>0</v>
      </c>
      <c r="F11" s="359">
        <v>0</v>
      </c>
      <c r="G11" s="362">
        <f t="shared" ref="G11:G13" si="0">(B11*C11)*F11</f>
        <v>0</v>
      </c>
      <c r="H11" s="359">
        <v>0</v>
      </c>
      <c r="I11" s="362">
        <f t="shared" ref="I11:I13" si="1">(B11*C11)*H11</f>
        <v>0</v>
      </c>
      <c r="J11" s="359">
        <v>0</v>
      </c>
      <c r="K11" s="362">
        <f t="shared" ref="K11:K30" si="2">(B11*C11)*J11</f>
        <v>0</v>
      </c>
      <c r="L11" s="359">
        <v>0</v>
      </c>
      <c r="M11" s="362">
        <f t="shared" ref="M11:M30" si="3">(B11*C11)*L11</f>
        <v>0</v>
      </c>
      <c r="N11" s="359">
        <v>0</v>
      </c>
      <c r="O11" s="362">
        <f t="shared" ref="O11:O30" si="4">(B11*C11)*N11</f>
        <v>0</v>
      </c>
      <c r="P11" s="359">
        <v>5</v>
      </c>
      <c r="Q11" s="362">
        <f t="shared" ref="Q11:Q30" si="5">(B11*C11)*P11</f>
        <v>140250</v>
      </c>
      <c r="R11" s="359">
        <v>5</v>
      </c>
      <c r="S11" s="362">
        <f t="shared" ref="S11:S30" si="6">(B11*C11)*R11</f>
        <v>140250</v>
      </c>
      <c r="T11" s="492">
        <v>5</v>
      </c>
      <c r="U11" s="362">
        <f t="shared" ref="U11:U30" si="7">(B11*C11)*T11</f>
        <v>140250</v>
      </c>
      <c r="V11" s="492">
        <v>5</v>
      </c>
      <c r="W11" s="362">
        <f t="shared" ref="W11:W30" si="8">(B11*C11)*V11</f>
        <v>140250</v>
      </c>
      <c r="X11" s="492">
        <v>5</v>
      </c>
      <c r="Y11" s="362">
        <f t="shared" ref="Y11:Y30" si="9">(B11*C11)*X11</f>
        <v>140250</v>
      </c>
      <c r="Z11" s="492">
        <v>5</v>
      </c>
      <c r="AA11" s="362">
        <f t="shared" ref="AA11:AA30" si="10">(B11*C11)*Z11</f>
        <v>140250</v>
      </c>
      <c r="AB11" s="361"/>
      <c r="AC11" s="342"/>
      <c r="AD11" s="348"/>
    </row>
    <row r="12" spans="1:30" s="349" customFormat="1">
      <c r="A12" s="359" t="s">
        <v>200</v>
      </c>
      <c r="B12" s="359">
        <v>64</v>
      </c>
      <c r="C12" s="504">
        <v>850</v>
      </c>
      <c r="D12" s="359">
        <v>0</v>
      </c>
      <c r="E12" s="362">
        <f>(B12*C12)*D12</f>
        <v>0</v>
      </c>
      <c r="F12" s="359">
        <v>0</v>
      </c>
      <c r="G12" s="362">
        <f t="shared" si="0"/>
        <v>0</v>
      </c>
      <c r="H12" s="359">
        <v>0</v>
      </c>
      <c r="I12" s="362">
        <f t="shared" si="1"/>
        <v>0</v>
      </c>
      <c r="J12" s="359">
        <v>0</v>
      </c>
      <c r="K12" s="362">
        <f t="shared" si="2"/>
        <v>0</v>
      </c>
      <c r="L12" s="359">
        <v>0</v>
      </c>
      <c r="M12" s="362">
        <f t="shared" si="3"/>
        <v>0</v>
      </c>
      <c r="N12" s="359">
        <v>0</v>
      </c>
      <c r="O12" s="362">
        <f t="shared" si="4"/>
        <v>0</v>
      </c>
      <c r="P12" s="359">
        <v>2</v>
      </c>
      <c r="Q12" s="362">
        <f t="shared" si="5"/>
        <v>108800</v>
      </c>
      <c r="R12" s="359">
        <v>2</v>
      </c>
      <c r="S12" s="362">
        <f t="shared" si="6"/>
        <v>108800</v>
      </c>
      <c r="T12" s="492">
        <v>2</v>
      </c>
      <c r="U12" s="362">
        <f t="shared" si="7"/>
        <v>108800</v>
      </c>
      <c r="V12" s="492">
        <v>2</v>
      </c>
      <c r="W12" s="362">
        <f t="shared" si="8"/>
        <v>108800</v>
      </c>
      <c r="X12" s="492">
        <v>2</v>
      </c>
      <c r="Y12" s="362">
        <f t="shared" si="9"/>
        <v>108800</v>
      </c>
      <c r="Z12" s="492">
        <v>2</v>
      </c>
      <c r="AA12" s="362">
        <f t="shared" si="10"/>
        <v>108800</v>
      </c>
      <c r="AB12" s="361"/>
      <c r="AC12" s="342"/>
      <c r="AD12" s="348"/>
    </row>
    <row r="13" spans="1:30" s="349" customFormat="1">
      <c r="A13" s="359" t="s">
        <v>200</v>
      </c>
      <c r="B13" s="359">
        <v>100</v>
      </c>
      <c r="C13" s="504">
        <v>850</v>
      </c>
      <c r="D13" s="359">
        <v>0</v>
      </c>
      <c r="E13" s="362">
        <f>(B13*C13)*D13</f>
        <v>0</v>
      </c>
      <c r="F13" s="359">
        <v>0</v>
      </c>
      <c r="G13" s="362">
        <f t="shared" si="0"/>
        <v>0</v>
      </c>
      <c r="H13" s="359">
        <v>0</v>
      </c>
      <c r="I13" s="362">
        <f t="shared" si="1"/>
        <v>0</v>
      </c>
      <c r="J13" s="359">
        <v>0</v>
      </c>
      <c r="K13" s="362">
        <f t="shared" si="2"/>
        <v>0</v>
      </c>
      <c r="L13" s="359">
        <v>0</v>
      </c>
      <c r="M13" s="362">
        <f t="shared" si="3"/>
        <v>0</v>
      </c>
      <c r="N13" s="359">
        <v>0</v>
      </c>
      <c r="O13" s="362">
        <f t="shared" si="4"/>
        <v>0</v>
      </c>
      <c r="P13" s="359">
        <v>0</v>
      </c>
      <c r="Q13" s="362">
        <f t="shared" si="5"/>
        <v>0</v>
      </c>
      <c r="R13" s="359">
        <v>0</v>
      </c>
      <c r="S13" s="362">
        <f t="shared" si="6"/>
        <v>0</v>
      </c>
      <c r="T13" s="492">
        <v>0</v>
      </c>
      <c r="U13" s="362">
        <f t="shared" si="7"/>
        <v>0</v>
      </c>
      <c r="V13" s="492">
        <v>0</v>
      </c>
      <c r="W13" s="362">
        <f t="shared" si="8"/>
        <v>0</v>
      </c>
      <c r="X13" s="492">
        <v>0</v>
      </c>
      <c r="Y13" s="362">
        <f t="shared" si="9"/>
        <v>0</v>
      </c>
      <c r="Z13" s="492">
        <v>0</v>
      </c>
      <c r="AA13" s="362">
        <f t="shared" si="10"/>
        <v>0</v>
      </c>
      <c r="AB13" s="361"/>
      <c r="AC13" s="342"/>
      <c r="AD13" s="348"/>
    </row>
    <row r="14" spans="1:30" s="349" customFormat="1">
      <c r="A14" s="359"/>
      <c r="B14" s="359"/>
      <c r="C14" s="504"/>
      <c r="D14" s="359"/>
      <c r="E14" s="362"/>
      <c r="F14" s="359"/>
      <c r="G14" s="362"/>
      <c r="H14" s="359"/>
      <c r="I14" s="362"/>
      <c r="J14" s="359"/>
      <c r="K14" s="362">
        <f t="shared" si="2"/>
        <v>0</v>
      </c>
      <c r="L14" s="359"/>
      <c r="M14" s="362">
        <f t="shared" si="3"/>
        <v>0</v>
      </c>
      <c r="N14" s="359"/>
      <c r="O14" s="362">
        <f t="shared" si="4"/>
        <v>0</v>
      </c>
      <c r="P14" s="359"/>
      <c r="Q14" s="362">
        <f t="shared" si="5"/>
        <v>0</v>
      </c>
      <c r="R14" s="359"/>
      <c r="S14" s="362">
        <f t="shared" si="6"/>
        <v>0</v>
      </c>
      <c r="T14" s="492"/>
      <c r="U14" s="362">
        <f t="shared" si="7"/>
        <v>0</v>
      </c>
      <c r="V14" s="492"/>
      <c r="W14" s="362">
        <f t="shared" si="8"/>
        <v>0</v>
      </c>
      <c r="X14" s="492"/>
      <c r="Y14" s="362">
        <f t="shared" si="9"/>
        <v>0</v>
      </c>
      <c r="Z14" s="492"/>
      <c r="AA14" s="362">
        <f t="shared" si="10"/>
        <v>0</v>
      </c>
      <c r="AB14" s="361"/>
      <c r="AC14" s="342"/>
      <c r="AD14" s="348"/>
    </row>
    <row r="15" spans="1:30" s="349" customFormat="1">
      <c r="A15" s="359" t="s">
        <v>201</v>
      </c>
      <c r="B15" s="359">
        <v>150</v>
      </c>
      <c r="C15" s="504">
        <v>850</v>
      </c>
      <c r="D15" s="359">
        <v>0</v>
      </c>
      <c r="E15" s="362">
        <f>(B15*C15)*D15</f>
        <v>0</v>
      </c>
      <c r="F15" s="359">
        <v>0</v>
      </c>
      <c r="G15" s="362">
        <f t="shared" ref="G15:G18" si="11">(B15*C15)*F15</f>
        <v>0</v>
      </c>
      <c r="H15" s="359">
        <v>0</v>
      </c>
      <c r="I15" s="362">
        <f t="shared" ref="I15:I18" si="12">(B15*C15)*H15</f>
        <v>0</v>
      </c>
      <c r="J15" s="359">
        <v>0</v>
      </c>
      <c r="K15" s="362">
        <f t="shared" si="2"/>
        <v>0</v>
      </c>
      <c r="L15" s="359">
        <v>0</v>
      </c>
      <c r="M15" s="362">
        <f t="shared" si="3"/>
        <v>0</v>
      </c>
      <c r="N15" s="359">
        <v>0</v>
      </c>
      <c r="O15" s="362">
        <f t="shared" si="4"/>
        <v>0</v>
      </c>
      <c r="P15" s="359">
        <v>10</v>
      </c>
      <c r="Q15" s="362">
        <f t="shared" si="5"/>
        <v>1275000</v>
      </c>
      <c r="R15" s="359">
        <v>10</v>
      </c>
      <c r="S15" s="362">
        <f t="shared" si="6"/>
        <v>1275000</v>
      </c>
      <c r="T15" s="492">
        <v>10</v>
      </c>
      <c r="U15" s="362">
        <f t="shared" si="7"/>
        <v>1275000</v>
      </c>
      <c r="V15" s="492">
        <v>10</v>
      </c>
      <c r="W15" s="362">
        <f t="shared" si="8"/>
        <v>1275000</v>
      </c>
      <c r="X15" s="492">
        <v>10</v>
      </c>
      <c r="Y15" s="362">
        <f t="shared" si="9"/>
        <v>1275000</v>
      </c>
      <c r="Z15" s="492">
        <v>10</v>
      </c>
      <c r="AA15" s="362">
        <f t="shared" si="10"/>
        <v>1275000</v>
      </c>
      <c r="AB15" s="361"/>
      <c r="AC15" s="342"/>
      <c r="AD15" s="348"/>
    </row>
    <row r="16" spans="1:30" s="349" customFormat="1">
      <c r="A16" s="359" t="s">
        <v>201</v>
      </c>
      <c r="B16" s="359">
        <v>250</v>
      </c>
      <c r="C16" s="504">
        <v>850</v>
      </c>
      <c r="D16" s="359">
        <v>0</v>
      </c>
      <c r="E16" s="362">
        <f>(B16*C16)*D16</f>
        <v>0</v>
      </c>
      <c r="F16" s="359">
        <v>0</v>
      </c>
      <c r="G16" s="362">
        <f t="shared" si="11"/>
        <v>0</v>
      </c>
      <c r="H16" s="359">
        <v>0</v>
      </c>
      <c r="I16" s="362">
        <f t="shared" si="12"/>
        <v>0</v>
      </c>
      <c r="J16" s="359">
        <v>0</v>
      </c>
      <c r="K16" s="362">
        <f t="shared" si="2"/>
        <v>0</v>
      </c>
      <c r="L16" s="359">
        <v>0</v>
      </c>
      <c r="M16" s="362">
        <f t="shared" si="3"/>
        <v>0</v>
      </c>
      <c r="N16" s="359">
        <v>0</v>
      </c>
      <c r="O16" s="362">
        <f t="shared" si="4"/>
        <v>0</v>
      </c>
      <c r="P16" s="359">
        <v>5</v>
      </c>
      <c r="Q16" s="362">
        <f t="shared" si="5"/>
        <v>1062500</v>
      </c>
      <c r="R16" s="359">
        <v>5</v>
      </c>
      <c r="S16" s="362">
        <f t="shared" si="6"/>
        <v>1062500</v>
      </c>
      <c r="T16" s="492">
        <v>5</v>
      </c>
      <c r="U16" s="362">
        <f t="shared" si="7"/>
        <v>1062500</v>
      </c>
      <c r="V16" s="492">
        <v>5</v>
      </c>
      <c r="W16" s="362">
        <f t="shared" si="8"/>
        <v>1062500</v>
      </c>
      <c r="X16" s="492">
        <v>5</v>
      </c>
      <c r="Y16" s="362">
        <f t="shared" si="9"/>
        <v>1062500</v>
      </c>
      <c r="Z16" s="492">
        <v>5</v>
      </c>
      <c r="AA16" s="362">
        <f t="shared" si="10"/>
        <v>1062500</v>
      </c>
      <c r="AB16" s="361"/>
      <c r="AC16" s="342"/>
      <c r="AD16" s="348"/>
    </row>
    <row r="17" spans="1:30" s="349" customFormat="1">
      <c r="A17" s="359" t="s">
        <v>201</v>
      </c>
      <c r="B17" s="359">
        <v>350</v>
      </c>
      <c r="C17" s="504">
        <v>850</v>
      </c>
      <c r="D17" s="359">
        <v>0</v>
      </c>
      <c r="E17" s="362">
        <f>(B17*C17)*D17</f>
        <v>0</v>
      </c>
      <c r="F17" s="359">
        <v>0</v>
      </c>
      <c r="G17" s="362">
        <f t="shared" si="11"/>
        <v>0</v>
      </c>
      <c r="H17" s="359">
        <v>0</v>
      </c>
      <c r="I17" s="362">
        <f t="shared" si="12"/>
        <v>0</v>
      </c>
      <c r="J17" s="359">
        <v>0</v>
      </c>
      <c r="K17" s="362">
        <f t="shared" si="2"/>
        <v>0</v>
      </c>
      <c r="L17" s="359">
        <v>0</v>
      </c>
      <c r="M17" s="362">
        <f t="shared" si="3"/>
        <v>0</v>
      </c>
      <c r="N17" s="359">
        <v>0</v>
      </c>
      <c r="O17" s="362">
        <f t="shared" si="4"/>
        <v>0</v>
      </c>
      <c r="P17" s="359">
        <v>2</v>
      </c>
      <c r="Q17" s="362">
        <f t="shared" si="5"/>
        <v>595000</v>
      </c>
      <c r="R17" s="359">
        <v>2</v>
      </c>
      <c r="S17" s="362">
        <f t="shared" si="6"/>
        <v>595000</v>
      </c>
      <c r="T17" s="492">
        <v>2</v>
      </c>
      <c r="U17" s="362">
        <f t="shared" si="7"/>
        <v>595000</v>
      </c>
      <c r="V17" s="492">
        <v>2</v>
      </c>
      <c r="W17" s="362">
        <f t="shared" si="8"/>
        <v>595000</v>
      </c>
      <c r="X17" s="492">
        <v>2</v>
      </c>
      <c r="Y17" s="362">
        <f t="shared" si="9"/>
        <v>595000</v>
      </c>
      <c r="Z17" s="492">
        <v>2</v>
      </c>
      <c r="AA17" s="362">
        <f t="shared" si="10"/>
        <v>595000</v>
      </c>
      <c r="AB17" s="361"/>
      <c r="AC17" s="342"/>
      <c r="AD17" s="348"/>
    </row>
    <row r="18" spans="1:30" s="349" customFormat="1">
      <c r="A18" s="359" t="s">
        <v>201</v>
      </c>
      <c r="B18" s="359">
        <v>500</v>
      </c>
      <c r="C18" s="504">
        <v>850</v>
      </c>
      <c r="D18" s="359">
        <v>0</v>
      </c>
      <c r="E18" s="362">
        <f>(B18*C18)*D18</f>
        <v>0</v>
      </c>
      <c r="F18" s="359">
        <v>0</v>
      </c>
      <c r="G18" s="362">
        <f t="shared" si="11"/>
        <v>0</v>
      </c>
      <c r="H18" s="359">
        <v>0</v>
      </c>
      <c r="I18" s="362">
        <f t="shared" si="12"/>
        <v>0</v>
      </c>
      <c r="J18" s="359">
        <v>0</v>
      </c>
      <c r="K18" s="362">
        <f t="shared" si="2"/>
        <v>0</v>
      </c>
      <c r="L18" s="359">
        <v>0</v>
      </c>
      <c r="M18" s="362">
        <f t="shared" si="3"/>
        <v>0</v>
      </c>
      <c r="N18" s="359">
        <v>0</v>
      </c>
      <c r="O18" s="362">
        <f t="shared" si="4"/>
        <v>0</v>
      </c>
      <c r="P18" s="359">
        <v>0</v>
      </c>
      <c r="Q18" s="362">
        <f t="shared" si="5"/>
        <v>0</v>
      </c>
      <c r="R18" s="359">
        <v>0</v>
      </c>
      <c r="S18" s="362">
        <f t="shared" si="6"/>
        <v>0</v>
      </c>
      <c r="T18" s="492">
        <v>0</v>
      </c>
      <c r="U18" s="362">
        <f t="shared" si="7"/>
        <v>0</v>
      </c>
      <c r="V18" s="492">
        <v>0</v>
      </c>
      <c r="W18" s="362">
        <f t="shared" si="8"/>
        <v>0</v>
      </c>
      <c r="X18" s="492">
        <v>0</v>
      </c>
      <c r="Y18" s="362">
        <f t="shared" si="9"/>
        <v>0</v>
      </c>
      <c r="Z18" s="492">
        <v>0</v>
      </c>
      <c r="AA18" s="362">
        <f t="shared" si="10"/>
        <v>0</v>
      </c>
      <c r="AB18" s="361"/>
      <c r="AC18" s="342"/>
      <c r="AD18" s="348"/>
    </row>
    <row r="19" spans="1:30" s="349" customFormat="1">
      <c r="A19" s="359"/>
      <c r="B19" s="359"/>
      <c r="C19" s="504"/>
      <c r="D19" s="359"/>
      <c r="E19" s="362"/>
      <c r="F19" s="359"/>
      <c r="G19" s="362"/>
      <c r="H19" s="359"/>
      <c r="I19" s="362"/>
      <c r="J19" s="359"/>
      <c r="K19" s="362">
        <f t="shared" si="2"/>
        <v>0</v>
      </c>
      <c r="L19" s="359"/>
      <c r="M19" s="362">
        <f t="shared" si="3"/>
        <v>0</v>
      </c>
      <c r="N19" s="359"/>
      <c r="O19" s="362">
        <f t="shared" si="4"/>
        <v>0</v>
      </c>
      <c r="P19" s="359"/>
      <c r="Q19" s="362">
        <f t="shared" si="5"/>
        <v>0</v>
      </c>
      <c r="R19" s="359"/>
      <c r="S19" s="362">
        <f t="shared" si="6"/>
        <v>0</v>
      </c>
      <c r="T19" s="492"/>
      <c r="U19" s="362">
        <f t="shared" si="7"/>
        <v>0</v>
      </c>
      <c r="V19" s="492"/>
      <c r="W19" s="362">
        <f t="shared" si="8"/>
        <v>0</v>
      </c>
      <c r="X19" s="492"/>
      <c r="Y19" s="362">
        <f t="shared" si="9"/>
        <v>0</v>
      </c>
      <c r="Z19" s="492"/>
      <c r="AA19" s="362">
        <f t="shared" si="10"/>
        <v>0</v>
      </c>
      <c r="AB19" s="360"/>
      <c r="AC19" s="342"/>
      <c r="AD19" s="348"/>
    </row>
    <row r="20" spans="1:30" s="349" customFormat="1">
      <c r="A20" s="359" t="s">
        <v>202</v>
      </c>
      <c r="B20" s="359">
        <v>100</v>
      </c>
      <c r="C20" s="504">
        <v>850</v>
      </c>
      <c r="D20" s="359">
        <v>0</v>
      </c>
      <c r="E20" s="362">
        <f>(B20*C20)*D20</f>
        <v>0</v>
      </c>
      <c r="F20" s="359">
        <v>0</v>
      </c>
      <c r="G20" s="362">
        <f t="shared" ref="G20:G24" si="13">(B20*C20)*F20</f>
        <v>0</v>
      </c>
      <c r="H20" s="359">
        <v>0</v>
      </c>
      <c r="I20" s="362">
        <f t="shared" ref="I20:I24" si="14">(B20*C20)*H20</f>
        <v>0</v>
      </c>
      <c r="J20" s="359">
        <v>0</v>
      </c>
      <c r="K20" s="362">
        <f t="shared" si="2"/>
        <v>0</v>
      </c>
      <c r="L20" s="359">
        <v>0</v>
      </c>
      <c r="M20" s="362">
        <f t="shared" si="3"/>
        <v>0</v>
      </c>
      <c r="N20" s="359">
        <v>0</v>
      </c>
      <c r="O20" s="362">
        <f t="shared" si="4"/>
        <v>0</v>
      </c>
      <c r="P20" s="359">
        <v>5</v>
      </c>
      <c r="Q20" s="362">
        <f t="shared" si="5"/>
        <v>425000</v>
      </c>
      <c r="R20" s="359">
        <v>5</v>
      </c>
      <c r="S20" s="362">
        <f t="shared" si="6"/>
        <v>425000</v>
      </c>
      <c r="T20" s="492">
        <v>5</v>
      </c>
      <c r="U20" s="362">
        <f t="shared" si="7"/>
        <v>425000</v>
      </c>
      <c r="V20" s="492">
        <v>5</v>
      </c>
      <c r="W20" s="362">
        <f t="shared" si="8"/>
        <v>425000</v>
      </c>
      <c r="X20" s="492">
        <v>5</v>
      </c>
      <c r="Y20" s="362">
        <f t="shared" si="9"/>
        <v>425000</v>
      </c>
      <c r="Z20" s="492">
        <v>5</v>
      </c>
      <c r="AA20" s="362">
        <f t="shared" si="10"/>
        <v>425000</v>
      </c>
      <c r="AB20" s="361"/>
      <c r="AC20" s="342"/>
      <c r="AD20" s="348"/>
    </row>
    <row r="21" spans="1:30" s="349" customFormat="1">
      <c r="A21" s="359" t="s">
        <v>202</v>
      </c>
      <c r="B21" s="359">
        <v>150</v>
      </c>
      <c r="C21" s="504">
        <v>850</v>
      </c>
      <c r="D21" s="359">
        <v>0</v>
      </c>
      <c r="E21" s="362">
        <f>(B21*C21)*D21</f>
        <v>0</v>
      </c>
      <c r="F21" s="359">
        <v>0</v>
      </c>
      <c r="G21" s="362">
        <f t="shared" si="13"/>
        <v>0</v>
      </c>
      <c r="H21" s="359">
        <v>0</v>
      </c>
      <c r="I21" s="362">
        <f t="shared" si="14"/>
        <v>0</v>
      </c>
      <c r="J21" s="359">
        <v>0</v>
      </c>
      <c r="K21" s="362">
        <f t="shared" si="2"/>
        <v>0</v>
      </c>
      <c r="L21" s="359">
        <v>0</v>
      </c>
      <c r="M21" s="362">
        <f t="shared" si="3"/>
        <v>0</v>
      </c>
      <c r="N21" s="359">
        <v>0</v>
      </c>
      <c r="O21" s="362">
        <f t="shared" si="4"/>
        <v>0</v>
      </c>
      <c r="P21" s="359">
        <v>4</v>
      </c>
      <c r="Q21" s="362">
        <f t="shared" si="5"/>
        <v>510000</v>
      </c>
      <c r="R21" s="359">
        <v>4</v>
      </c>
      <c r="S21" s="362">
        <f t="shared" si="6"/>
        <v>510000</v>
      </c>
      <c r="T21" s="492">
        <v>4</v>
      </c>
      <c r="U21" s="362">
        <f t="shared" si="7"/>
        <v>510000</v>
      </c>
      <c r="V21" s="492">
        <v>4</v>
      </c>
      <c r="W21" s="362">
        <f t="shared" si="8"/>
        <v>510000</v>
      </c>
      <c r="X21" s="492">
        <v>4</v>
      </c>
      <c r="Y21" s="362">
        <f t="shared" si="9"/>
        <v>510000</v>
      </c>
      <c r="Z21" s="492">
        <v>4</v>
      </c>
      <c r="AA21" s="362">
        <f t="shared" si="10"/>
        <v>510000</v>
      </c>
      <c r="AB21" s="361"/>
      <c r="AC21" s="342"/>
      <c r="AD21" s="348"/>
    </row>
    <row r="22" spans="1:30" s="349" customFormat="1">
      <c r="A22" s="359" t="s">
        <v>202</v>
      </c>
      <c r="B22" s="359">
        <v>250</v>
      </c>
      <c r="C22" s="504">
        <v>850</v>
      </c>
      <c r="D22" s="359">
        <v>0</v>
      </c>
      <c r="E22" s="362">
        <f>(B22*C22)*D22</f>
        <v>0</v>
      </c>
      <c r="F22" s="359">
        <v>0</v>
      </c>
      <c r="G22" s="362">
        <f t="shared" si="13"/>
        <v>0</v>
      </c>
      <c r="H22" s="359">
        <v>0</v>
      </c>
      <c r="I22" s="362">
        <f t="shared" si="14"/>
        <v>0</v>
      </c>
      <c r="J22" s="359">
        <v>0</v>
      </c>
      <c r="K22" s="362">
        <f t="shared" si="2"/>
        <v>0</v>
      </c>
      <c r="L22" s="359">
        <v>0</v>
      </c>
      <c r="M22" s="362">
        <f t="shared" si="3"/>
        <v>0</v>
      </c>
      <c r="N22" s="359">
        <v>0</v>
      </c>
      <c r="O22" s="362">
        <f t="shared" si="4"/>
        <v>0</v>
      </c>
      <c r="P22" s="359">
        <v>3</v>
      </c>
      <c r="Q22" s="362">
        <f t="shared" si="5"/>
        <v>637500</v>
      </c>
      <c r="R22" s="359">
        <v>3</v>
      </c>
      <c r="S22" s="362">
        <f t="shared" si="6"/>
        <v>637500</v>
      </c>
      <c r="T22" s="492">
        <v>3</v>
      </c>
      <c r="U22" s="362">
        <f t="shared" si="7"/>
        <v>637500</v>
      </c>
      <c r="V22" s="492">
        <v>3</v>
      </c>
      <c r="W22" s="362">
        <f t="shared" si="8"/>
        <v>637500</v>
      </c>
      <c r="X22" s="492">
        <v>3</v>
      </c>
      <c r="Y22" s="362">
        <f t="shared" si="9"/>
        <v>637500</v>
      </c>
      <c r="Z22" s="492">
        <v>3</v>
      </c>
      <c r="AA22" s="362">
        <f t="shared" si="10"/>
        <v>637500</v>
      </c>
      <c r="AB22" s="361"/>
      <c r="AC22" s="342"/>
      <c r="AD22" s="348"/>
    </row>
    <row r="23" spans="1:30" s="349" customFormat="1">
      <c r="A23" s="359" t="s">
        <v>202</v>
      </c>
      <c r="B23" s="359">
        <v>350</v>
      </c>
      <c r="C23" s="504">
        <v>850</v>
      </c>
      <c r="D23" s="359">
        <v>0</v>
      </c>
      <c r="E23" s="362">
        <f>(B23*C23)*D23</f>
        <v>0</v>
      </c>
      <c r="F23" s="359">
        <v>0</v>
      </c>
      <c r="G23" s="362">
        <f t="shared" si="13"/>
        <v>0</v>
      </c>
      <c r="H23" s="359">
        <v>0</v>
      </c>
      <c r="I23" s="362">
        <f t="shared" si="14"/>
        <v>0</v>
      </c>
      <c r="J23" s="359">
        <v>0</v>
      </c>
      <c r="K23" s="362">
        <f t="shared" si="2"/>
        <v>0</v>
      </c>
      <c r="L23" s="359">
        <v>0</v>
      </c>
      <c r="M23" s="362">
        <f t="shared" si="3"/>
        <v>0</v>
      </c>
      <c r="N23" s="359">
        <v>0</v>
      </c>
      <c r="O23" s="362">
        <f t="shared" si="4"/>
        <v>0</v>
      </c>
      <c r="P23" s="359">
        <v>3</v>
      </c>
      <c r="Q23" s="362">
        <f t="shared" si="5"/>
        <v>892500</v>
      </c>
      <c r="R23" s="359">
        <v>3</v>
      </c>
      <c r="S23" s="362">
        <f t="shared" si="6"/>
        <v>892500</v>
      </c>
      <c r="T23" s="492">
        <v>3</v>
      </c>
      <c r="U23" s="362">
        <f t="shared" si="7"/>
        <v>892500</v>
      </c>
      <c r="V23" s="492">
        <v>3</v>
      </c>
      <c r="W23" s="362">
        <f t="shared" si="8"/>
        <v>892500</v>
      </c>
      <c r="X23" s="492">
        <v>3</v>
      </c>
      <c r="Y23" s="362">
        <f t="shared" si="9"/>
        <v>892500</v>
      </c>
      <c r="Z23" s="492">
        <v>3</v>
      </c>
      <c r="AA23" s="362">
        <f t="shared" si="10"/>
        <v>892500</v>
      </c>
      <c r="AB23" s="361"/>
      <c r="AC23" s="342"/>
      <c r="AD23" s="348"/>
    </row>
    <row r="24" spans="1:30" s="349" customFormat="1">
      <c r="A24" s="359" t="s">
        <v>202</v>
      </c>
      <c r="B24" s="359">
        <v>500</v>
      </c>
      <c r="C24" s="504">
        <v>850</v>
      </c>
      <c r="D24" s="359">
        <v>0</v>
      </c>
      <c r="E24" s="362">
        <f>(B24*C24)*D24</f>
        <v>0</v>
      </c>
      <c r="F24" s="359">
        <v>0</v>
      </c>
      <c r="G24" s="362">
        <f t="shared" si="13"/>
        <v>0</v>
      </c>
      <c r="H24" s="359">
        <v>0</v>
      </c>
      <c r="I24" s="362">
        <f t="shared" si="14"/>
        <v>0</v>
      </c>
      <c r="J24" s="359">
        <v>0</v>
      </c>
      <c r="K24" s="362">
        <f t="shared" si="2"/>
        <v>0</v>
      </c>
      <c r="L24" s="359">
        <v>0</v>
      </c>
      <c r="M24" s="362">
        <f t="shared" si="3"/>
        <v>0</v>
      </c>
      <c r="N24" s="359">
        <v>0</v>
      </c>
      <c r="O24" s="362">
        <f t="shared" si="4"/>
        <v>0</v>
      </c>
      <c r="P24" s="359">
        <v>1</v>
      </c>
      <c r="Q24" s="362">
        <f t="shared" si="5"/>
        <v>425000</v>
      </c>
      <c r="R24" s="359">
        <v>1</v>
      </c>
      <c r="S24" s="362">
        <f t="shared" si="6"/>
        <v>425000</v>
      </c>
      <c r="T24" s="492">
        <v>1</v>
      </c>
      <c r="U24" s="362">
        <f t="shared" si="7"/>
        <v>425000</v>
      </c>
      <c r="V24" s="492">
        <v>1</v>
      </c>
      <c r="W24" s="362">
        <f t="shared" si="8"/>
        <v>425000</v>
      </c>
      <c r="X24" s="492">
        <v>1</v>
      </c>
      <c r="Y24" s="362">
        <f t="shared" si="9"/>
        <v>425000</v>
      </c>
      <c r="Z24" s="492">
        <v>1</v>
      </c>
      <c r="AA24" s="362">
        <f t="shared" si="10"/>
        <v>425000</v>
      </c>
      <c r="AB24" s="361"/>
      <c r="AC24" s="342"/>
      <c r="AD24" s="348"/>
    </row>
    <row r="25" spans="1:30" s="349" customFormat="1">
      <c r="A25" s="359"/>
      <c r="B25" s="359"/>
      <c r="C25" s="504"/>
      <c r="D25" s="359"/>
      <c r="E25" s="362"/>
      <c r="F25" s="359"/>
      <c r="G25" s="362"/>
      <c r="H25" s="359"/>
      <c r="I25" s="362"/>
      <c r="J25" s="359"/>
      <c r="K25" s="362">
        <f t="shared" si="2"/>
        <v>0</v>
      </c>
      <c r="L25" s="359"/>
      <c r="M25" s="362">
        <f t="shared" si="3"/>
        <v>0</v>
      </c>
      <c r="N25" s="359"/>
      <c r="O25" s="362">
        <f t="shared" si="4"/>
        <v>0</v>
      </c>
      <c r="P25" s="359"/>
      <c r="Q25" s="362">
        <f t="shared" si="5"/>
        <v>0</v>
      </c>
      <c r="R25" s="359"/>
      <c r="S25" s="362">
        <f t="shared" si="6"/>
        <v>0</v>
      </c>
      <c r="T25" s="492"/>
      <c r="U25" s="362">
        <f t="shared" si="7"/>
        <v>0</v>
      </c>
      <c r="V25" s="492"/>
      <c r="W25" s="362">
        <f t="shared" si="8"/>
        <v>0</v>
      </c>
      <c r="X25" s="492"/>
      <c r="Y25" s="362">
        <f t="shared" si="9"/>
        <v>0</v>
      </c>
      <c r="Z25" s="492"/>
      <c r="AA25" s="362">
        <f t="shared" si="10"/>
        <v>0</v>
      </c>
      <c r="AB25" s="360"/>
      <c r="AC25" s="342"/>
      <c r="AD25" s="348"/>
    </row>
    <row r="26" spans="1:30" s="349" customFormat="1">
      <c r="A26" s="359" t="s">
        <v>203</v>
      </c>
      <c r="B26" s="359">
        <v>100</v>
      </c>
      <c r="C26" s="504">
        <v>850</v>
      </c>
      <c r="D26" s="359">
        <v>0</v>
      </c>
      <c r="E26" s="362">
        <f>(B26*C26)*D26</f>
        <v>0</v>
      </c>
      <c r="F26" s="359">
        <v>0</v>
      </c>
      <c r="G26" s="362">
        <f t="shared" ref="G26:G30" si="15">(B26*C26)*F26</f>
        <v>0</v>
      </c>
      <c r="H26" s="359">
        <v>0</v>
      </c>
      <c r="I26" s="362">
        <f t="shared" ref="I26:I30" si="16">(B26*C26)*H26</f>
        <v>0</v>
      </c>
      <c r="J26" s="359">
        <v>0</v>
      </c>
      <c r="K26" s="362">
        <f t="shared" si="2"/>
        <v>0</v>
      </c>
      <c r="L26" s="359">
        <v>0</v>
      </c>
      <c r="M26" s="362">
        <f t="shared" si="3"/>
        <v>0</v>
      </c>
      <c r="N26" s="359">
        <v>0</v>
      </c>
      <c r="O26" s="362">
        <f t="shared" si="4"/>
        <v>0</v>
      </c>
      <c r="P26" s="359">
        <v>5</v>
      </c>
      <c r="Q26" s="362">
        <f t="shared" si="5"/>
        <v>425000</v>
      </c>
      <c r="R26" s="359">
        <v>5</v>
      </c>
      <c r="S26" s="362">
        <f t="shared" si="6"/>
        <v>425000</v>
      </c>
      <c r="T26" s="492">
        <v>5</v>
      </c>
      <c r="U26" s="362">
        <f t="shared" si="7"/>
        <v>425000</v>
      </c>
      <c r="V26" s="492">
        <v>5</v>
      </c>
      <c r="W26" s="362">
        <f t="shared" si="8"/>
        <v>425000</v>
      </c>
      <c r="X26" s="492">
        <v>5</v>
      </c>
      <c r="Y26" s="362">
        <f t="shared" si="9"/>
        <v>425000</v>
      </c>
      <c r="Z26" s="492">
        <v>5</v>
      </c>
      <c r="AA26" s="362">
        <f t="shared" si="10"/>
        <v>425000</v>
      </c>
      <c r="AB26" s="361"/>
      <c r="AC26" s="342"/>
      <c r="AD26" s="348"/>
    </row>
    <row r="27" spans="1:30" s="349" customFormat="1">
      <c r="A27" s="359" t="s">
        <v>203</v>
      </c>
      <c r="B27" s="359">
        <v>150</v>
      </c>
      <c r="C27" s="504">
        <v>850</v>
      </c>
      <c r="D27" s="359">
        <v>0</v>
      </c>
      <c r="E27" s="362">
        <f>(B27*C27)*D27</f>
        <v>0</v>
      </c>
      <c r="F27" s="359">
        <v>0</v>
      </c>
      <c r="G27" s="362">
        <f t="shared" si="15"/>
        <v>0</v>
      </c>
      <c r="H27" s="359">
        <v>0</v>
      </c>
      <c r="I27" s="362">
        <f t="shared" si="16"/>
        <v>0</v>
      </c>
      <c r="J27" s="359">
        <v>0</v>
      </c>
      <c r="K27" s="362">
        <f t="shared" si="2"/>
        <v>0</v>
      </c>
      <c r="L27" s="359">
        <v>0</v>
      </c>
      <c r="M27" s="362">
        <f t="shared" si="3"/>
        <v>0</v>
      </c>
      <c r="N27" s="359">
        <v>0</v>
      </c>
      <c r="O27" s="362">
        <f t="shared" si="4"/>
        <v>0</v>
      </c>
      <c r="P27" s="359">
        <v>4</v>
      </c>
      <c r="Q27" s="362">
        <f t="shared" si="5"/>
        <v>510000</v>
      </c>
      <c r="R27" s="359">
        <v>4</v>
      </c>
      <c r="S27" s="362">
        <f t="shared" si="6"/>
        <v>510000</v>
      </c>
      <c r="T27" s="492">
        <v>4</v>
      </c>
      <c r="U27" s="362">
        <f t="shared" si="7"/>
        <v>510000</v>
      </c>
      <c r="V27" s="492">
        <v>4</v>
      </c>
      <c r="W27" s="362">
        <f t="shared" si="8"/>
        <v>510000</v>
      </c>
      <c r="X27" s="492">
        <v>4</v>
      </c>
      <c r="Y27" s="362">
        <f t="shared" si="9"/>
        <v>510000</v>
      </c>
      <c r="Z27" s="492">
        <v>4</v>
      </c>
      <c r="AA27" s="362">
        <f t="shared" si="10"/>
        <v>510000</v>
      </c>
      <c r="AB27" s="361"/>
      <c r="AC27" s="342"/>
      <c r="AD27" s="348"/>
    </row>
    <row r="28" spans="1:30" s="349" customFormat="1">
      <c r="A28" s="359" t="s">
        <v>203</v>
      </c>
      <c r="B28" s="359">
        <v>250</v>
      </c>
      <c r="C28" s="504">
        <v>850</v>
      </c>
      <c r="D28" s="359">
        <v>0</v>
      </c>
      <c r="E28" s="362">
        <f>(B28*C28)*D28</f>
        <v>0</v>
      </c>
      <c r="F28" s="359">
        <v>0</v>
      </c>
      <c r="G28" s="362">
        <f t="shared" si="15"/>
        <v>0</v>
      </c>
      <c r="H28" s="359">
        <v>0</v>
      </c>
      <c r="I28" s="362">
        <f t="shared" si="16"/>
        <v>0</v>
      </c>
      <c r="J28" s="359">
        <v>0</v>
      </c>
      <c r="K28" s="362">
        <f t="shared" si="2"/>
        <v>0</v>
      </c>
      <c r="L28" s="359">
        <v>0</v>
      </c>
      <c r="M28" s="362">
        <f t="shared" si="3"/>
        <v>0</v>
      </c>
      <c r="N28" s="359">
        <v>0</v>
      </c>
      <c r="O28" s="362">
        <f t="shared" si="4"/>
        <v>0</v>
      </c>
      <c r="P28" s="359">
        <v>3</v>
      </c>
      <c r="Q28" s="362">
        <f t="shared" si="5"/>
        <v>637500</v>
      </c>
      <c r="R28" s="359">
        <v>3</v>
      </c>
      <c r="S28" s="362">
        <f t="shared" si="6"/>
        <v>637500</v>
      </c>
      <c r="T28" s="492">
        <v>3</v>
      </c>
      <c r="U28" s="362">
        <f t="shared" si="7"/>
        <v>637500</v>
      </c>
      <c r="V28" s="492">
        <v>3</v>
      </c>
      <c r="W28" s="362">
        <f t="shared" si="8"/>
        <v>637500</v>
      </c>
      <c r="X28" s="492">
        <v>3</v>
      </c>
      <c r="Y28" s="362">
        <f t="shared" si="9"/>
        <v>637500</v>
      </c>
      <c r="Z28" s="492">
        <v>3</v>
      </c>
      <c r="AA28" s="362">
        <f t="shared" si="10"/>
        <v>637500</v>
      </c>
      <c r="AB28" s="361"/>
      <c r="AC28" s="342"/>
      <c r="AD28" s="348"/>
    </row>
    <row r="29" spans="1:30" s="349" customFormat="1">
      <c r="A29" s="359" t="s">
        <v>203</v>
      </c>
      <c r="B29" s="359">
        <v>350</v>
      </c>
      <c r="C29" s="504">
        <v>850</v>
      </c>
      <c r="D29" s="359">
        <v>0</v>
      </c>
      <c r="E29" s="362">
        <f>(B29*C29)*D29</f>
        <v>0</v>
      </c>
      <c r="F29" s="359">
        <v>0</v>
      </c>
      <c r="G29" s="362">
        <f t="shared" si="15"/>
        <v>0</v>
      </c>
      <c r="H29" s="359">
        <v>0</v>
      </c>
      <c r="I29" s="362">
        <f t="shared" si="16"/>
        <v>0</v>
      </c>
      <c r="J29" s="359">
        <v>0</v>
      </c>
      <c r="K29" s="362">
        <f t="shared" si="2"/>
        <v>0</v>
      </c>
      <c r="L29" s="359">
        <v>0</v>
      </c>
      <c r="M29" s="362">
        <f t="shared" si="3"/>
        <v>0</v>
      </c>
      <c r="N29" s="359">
        <v>0</v>
      </c>
      <c r="O29" s="362">
        <f t="shared" si="4"/>
        <v>0</v>
      </c>
      <c r="P29" s="359">
        <v>3</v>
      </c>
      <c r="Q29" s="362">
        <f t="shared" si="5"/>
        <v>892500</v>
      </c>
      <c r="R29" s="359">
        <v>3</v>
      </c>
      <c r="S29" s="362">
        <f t="shared" si="6"/>
        <v>892500</v>
      </c>
      <c r="T29" s="492">
        <v>3</v>
      </c>
      <c r="U29" s="362">
        <f t="shared" si="7"/>
        <v>892500</v>
      </c>
      <c r="V29" s="492">
        <v>3</v>
      </c>
      <c r="W29" s="362">
        <f t="shared" si="8"/>
        <v>892500</v>
      </c>
      <c r="X29" s="492">
        <v>3</v>
      </c>
      <c r="Y29" s="362">
        <f t="shared" si="9"/>
        <v>892500</v>
      </c>
      <c r="Z29" s="492">
        <v>3</v>
      </c>
      <c r="AA29" s="362">
        <f t="shared" si="10"/>
        <v>892500</v>
      </c>
      <c r="AB29" s="361"/>
      <c r="AC29" s="342"/>
      <c r="AD29" s="348"/>
    </row>
    <row r="30" spans="1:30" s="349" customFormat="1">
      <c r="A30" s="359" t="s">
        <v>203</v>
      </c>
      <c r="B30" s="359">
        <v>500</v>
      </c>
      <c r="C30" s="504">
        <v>850</v>
      </c>
      <c r="D30" s="359">
        <v>0</v>
      </c>
      <c r="E30" s="362">
        <f>(B30*C30)*D30</f>
        <v>0</v>
      </c>
      <c r="F30" s="359">
        <v>0</v>
      </c>
      <c r="G30" s="362">
        <f t="shared" si="15"/>
        <v>0</v>
      </c>
      <c r="H30" s="359">
        <v>0</v>
      </c>
      <c r="I30" s="362">
        <f t="shared" si="16"/>
        <v>0</v>
      </c>
      <c r="J30" s="359">
        <v>0</v>
      </c>
      <c r="K30" s="362">
        <f t="shared" si="2"/>
        <v>0</v>
      </c>
      <c r="L30" s="359">
        <v>0</v>
      </c>
      <c r="M30" s="362">
        <f t="shared" si="3"/>
        <v>0</v>
      </c>
      <c r="N30" s="359">
        <v>0</v>
      </c>
      <c r="O30" s="362">
        <f t="shared" si="4"/>
        <v>0</v>
      </c>
      <c r="P30" s="359">
        <v>1</v>
      </c>
      <c r="Q30" s="362">
        <f t="shared" si="5"/>
        <v>425000</v>
      </c>
      <c r="R30" s="359">
        <v>1</v>
      </c>
      <c r="S30" s="362">
        <f t="shared" si="6"/>
        <v>425000</v>
      </c>
      <c r="T30" s="492">
        <v>1</v>
      </c>
      <c r="U30" s="362">
        <f t="shared" si="7"/>
        <v>425000</v>
      </c>
      <c r="V30" s="492">
        <v>1</v>
      </c>
      <c r="W30" s="362">
        <f t="shared" si="8"/>
        <v>425000</v>
      </c>
      <c r="X30" s="492">
        <v>1</v>
      </c>
      <c r="Y30" s="362">
        <f t="shared" si="9"/>
        <v>425000</v>
      </c>
      <c r="Z30" s="492">
        <v>1</v>
      </c>
      <c r="AA30" s="362">
        <f t="shared" si="10"/>
        <v>425000</v>
      </c>
      <c r="AB30" s="361"/>
      <c r="AC30" s="342"/>
      <c r="AD30" s="348"/>
    </row>
    <row r="31" spans="1:30" s="349" customFormat="1">
      <c r="A31" s="359"/>
      <c r="B31" s="359"/>
      <c r="C31" s="504"/>
      <c r="D31" s="359"/>
      <c r="E31" s="362"/>
      <c r="F31" s="359"/>
      <c r="G31" s="362"/>
      <c r="H31" s="359"/>
      <c r="I31" s="362"/>
      <c r="J31" s="359"/>
      <c r="K31" s="362"/>
      <c r="L31" s="359"/>
      <c r="M31" s="362"/>
      <c r="N31" s="359"/>
      <c r="O31" s="362"/>
      <c r="P31" s="359"/>
      <c r="Q31" s="362"/>
      <c r="R31" s="359"/>
      <c r="S31" s="362"/>
      <c r="T31" s="492"/>
      <c r="U31" s="362"/>
      <c r="V31" s="492"/>
      <c r="W31" s="362"/>
      <c r="X31" s="492"/>
      <c r="Y31" s="362"/>
      <c r="Z31" s="492"/>
      <c r="AA31" s="362"/>
      <c r="AB31" s="361"/>
      <c r="AC31" s="342"/>
      <c r="AD31" s="348"/>
    </row>
    <row r="32" spans="1:30" s="349" customFormat="1">
      <c r="A32" s="474"/>
      <c r="B32" s="474"/>
      <c r="C32" s="505"/>
      <c r="D32" s="529">
        <v>0.1</v>
      </c>
      <c r="E32" s="476">
        <f>SUM(E10:E30)</f>
        <v>0</v>
      </c>
      <c r="F32" s="529">
        <v>0.1</v>
      </c>
      <c r="G32" s="475">
        <f>SUM(G10:G30)</f>
        <v>0</v>
      </c>
      <c r="H32" s="529">
        <v>0.1</v>
      </c>
      <c r="I32" s="475">
        <f>SUM(I10:I30)</f>
        <v>0</v>
      </c>
      <c r="J32" s="529">
        <v>0.1</v>
      </c>
      <c r="K32" s="475">
        <f>SUM(K10:K30)</f>
        <v>0</v>
      </c>
      <c r="L32" s="529">
        <v>0.1</v>
      </c>
      <c r="M32" s="475">
        <f>SUM(M10:M30)</f>
        <v>0</v>
      </c>
      <c r="N32" s="474">
        <v>0.1</v>
      </c>
      <c r="O32" s="475">
        <f>SUM(O10:O30)</f>
        <v>0</v>
      </c>
      <c r="P32" s="474">
        <v>0.1</v>
      </c>
      <c r="Q32" s="475">
        <f>SUM(Q10:Q30)</f>
        <v>9182550</v>
      </c>
      <c r="R32" s="474">
        <v>0.1</v>
      </c>
      <c r="S32" s="475">
        <f>SUM(S10:S30)</f>
        <v>9182550</v>
      </c>
      <c r="T32" s="515">
        <v>0.1</v>
      </c>
      <c r="U32" s="475">
        <f>SUM(U10:U30)</f>
        <v>9182550</v>
      </c>
      <c r="V32" s="515">
        <v>0.1</v>
      </c>
      <c r="W32" s="475">
        <f>SUM(W10:W31)</f>
        <v>9182550</v>
      </c>
      <c r="X32" s="515">
        <v>0.1</v>
      </c>
      <c r="Y32" s="475">
        <f>SUM(Y10:Y31)</f>
        <v>9182550</v>
      </c>
      <c r="Z32" s="515">
        <v>0.1</v>
      </c>
      <c r="AA32" s="475">
        <f>SUM(AA10:AA31)</f>
        <v>9182550</v>
      </c>
      <c r="AB32" s="476"/>
      <c r="AC32" s="342"/>
      <c r="AD32" s="473"/>
    </row>
    <row r="33" spans="1:30" s="349" customFormat="1">
      <c r="A33" s="486"/>
      <c r="B33" s="486"/>
      <c r="C33" s="506"/>
      <c r="D33" s="486"/>
      <c r="E33" s="487">
        <f>E32*D32</f>
        <v>0</v>
      </c>
      <c r="F33" s="486"/>
      <c r="G33" s="487">
        <f>G32*F32</f>
        <v>0</v>
      </c>
      <c r="H33" s="486"/>
      <c r="I33" s="487">
        <f>I32*H32</f>
        <v>0</v>
      </c>
      <c r="J33" s="486"/>
      <c r="K33" s="487">
        <f>K32*J32</f>
        <v>0</v>
      </c>
      <c r="L33" s="486"/>
      <c r="M33" s="487">
        <f>M32*L32</f>
        <v>0</v>
      </c>
      <c r="N33" s="486"/>
      <c r="O33" s="487">
        <f>O32*N32</f>
        <v>0</v>
      </c>
      <c r="P33" s="486"/>
      <c r="Q33" s="487">
        <f>Q32*P32</f>
        <v>918255</v>
      </c>
      <c r="R33" s="486"/>
      <c r="S33" s="487">
        <f>S32*R32</f>
        <v>918255</v>
      </c>
      <c r="T33" s="518"/>
      <c r="U33" s="487">
        <f>U32*T32</f>
        <v>918255</v>
      </c>
      <c r="V33" s="518"/>
      <c r="W33" s="487">
        <f>W32*V32</f>
        <v>918255</v>
      </c>
      <c r="X33" s="518"/>
      <c r="Y33" s="487">
        <f>Y32*X32</f>
        <v>918255</v>
      </c>
      <c r="Z33" s="518"/>
      <c r="AA33" s="487">
        <f>AA32*Z32</f>
        <v>918255</v>
      </c>
      <c r="AB33" s="488">
        <f>SUM(AA33,Y33,W33,U33,S33,Q33,O33,M33,K33,I33,G33,E33)</f>
        <v>5509530</v>
      </c>
      <c r="AC33" s="342"/>
      <c r="AD33" s="473"/>
    </row>
    <row r="34" spans="1:30" s="349" customFormat="1">
      <c r="A34" s="359"/>
      <c r="B34" s="359"/>
      <c r="C34" s="504"/>
      <c r="D34" s="359"/>
      <c r="E34" s="360"/>
      <c r="F34" s="359"/>
      <c r="G34" s="362"/>
      <c r="H34" s="359"/>
      <c r="I34" s="362"/>
      <c r="J34" s="359"/>
      <c r="K34" s="362">
        <f t="shared" ref="K34:K55" si="17">(B34*C34)*J34</f>
        <v>0</v>
      </c>
      <c r="L34" s="359"/>
      <c r="M34" s="362">
        <f t="shared" ref="M34:M55" si="18">(B34*C34)*L34</f>
        <v>0</v>
      </c>
      <c r="N34" s="359"/>
      <c r="O34" s="362">
        <f t="shared" ref="O34:O55" si="19">(B34*C34)*N34</f>
        <v>0</v>
      </c>
      <c r="P34" s="359"/>
      <c r="Q34" s="362">
        <f t="shared" ref="Q34:Q55" si="20">(B34*C34)*P34</f>
        <v>0</v>
      </c>
      <c r="R34" s="359"/>
      <c r="S34" s="362">
        <f t="shared" ref="S34:S55" si="21">(B34*C34)*R34</f>
        <v>0</v>
      </c>
      <c r="T34" s="492"/>
      <c r="U34" s="362">
        <f t="shared" ref="U34:U55" si="22">(B34*C34)*T34</f>
        <v>0</v>
      </c>
      <c r="V34" s="492"/>
      <c r="W34" s="362">
        <f t="shared" ref="W34:W55" si="23">(B34*C34)*V34</f>
        <v>0</v>
      </c>
      <c r="X34" s="492"/>
      <c r="Y34" s="362">
        <f t="shared" ref="Y34:Y55" si="24">(B34*C34)*X34</f>
        <v>0</v>
      </c>
      <c r="Z34" s="492"/>
      <c r="AA34" s="362">
        <f t="shared" ref="AA34:AA55" si="25">(B34*C34)*Z34</f>
        <v>0</v>
      </c>
      <c r="AB34" s="360"/>
      <c r="AC34" s="342"/>
      <c r="AD34" s="348"/>
    </row>
    <row r="35" spans="1:30" s="349" customFormat="1">
      <c r="A35" s="359" t="s">
        <v>204</v>
      </c>
      <c r="B35" s="359">
        <v>26</v>
      </c>
      <c r="C35" s="504">
        <v>15000</v>
      </c>
      <c r="D35" s="491">
        <v>0</v>
      </c>
      <c r="E35" s="362">
        <f>(B35*C35)*D35</f>
        <v>0</v>
      </c>
      <c r="F35" s="491">
        <v>0</v>
      </c>
      <c r="G35" s="362">
        <f t="shared" ref="G35:G38" si="26">(B35*C35)*F35</f>
        <v>0</v>
      </c>
      <c r="H35" s="491">
        <v>0</v>
      </c>
      <c r="I35" s="362">
        <f t="shared" ref="I35:I38" si="27">(B35*C35)*H35</f>
        <v>0</v>
      </c>
      <c r="J35" s="359">
        <v>0</v>
      </c>
      <c r="K35" s="362">
        <f t="shared" si="17"/>
        <v>0</v>
      </c>
      <c r="L35" s="359">
        <v>0</v>
      </c>
      <c r="M35" s="362">
        <f t="shared" si="18"/>
        <v>0</v>
      </c>
      <c r="N35" s="359">
        <v>0</v>
      </c>
      <c r="O35" s="362">
        <f t="shared" si="19"/>
        <v>0</v>
      </c>
      <c r="P35" s="359">
        <v>10</v>
      </c>
      <c r="Q35" s="362">
        <f t="shared" si="20"/>
        <v>3900000</v>
      </c>
      <c r="R35" s="359">
        <v>10</v>
      </c>
      <c r="S35" s="362">
        <f t="shared" si="21"/>
        <v>3900000</v>
      </c>
      <c r="T35" s="492">
        <v>10</v>
      </c>
      <c r="U35" s="362">
        <f t="shared" si="22"/>
        <v>3900000</v>
      </c>
      <c r="V35" s="492">
        <v>10</v>
      </c>
      <c r="W35" s="362">
        <f t="shared" si="23"/>
        <v>3900000</v>
      </c>
      <c r="X35" s="492">
        <v>10</v>
      </c>
      <c r="Y35" s="362">
        <f t="shared" si="24"/>
        <v>3900000</v>
      </c>
      <c r="Z35" s="492">
        <v>10</v>
      </c>
      <c r="AA35" s="362">
        <f t="shared" si="25"/>
        <v>3900000</v>
      </c>
      <c r="AB35" s="361"/>
      <c r="AC35" s="342"/>
      <c r="AD35" s="348"/>
    </row>
    <row r="36" spans="1:30" s="349" customFormat="1">
      <c r="A36" s="359" t="s">
        <v>204</v>
      </c>
      <c r="B36" s="359">
        <v>33</v>
      </c>
      <c r="C36" s="504">
        <v>15000</v>
      </c>
      <c r="D36" s="492">
        <v>0</v>
      </c>
      <c r="E36" s="362">
        <f>(B36*C36)*D36</f>
        <v>0</v>
      </c>
      <c r="F36" s="492">
        <v>0</v>
      </c>
      <c r="G36" s="362">
        <f t="shared" si="26"/>
        <v>0</v>
      </c>
      <c r="H36" s="492">
        <v>0</v>
      </c>
      <c r="I36" s="362">
        <f t="shared" si="27"/>
        <v>0</v>
      </c>
      <c r="J36" s="359">
        <v>0</v>
      </c>
      <c r="K36" s="362">
        <f t="shared" si="17"/>
        <v>0</v>
      </c>
      <c r="L36" s="359">
        <v>0</v>
      </c>
      <c r="M36" s="362">
        <f t="shared" si="18"/>
        <v>0</v>
      </c>
      <c r="N36" s="359">
        <v>0</v>
      </c>
      <c r="O36" s="362">
        <f t="shared" si="19"/>
        <v>0</v>
      </c>
      <c r="P36" s="359">
        <v>5</v>
      </c>
      <c r="Q36" s="362">
        <f t="shared" si="20"/>
        <v>2475000</v>
      </c>
      <c r="R36" s="359">
        <v>5</v>
      </c>
      <c r="S36" s="362">
        <f t="shared" si="21"/>
        <v>2475000</v>
      </c>
      <c r="T36" s="492">
        <v>5</v>
      </c>
      <c r="U36" s="362">
        <f t="shared" si="22"/>
        <v>2475000</v>
      </c>
      <c r="V36" s="492">
        <v>5</v>
      </c>
      <c r="W36" s="362">
        <f t="shared" si="23"/>
        <v>2475000</v>
      </c>
      <c r="X36" s="492">
        <v>5</v>
      </c>
      <c r="Y36" s="362">
        <f t="shared" si="24"/>
        <v>2475000</v>
      </c>
      <c r="Z36" s="492">
        <v>5</v>
      </c>
      <c r="AA36" s="362">
        <f t="shared" si="25"/>
        <v>2475000</v>
      </c>
      <c r="AB36" s="361"/>
      <c r="AC36" s="342"/>
      <c r="AD36" s="348"/>
    </row>
    <row r="37" spans="1:30" s="349" customFormat="1">
      <c r="A37" s="359" t="s">
        <v>204</v>
      </c>
      <c r="B37" s="359">
        <v>64</v>
      </c>
      <c r="C37" s="504">
        <v>15000</v>
      </c>
      <c r="D37" s="492">
        <v>0</v>
      </c>
      <c r="E37" s="362">
        <f>(B37*C37)*D37</f>
        <v>0</v>
      </c>
      <c r="F37" s="492">
        <v>0</v>
      </c>
      <c r="G37" s="362">
        <f t="shared" si="26"/>
        <v>0</v>
      </c>
      <c r="H37" s="492">
        <v>0</v>
      </c>
      <c r="I37" s="362">
        <f t="shared" si="27"/>
        <v>0</v>
      </c>
      <c r="J37" s="359">
        <v>0</v>
      </c>
      <c r="K37" s="362">
        <f t="shared" si="17"/>
        <v>0</v>
      </c>
      <c r="L37" s="359">
        <v>0</v>
      </c>
      <c r="M37" s="362">
        <f t="shared" si="18"/>
        <v>0</v>
      </c>
      <c r="N37" s="359">
        <v>0</v>
      </c>
      <c r="O37" s="362">
        <f t="shared" si="19"/>
        <v>0</v>
      </c>
      <c r="P37" s="359">
        <v>2</v>
      </c>
      <c r="Q37" s="362">
        <f t="shared" si="20"/>
        <v>1920000</v>
      </c>
      <c r="R37" s="359">
        <v>2</v>
      </c>
      <c r="S37" s="362">
        <f t="shared" si="21"/>
        <v>1920000</v>
      </c>
      <c r="T37" s="492">
        <v>2</v>
      </c>
      <c r="U37" s="362">
        <f t="shared" si="22"/>
        <v>1920000</v>
      </c>
      <c r="V37" s="492">
        <v>2</v>
      </c>
      <c r="W37" s="362">
        <f t="shared" si="23"/>
        <v>1920000</v>
      </c>
      <c r="X37" s="492">
        <v>2</v>
      </c>
      <c r="Y37" s="362">
        <f t="shared" si="24"/>
        <v>1920000</v>
      </c>
      <c r="Z37" s="492">
        <v>2</v>
      </c>
      <c r="AA37" s="362">
        <f t="shared" si="25"/>
        <v>1920000</v>
      </c>
      <c r="AB37" s="361"/>
      <c r="AC37" s="342"/>
      <c r="AD37" s="348"/>
    </row>
    <row r="38" spans="1:30" s="349" customFormat="1">
      <c r="A38" s="359" t="s">
        <v>204</v>
      </c>
      <c r="B38" s="359">
        <v>100</v>
      </c>
      <c r="C38" s="504">
        <v>15000</v>
      </c>
      <c r="D38" s="492">
        <v>0</v>
      </c>
      <c r="E38" s="362">
        <f>(B38*C38)*D38</f>
        <v>0</v>
      </c>
      <c r="F38" s="492">
        <v>0</v>
      </c>
      <c r="G38" s="362">
        <f t="shared" si="26"/>
        <v>0</v>
      </c>
      <c r="H38" s="492">
        <v>0</v>
      </c>
      <c r="I38" s="362">
        <f t="shared" si="27"/>
        <v>0</v>
      </c>
      <c r="J38" s="359">
        <v>0</v>
      </c>
      <c r="K38" s="362">
        <f t="shared" si="17"/>
        <v>0</v>
      </c>
      <c r="L38" s="359">
        <v>0</v>
      </c>
      <c r="M38" s="362">
        <f t="shared" si="18"/>
        <v>0</v>
      </c>
      <c r="N38" s="359">
        <v>0</v>
      </c>
      <c r="O38" s="362">
        <f t="shared" si="19"/>
        <v>0</v>
      </c>
      <c r="P38" s="359">
        <v>0</v>
      </c>
      <c r="Q38" s="362">
        <f t="shared" si="20"/>
        <v>0</v>
      </c>
      <c r="R38" s="359">
        <v>0</v>
      </c>
      <c r="S38" s="362">
        <f t="shared" si="21"/>
        <v>0</v>
      </c>
      <c r="T38" s="492">
        <v>0</v>
      </c>
      <c r="U38" s="362">
        <f t="shared" si="22"/>
        <v>0</v>
      </c>
      <c r="V38" s="492">
        <v>0</v>
      </c>
      <c r="W38" s="362">
        <f t="shared" si="23"/>
        <v>0</v>
      </c>
      <c r="X38" s="492">
        <v>0</v>
      </c>
      <c r="Y38" s="362">
        <f t="shared" si="24"/>
        <v>0</v>
      </c>
      <c r="Z38" s="492">
        <v>0</v>
      </c>
      <c r="AA38" s="362">
        <f t="shared" si="25"/>
        <v>0</v>
      </c>
      <c r="AB38" s="361"/>
      <c r="AC38" s="342"/>
      <c r="AD38" s="348"/>
    </row>
    <row r="39" spans="1:30" s="349" customFormat="1">
      <c r="A39" s="359"/>
      <c r="B39" s="359"/>
      <c r="C39" s="504"/>
      <c r="D39" s="492"/>
      <c r="E39" s="362"/>
      <c r="F39" s="492"/>
      <c r="G39" s="362"/>
      <c r="H39" s="492"/>
      <c r="I39" s="362"/>
      <c r="J39" s="359"/>
      <c r="K39" s="362">
        <f t="shared" si="17"/>
        <v>0</v>
      </c>
      <c r="L39" s="359"/>
      <c r="M39" s="362">
        <f t="shared" si="18"/>
        <v>0</v>
      </c>
      <c r="N39" s="359"/>
      <c r="O39" s="362">
        <f t="shared" si="19"/>
        <v>0</v>
      </c>
      <c r="P39" s="359"/>
      <c r="Q39" s="362">
        <f t="shared" si="20"/>
        <v>0</v>
      </c>
      <c r="R39" s="359"/>
      <c r="S39" s="362">
        <f t="shared" si="21"/>
        <v>0</v>
      </c>
      <c r="T39" s="492"/>
      <c r="U39" s="362">
        <f t="shared" si="22"/>
        <v>0</v>
      </c>
      <c r="V39" s="492"/>
      <c r="W39" s="362">
        <f t="shared" si="23"/>
        <v>0</v>
      </c>
      <c r="X39" s="492"/>
      <c r="Y39" s="362">
        <f t="shared" si="24"/>
        <v>0</v>
      </c>
      <c r="Z39" s="492"/>
      <c r="AA39" s="362">
        <f t="shared" si="25"/>
        <v>0</v>
      </c>
      <c r="AB39" s="361"/>
      <c r="AC39" s="342"/>
      <c r="AD39" s="348"/>
    </row>
    <row r="40" spans="1:30" s="349" customFormat="1">
      <c r="A40" s="359" t="s">
        <v>205</v>
      </c>
      <c r="B40" s="359">
        <v>150</v>
      </c>
      <c r="C40" s="504">
        <v>15000</v>
      </c>
      <c r="D40" s="492">
        <v>0</v>
      </c>
      <c r="E40" s="362">
        <f>(B40*C40)*D40</f>
        <v>0</v>
      </c>
      <c r="F40" s="492">
        <v>0</v>
      </c>
      <c r="G40" s="362">
        <f t="shared" ref="G40:G43" si="28">(B40*C40)*F40</f>
        <v>0</v>
      </c>
      <c r="H40" s="492">
        <v>0</v>
      </c>
      <c r="I40" s="362">
        <f t="shared" ref="I40:I43" si="29">(B40*C40)*H40</f>
        <v>0</v>
      </c>
      <c r="J40" s="359">
        <v>0</v>
      </c>
      <c r="K40" s="362">
        <f t="shared" si="17"/>
        <v>0</v>
      </c>
      <c r="L40" s="359">
        <v>0</v>
      </c>
      <c r="M40" s="362">
        <f t="shared" si="18"/>
        <v>0</v>
      </c>
      <c r="N40" s="359">
        <v>0</v>
      </c>
      <c r="O40" s="362">
        <f t="shared" si="19"/>
        <v>0</v>
      </c>
      <c r="P40" s="359">
        <v>10</v>
      </c>
      <c r="Q40" s="362">
        <f>(B40*C40)*P40</f>
        <v>22500000</v>
      </c>
      <c r="R40" s="359">
        <v>10</v>
      </c>
      <c r="S40" s="362">
        <f t="shared" si="21"/>
        <v>22500000</v>
      </c>
      <c r="T40" s="492">
        <v>10</v>
      </c>
      <c r="U40" s="362">
        <f t="shared" si="22"/>
        <v>22500000</v>
      </c>
      <c r="V40" s="492">
        <v>10</v>
      </c>
      <c r="W40" s="362">
        <f t="shared" si="23"/>
        <v>22500000</v>
      </c>
      <c r="X40" s="492">
        <v>10</v>
      </c>
      <c r="Y40" s="362">
        <f t="shared" si="24"/>
        <v>22500000</v>
      </c>
      <c r="Z40" s="492">
        <v>10</v>
      </c>
      <c r="AA40" s="362">
        <f t="shared" si="25"/>
        <v>22500000</v>
      </c>
      <c r="AB40" s="361"/>
      <c r="AC40" s="342"/>
      <c r="AD40" s="348"/>
    </row>
    <row r="41" spans="1:30" s="349" customFormat="1">
      <c r="A41" s="359" t="s">
        <v>205</v>
      </c>
      <c r="B41" s="359">
        <v>250</v>
      </c>
      <c r="C41" s="504">
        <v>15000</v>
      </c>
      <c r="D41" s="492">
        <v>0</v>
      </c>
      <c r="E41" s="362">
        <f>(B41*C41)*D41</f>
        <v>0</v>
      </c>
      <c r="F41" s="492">
        <v>0</v>
      </c>
      <c r="G41" s="362">
        <f t="shared" si="28"/>
        <v>0</v>
      </c>
      <c r="H41" s="492">
        <v>0</v>
      </c>
      <c r="I41" s="362">
        <f t="shared" si="29"/>
        <v>0</v>
      </c>
      <c r="J41" s="359">
        <v>0</v>
      </c>
      <c r="K41" s="362">
        <f t="shared" si="17"/>
        <v>0</v>
      </c>
      <c r="L41" s="359">
        <v>0</v>
      </c>
      <c r="M41" s="362">
        <f t="shared" si="18"/>
        <v>0</v>
      </c>
      <c r="N41" s="359">
        <v>0</v>
      </c>
      <c r="O41" s="362">
        <f t="shared" si="19"/>
        <v>0</v>
      </c>
      <c r="P41" s="359">
        <v>5</v>
      </c>
      <c r="Q41" s="362">
        <f t="shared" si="20"/>
        <v>18750000</v>
      </c>
      <c r="R41" s="359">
        <v>5</v>
      </c>
      <c r="S41" s="362">
        <f t="shared" si="21"/>
        <v>18750000</v>
      </c>
      <c r="T41" s="492">
        <v>5</v>
      </c>
      <c r="U41" s="362">
        <f t="shared" si="22"/>
        <v>18750000</v>
      </c>
      <c r="V41" s="492">
        <v>5</v>
      </c>
      <c r="W41" s="362">
        <f t="shared" si="23"/>
        <v>18750000</v>
      </c>
      <c r="X41" s="492">
        <v>5</v>
      </c>
      <c r="Y41" s="362">
        <f t="shared" si="24"/>
        <v>18750000</v>
      </c>
      <c r="Z41" s="492">
        <v>5</v>
      </c>
      <c r="AA41" s="362">
        <f t="shared" si="25"/>
        <v>18750000</v>
      </c>
      <c r="AB41" s="361"/>
      <c r="AC41" s="342"/>
      <c r="AD41" s="348"/>
    </row>
    <row r="42" spans="1:30" s="349" customFormat="1">
      <c r="A42" s="359" t="s">
        <v>205</v>
      </c>
      <c r="B42" s="359">
        <v>350</v>
      </c>
      <c r="C42" s="504">
        <v>15000</v>
      </c>
      <c r="D42" s="492">
        <v>0</v>
      </c>
      <c r="E42" s="362">
        <f>(B42*C42)*D42</f>
        <v>0</v>
      </c>
      <c r="F42" s="492">
        <v>0</v>
      </c>
      <c r="G42" s="362">
        <f t="shared" si="28"/>
        <v>0</v>
      </c>
      <c r="H42" s="492">
        <v>0</v>
      </c>
      <c r="I42" s="362">
        <f t="shared" si="29"/>
        <v>0</v>
      </c>
      <c r="J42" s="359">
        <v>0</v>
      </c>
      <c r="K42" s="362">
        <f t="shared" si="17"/>
        <v>0</v>
      </c>
      <c r="L42" s="359">
        <v>0</v>
      </c>
      <c r="M42" s="362">
        <f t="shared" si="18"/>
        <v>0</v>
      </c>
      <c r="N42" s="359">
        <v>0</v>
      </c>
      <c r="O42" s="362">
        <f t="shared" si="19"/>
        <v>0</v>
      </c>
      <c r="P42" s="359">
        <v>2</v>
      </c>
      <c r="Q42" s="362">
        <f t="shared" si="20"/>
        <v>10500000</v>
      </c>
      <c r="R42" s="359">
        <v>2</v>
      </c>
      <c r="S42" s="362">
        <f t="shared" si="21"/>
        <v>10500000</v>
      </c>
      <c r="T42" s="492">
        <v>2</v>
      </c>
      <c r="U42" s="362">
        <f t="shared" si="22"/>
        <v>10500000</v>
      </c>
      <c r="V42" s="492">
        <v>2</v>
      </c>
      <c r="W42" s="362">
        <f t="shared" si="23"/>
        <v>10500000</v>
      </c>
      <c r="X42" s="492">
        <v>2</v>
      </c>
      <c r="Y42" s="362">
        <f t="shared" si="24"/>
        <v>10500000</v>
      </c>
      <c r="Z42" s="492">
        <v>2</v>
      </c>
      <c r="AA42" s="362">
        <f t="shared" si="25"/>
        <v>10500000</v>
      </c>
      <c r="AB42" s="361"/>
      <c r="AC42" s="342"/>
      <c r="AD42" s="348"/>
    </row>
    <row r="43" spans="1:30" s="349" customFormat="1">
      <c r="A43" s="359" t="s">
        <v>205</v>
      </c>
      <c r="B43" s="359">
        <v>500</v>
      </c>
      <c r="C43" s="504">
        <v>15000</v>
      </c>
      <c r="D43" s="492">
        <v>0</v>
      </c>
      <c r="E43" s="362">
        <f>(B43*C43)*D43</f>
        <v>0</v>
      </c>
      <c r="F43" s="492">
        <v>0</v>
      </c>
      <c r="G43" s="362">
        <f t="shared" si="28"/>
        <v>0</v>
      </c>
      <c r="H43" s="492">
        <v>0</v>
      </c>
      <c r="I43" s="362">
        <f t="shared" si="29"/>
        <v>0</v>
      </c>
      <c r="J43" s="359">
        <v>0</v>
      </c>
      <c r="K43" s="362">
        <f t="shared" si="17"/>
        <v>0</v>
      </c>
      <c r="L43" s="359">
        <v>0</v>
      </c>
      <c r="M43" s="362">
        <f t="shared" si="18"/>
        <v>0</v>
      </c>
      <c r="N43" s="359">
        <v>0</v>
      </c>
      <c r="O43" s="362">
        <f t="shared" si="19"/>
        <v>0</v>
      </c>
      <c r="P43" s="359">
        <v>0</v>
      </c>
      <c r="Q43" s="362">
        <f t="shared" si="20"/>
        <v>0</v>
      </c>
      <c r="R43" s="359">
        <v>0</v>
      </c>
      <c r="S43" s="362">
        <f t="shared" si="21"/>
        <v>0</v>
      </c>
      <c r="T43" s="492">
        <v>0</v>
      </c>
      <c r="U43" s="362">
        <f t="shared" si="22"/>
        <v>0</v>
      </c>
      <c r="V43" s="492">
        <v>0</v>
      </c>
      <c r="W43" s="362">
        <f t="shared" si="23"/>
        <v>0</v>
      </c>
      <c r="X43" s="492">
        <v>0</v>
      </c>
      <c r="Y43" s="362">
        <f t="shared" si="24"/>
        <v>0</v>
      </c>
      <c r="Z43" s="492">
        <v>0</v>
      </c>
      <c r="AA43" s="362">
        <f t="shared" si="25"/>
        <v>0</v>
      </c>
      <c r="AB43" s="361"/>
      <c r="AC43" s="342"/>
      <c r="AD43" s="348"/>
    </row>
    <row r="44" spans="1:30" s="349" customFormat="1">
      <c r="A44" s="359"/>
      <c r="B44" s="359"/>
      <c r="C44" s="504"/>
      <c r="D44" s="492"/>
      <c r="E44" s="362"/>
      <c r="F44" s="492"/>
      <c r="G44" s="362"/>
      <c r="H44" s="492"/>
      <c r="I44" s="362"/>
      <c r="J44" s="359"/>
      <c r="K44" s="362">
        <f t="shared" si="17"/>
        <v>0</v>
      </c>
      <c r="L44" s="359"/>
      <c r="M44" s="362">
        <f t="shared" si="18"/>
        <v>0</v>
      </c>
      <c r="N44" s="359"/>
      <c r="O44" s="362">
        <f t="shared" si="19"/>
        <v>0</v>
      </c>
      <c r="P44" s="359"/>
      <c r="Q44" s="362">
        <f t="shared" si="20"/>
        <v>0</v>
      </c>
      <c r="R44" s="359"/>
      <c r="S44" s="362">
        <f t="shared" si="21"/>
        <v>0</v>
      </c>
      <c r="T44" s="492"/>
      <c r="U44" s="362">
        <f t="shared" si="22"/>
        <v>0</v>
      </c>
      <c r="V44" s="492"/>
      <c r="W44" s="362">
        <f t="shared" si="23"/>
        <v>0</v>
      </c>
      <c r="X44" s="492"/>
      <c r="Y44" s="362">
        <f t="shared" si="24"/>
        <v>0</v>
      </c>
      <c r="Z44" s="492"/>
      <c r="AA44" s="362">
        <f t="shared" si="25"/>
        <v>0</v>
      </c>
      <c r="AB44" s="361"/>
      <c r="AC44" s="342"/>
      <c r="AD44" s="348"/>
    </row>
    <row r="45" spans="1:30" s="349" customFormat="1">
      <c r="A45" s="359" t="s">
        <v>206</v>
      </c>
      <c r="B45" s="359">
        <v>100</v>
      </c>
      <c r="C45" s="504">
        <v>20000</v>
      </c>
      <c r="D45" s="492">
        <v>0</v>
      </c>
      <c r="E45" s="362">
        <f>(B45*C45)*D45</f>
        <v>0</v>
      </c>
      <c r="F45" s="492">
        <v>0</v>
      </c>
      <c r="G45" s="362">
        <f t="shared" ref="G45:G49" si="30">(B45*C45)*F45</f>
        <v>0</v>
      </c>
      <c r="H45" s="492">
        <v>0</v>
      </c>
      <c r="I45" s="362">
        <f t="shared" ref="I45:I49" si="31">(B45*C45)*H45</f>
        <v>0</v>
      </c>
      <c r="J45" s="359">
        <v>0</v>
      </c>
      <c r="K45" s="362">
        <f t="shared" si="17"/>
        <v>0</v>
      </c>
      <c r="L45" s="359">
        <v>0</v>
      </c>
      <c r="M45" s="362">
        <f t="shared" si="18"/>
        <v>0</v>
      </c>
      <c r="N45" s="359">
        <v>0</v>
      </c>
      <c r="O45" s="362">
        <f t="shared" si="19"/>
        <v>0</v>
      </c>
      <c r="P45" s="359">
        <v>5</v>
      </c>
      <c r="Q45" s="362">
        <f t="shared" si="20"/>
        <v>10000000</v>
      </c>
      <c r="R45" s="359">
        <v>5</v>
      </c>
      <c r="S45" s="362">
        <f t="shared" si="21"/>
        <v>10000000</v>
      </c>
      <c r="T45" s="492">
        <v>5</v>
      </c>
      <c r="U45" s="362">
        <f t="shared" si="22"/>
        <v>10000000</v>
      </c>
      <c r="V45" s="492">
        <v>5</v>
      </c>
      <c r="W45" s="362">
        <f t="shared" si="23"/>
        <v>10000000</v>
      </c>
      <c r="X45" s="492">
        <v>5</v>
      </c>
      <c r="Y45" s="362">
        <f t="shared" si="24"/>
        <v>10000000</v>
      </c>
      <c r="Z45" s="492">
        <v>5</v>
      </c>
      <c r="AA45" s="362">
        <f t="shared" si="25"/>
        <v>10000000</v>
      </c>
      <c r="AB45" s="361"/>
      <c r="AC45" s="342"/>
      <c r="AD45" s="348"/>
    </row>
    <row r="46" spans="1:30" s="349" customFormat="1">
      <c r="A46" s="359" t="s">
        <v>206</v>
      </c>
      <c r="B46" s="359">
        <v>150</v>
      </c>
      <c r="C46" s="504">
        <v>20000</v>
      </c>
      <c r="D46" s="492">
        <v>0</v>
      </c>
      <c r="E46" s="362">
        <f>(B46*C46)*D46</f>
        <v>0</v>
      </c>
      <c r="F46" s="492">
        <v>0</v>
      </c>
      <c r="G46" s="362">
        <f t="shared" si="30"/>
        <v>0</v>
      </c>
      <c r="H46" s="492">
        <v>0</v>
      </c>
      <c r="I46" s="362">
        <f t="shared" si="31"/>
        <v>0</v>
      </c>
      <c r="J46" s="359">
        <v>0</v>
      </c>
      <c r="K46" s="362">
        <f t="shared" si="17"/>
        <v>0</v>
      </c>
      <c r="L46" s="359">
        <v>0</v>
      </c>
      <c r="M46" s="362">
        <f t="shared" si="18"/>
        <v>0</v>
      </c>
      <c r="N46" s="359">
        <v>0</v>
      </c>
      <c r="O46" s="362">
        <f t="shared" si="19"/>
        <v>0</v>
      </c>
      <c r="P46" s="359">
        <v>4</v>
      </c>
      <c r="Q46" s="362">
        <f t="shared" si="20"/>
        <v>12000000</v>
      </c>
      <c r="R46" s="359">
        <v>4</v>
      </c>
      <c r="S46" s="362">
        <f t="shared" si="21"/>
        <v>12000000</v>
      </c>
      <c r="T46" s="492">
        <v>4</v>
      </c>
      <c r="U46" s="362">
        <f t="shared" si="22"/>
        <v>12000000</v>
      </c>
      <c r="V46" s="492">
        <v>4</v>
      </c>
      <c r="W46" s="362">
        <f t="shared" si="23"/>
        <v>12000000</v>
      </c>
      <c r="X46" s="492">
        <v>4</v>
      </c>
      <c r="Y46" s="362">
        <f t="shared" si="24"/>
        <v>12000000</v>
      </c>
      <c r="Z46" s="492">
        <v>4</v>
      </c>
      <c r="AA46" s="362">
        <f t="shared" si="25"/>
        <v>12000000</v>
      </c>
      <c r="AB46" s="361"/>
      <c r="AC46" s="342"/>
      <c r="AD46" s="348"/>
    </row>
    <row r="47" spans="1:30" s="349" customFormat="1">
      <c r="A47" s="359" t="s">
        <v>206</v>
      </c>
      <c r="B47" s="359">
        <v>250</v>
      </c>
      <c r="C47" s="504">
        <v>20000</v>
      </c>
      <c r="D47" s="492">
        <v>0</v>
      </c>
      <c r="E47" s="362">
        <f>(B47*C47)*D47</f>
        <v>0</v>
      </c>
      <c r="F47" s="492">
        <v>0</v>
      </c>
      <c r="G47" s="362">
        <f t="shared" si="30"/>
        <v>0</v>
      </c>
      <c r="H47" s="492">
        <v>0</v>
      </c>
      <c r="I47" s="362">
        <f t="shared" si="31"/>
        <v>0</v>
      </c>
      <c r="J47" s="359">
        <v>0</v>
      </c>
      <c r="K47" s="362">
        <f t="shared" si="17"/>
        <v>0</v>
      </c>
      <c r="L47" s="359">
        <v>0</v>
      </c>
      <c r="M47" s="362">
        <f t="shared" si="18"/>
        <v>0</v>
      </c>
      <c r="N47" s="359">
        <v>0</v>
      </c>
      <c r="O47" s="362">
        <f t="shared" si="19"/>
        <v>0</v>
      </c>
      <c r="P47" s="359">
        <v>3</v>
      </c>
      <c r="Q47" s="362">
        <f t="shared" si="20"/>
        <v>15000000</v>
      </c>
      <c r="R47" s="359">
        <v>3</v>
      </c>
      <c r="S47" s="362">
        <f t="shared" si="21"/>
        <v>15000000</v>
      </c>
      <c r="T47" s="492">
        <v>3</v>
      </c>
      <c r="U47" s="362">
        <f t="shared" si="22"/>
        <v>15000000</v>
      </c>
      <c r="V47" s="492">
        <v>3</v>
      </c>
      <c r="W47" s="362">
        <f t="shared" si="23"/>
        <v>15000000</v>
      </c>
      <c r="X47" s="492">
        <v>3</v>
      </c>
      <c r="Y47" s="362">
        <f t="shared" si="24"/>
        <v>15000000</v>
      </c>
      <c r="Z47" s="492">
        <v>3</v>
      </c>
      <c r="AA47" s="362">
        <f t="shared" si="25"/>
        <v>15000000</v>
      </c>
      <c r="AB47" s="361"/>
      <c r="AC47" s="342"/>
      <c r="AD47" s="348"/>
    </row>
    <row r="48" spans="1:30" s="349" customFormat="1">
      <c r="A48" s="359" t="s">
        <v>206</v>
      </c>
      <c r="B48" s="359">
        <v>350</v>
      </c>
      <c r="C48" s="504">
        <v>20000</v>
      </c>
      <c r="D48" s="492">
        <v>0</v>
      </c>
      <c r="E48" s="362">
        <f>(B48*C48)*D48</f>
        <v>0</v>
      </c>
      <c r="F48" s="492">
        <v>0</v>
      </c>
      <c r="G48" s="362">
        <f t="shared" si="30"/>
        <v>0</v>
      </c>
      <c r="H48" s="492">
        <v>0</v>
      </c>
      <c r="I48" s="362">
        <f t="shared" si="31"/>
        <v>0</v>
      </c>
      <c r="J48" s="359">
        <v>0</v>
      </c>
      <c r="K48" s="362">
        <f t="shared" si="17"/>
        <v>0</v>
      </c>
      <c r="L48" s="359">
        <v>0</v>
      </c>
      <c r="M48" s="362">
        <f t="shared" si="18"/>
        <v>0</v>
      </c>
      <c r="N48" s="359">
        <v>0</v>
      </c>
      <c r="O48" s="362">
        <f t="shared" si="19"/>
        <v>0</v>
      </c>
      <c r="P48" s="359">
        <v>3</v>
      </c>
      <c r="Q48" s="362">
        <f t="shared" si="20"/>
        <v>21000000</v>
      </c>
      <c r="R48" s="359">
        <v>3</v>
      </c>
      <c r="S48" s="362">
        <f t="shared" si="21"/>
        <v>21000000</v>
      </c>
      <c r="T48" s="492">
        <v>3</v>
      </c>
      <c r="U48" s="362">
        <f t="shared" si="22"/>
        <v>21000000</v>
      </c>
      <c r="V48" s="492">
        <v>3</v>
      </c>
      <c r="W48" s="362">
        <f t="shared" si="23"/>
        <v>21000000</v>
      </c>
      <c r="X48" s="492">
        <v>3</v>
      </c>
      <c r="Y48" s="362">
        <f t="shared" si="24"/>
        <v>21000000</v>
      </c>
      <c r="Z48" s="492">
        <v>3</v>
      </c>
      <c r="AA48" s="362">
        <f t="shared" si="25"/>
        <v>21000000</v>
      </c>
      <c r="AB48" s="361"/>
      <c r="AC48" s="342"/>
      <c r="AD48" s="348"/>
    </row>
    <row r="49" spans="1:30" s="349" customFormat="1">
      <c r="A49" s="359" t="s">
        <v>206</v>
      </c>
      <c r="B49" s="359">
        <v>500</v>
      </c>
      <c r="C49" s="504">
        <v>20000</v>
      </c>
      <c r="D49" s="492">
        <v>0</v>
      </c>
      <c r="E49" s="362">
        <f>(B49*C49)*D49</f>
        <v>0</v>
      </c>
      <c r="F49" s="492">
        <v>0</v>
      </c>
      <c r="G49" s="362">
        <f t="shared" si="30"/>
        <v>0</v>
      </c>
      <c r="H49" s="492">
        <v>0</v>
      </c>
      <c r="I49" s="362">
        <f t="shared" si="31"/>
        <v>0</v>
      </c>
      <c r="J49" s="359">
        <v>0</v>
      </c>
      <c r="K49" s="362">
        <f t="shared" si="17"/>
        <v>0</v>
      </c>
      <c r="L49" s="359">
        <v>0</v>
      </c>
      <c r="M49" s="362">
        <f t="shared" si="18"/>
        <v>0</v>
      </c>
      <c r="N49" s="359">
        <v>0</v>
      </c>
      <c r="O49" s="362">
        <f t="shared" si="19"/>
        <v>0</v>
      </c>
      <c r="P49" s="359">
        <v>1</v>
      </c>
      <c r="Q49" s="362">
        <f t="shared" si="20"/>
        <v>10000000</v>
      </c>
      <c r="R49" s="359">
        <v>1</v>
      </c>
      <c r="S49" s="362">
        <f t="shared" si="21"/>
        <v>10000000</v>
      </c>
      <c r="T49" s="492">
        <v>1</v>
      </c>
      <c r="U49" s="362">
        <f t="shared" si="22"/>
        <v>10000000</v>
      </c>
      <c r="V49" s="492">
        <v>1</v>
      </c>
      <c r="W49" s="362">
        <f t="shared" si="23"/>
        <v>10000000</v>
      </c>
      <c r="X49" s="492">
        <v>1</v>
      </c>
      <c r="Y49" s="362">
        <f t="shared" si="24"/>
        <v>10000000</v>
      </c>
      <c r="Z49" s="492">
        <v>1</v>
      </c>
      <c r="AA49" s="362">
        <f t="shared" si="25"/>
        <v>10000000</v>
      </c>
      <c r="AB49" s="361"/>
      <c r="AC49" s="342"/>
      <c r="AD49" s="348"/>
    </row>
    <row r="50" spans="1:30">
      <c r="A50" s="359"/>
      <c r="B50" s="359"/>
      <c r="C50" s="504"/>
      <c r="D50" s="492"/>
      <c r="E50" s="360"/>
      <c r="F50" s="492"/>
      <c r="G50" s="362"/>
      <c r="H50" s="492"/>
      <c r="I50" s="362"/>
      <c r="J50" s="359"/>
      <c r="K50" s="362">
        <f t="shared" si="17"/>
        <v>0</v>
      </c>
      <c r="L50" s="359"/>
      <c r="M50" s="362">
        <f t="shared" si="18"/>
        <v>0</v>
      </c>
      <c r="N50" s="359"/>
      <c r="O50" s="362">
        <f t="shared" si="19"/>
        <v>0</v>
      </c>
      <c r="P50" s="359"/>
      <c r="Q50" s="362">
        <f t="shared" si="20"/>
        <v>0</v>
      </c>
      <c r="R50" s="359"/>
      <c r="S50" s="362">
        <f t="shared" si="21"/>
        <v>0</v>
      </c>
      <c r="T50" s="492"/>
      <c r="U50" s="362">
        <f t="shared" si="22"/>
        <v>0</v>
      </c>
      <c r="V50" s="492"/>
      <c r="W50" s="362">
        <f t="shared" si="23"/>
        <v>0</v>
      </c>
      <c r="X50" s="492"/>
      <c r="Y50" s="362">
        <f t="shared" si="24"/>
        <v>0</v>
      </c>
      <c r="Z50" s="492"/>
      <c r="AA50" s="362">
        <f t="shared" si="25"/>
        <v>0</v>
      </c>
      <c r="AB50" s="361"/>
      <c r="AD50" s="350"/>
    </row>
    <row r="51" spans="1:30" s="349" customFormat="1">
      <c r="A51" s="359" t="s">
        <v>207</v>
      </c>
      <c r="B51" s="359">
        <v>100</v>
      </c>
      <c r="C51" s="504">
        <v>10000</v>
      </c>
      <c r="D51" s="492">
        <v>0</v>
      </c>
      <c r="E51" s="362">
        <f>(B51*C51)*D51</f>
        <v>0</v>
      </c>
      <c r="F51" s="492">
        <v>0</v>
      </c>
      <c r="G51" s="362">
        <f t="shared" ref="G51:G55" si="32">(B51*C51)*F51</f>
        <v>0</v>
      </c>
      <c r="H51" s="492">
        <v>0</v>
      </c>
      <c r="I51" s="362">
        <f t="shared" ref="I51:I55" si="33">(B51*C51)*H51</f>
        <v>0</v>
      </c>
      <c r="J51" s="359">
        <v>0</v>
      </c>
      <c r="K51" s="362">
        <f t="shared" si="17"/>
        <v>0</v>
      </c>
      <c r="L51" s="359">
        <v>0</v>
      </c>
      <c r="M51" s="362">
        <f t="shared" si="18"/>
        <v>0</v>
      </c>
      <c r="N51" s="359">
        <v>0</v>
      </c>
      <c r="O51" s="362">
        <f t="shared" si="19"/>
        <v>0</v>
      </c>
      <c r="P51" s="359">
        <v>5</v>
      </c>
      <c r="Q51" s="362">
        <f t="shared" si="20"/>
        <v>5000000</v>
      </c>
      <c r="R51" s="359">
        <v>5</v>
      </c>
      <c r="S51" s="362">
        <f t="shared" si="21"/>
        <v>5000000</v>
      </c>
      <c r="T51" s="492">
        <v>5</v>
      </c>
      <c r="U51" s="362">
        <f t="shared" si="22"/>
        <v>5000000</v>
      </c>
      <c r="V51" s="492">
        <v>5</v>
      </c>
      <c r="W51" s="362">
        <f t="shared" si="23"/>
        <v>5000000</v>
      </c>
      <c r="X51" s="492">
        <v>5</v>
      </c>
      <c r="Y51" s="362">
        <f t="shared" si="24"/>
        <v>5000000</v>
      </c>
      <c r="Z51" s="492">
        <v>5</v>
      </c>
      <c r="AA51" s="362">
        <f t="shared" si="25"/>
        <v>5000000</v>
      </c>
      <c r="AB51" s="361"/>
      <c r="AC51" s="342"/>
      <c r="AD51" s="348"/>
    </row>
    <row r="52" spans="1:30" s="349" customFormat="1">
      <c r="A52" s="359" t="s">
        <v>207</v>
      </c>
      <c r="B52" s="359">
        <v>150</v>
      </c>
      <c r="C52" s="504">
        <v>10000</v>
      </c>
      <c r="D52" s="492">
        <v>0</v>
      </c>
      <c r="E52" s="362">
        <f>(B52*C52)*D52</f>
        <v>0</v>
      </c>
      <c r="F52" s="492">
        <v>0</v>
      </c>
      <c r="G52" s="362">
        <f t="shared" si="32"/>
        <v>0</v>
      </c>
      <c r="H52" s="492">
        <v>0</v>
      </c>
      <c r="I52" s="362">
        <f t="shared" si="33"/>
        <v>0</v>
      </c>
      <c r="J52" s="359">
        <v>0</v>
      </c>
      <c r="K52" s="362">
        <f t="shared" si="17"/>
        <v>0</v>
      </c>
      <c r="L52" s="359">
        <v>0</v>
      </c>
      <c r="M52" s="362">
        <f t="shared" si="18"/>
        <v>0</v>
      </c>
      <c r="N52" s="359">
        <v>0</v>
      </c>
      <c r="O52" s="362">
        <f t="shared" si="19"/>
        <v>0</v>
      </c>
      <c r="P52" s="359">
        <v>4</v>
      </c>
      <c r="Q52" s="362">
        <f t="shared" si="20"/>
        <v>6000000</v>
      </c>
      <c r="R52" s="359">
        <v>4</v>
      </c>
      <c r="S52" s="362">
        <f t="shared" si="21"/>
        <v>6000000</v>
      </c>
      <c r="T52" s="492">
        <v>4</v>
      </c>
      <c r="U52" s="362">
        <f t="shared" si="22"/>
        <v>6000000</v>
      </c>
      <c r="V52" s="492">
        <v>4</v>
      </c>
      <c r="W52" s="362">
        <f t="shared" si="23"/>
        <v>6000000</v>
      </c>
      <c r="X52" s="492">
        <v>4</v>
      </c>
      <c r="Y52" s="362">
        <f t="shared" si="24"/>
        <v>6000000</v>
      </c>
      <c r="Z52" s="492">
        <v>4</v>
      </c>
      <c r="AA52" s="362">
        <f t="shared" si="25"/>
        <v>6000000</v>
      </c>
      <c r="AB52" s="361"/>
      <c r="AC52" s="342"/>
      <c r="AD52" s="348"/>
    </row>
    <row r="53" spans="1:30" s="349" customFormat="1">
      <c r="A53" s="359" t="s">
        <v>207</v>
      </c>
      <c r="B53" s="359">
        <v>250</v>
      </c>
      <c r="C53" s="504">
        <v>10000</v>
      </c>
      <c r="D53" s="492">
        <v>0</v>
      </c>
      <c r="E53" s="362">
        <f>(B53*C53)*D53</f>
        <v>0</v>
      </c>
      <c r="F53" s="492">
        <v>0</v>
      </c>
      <c r="G53" s="362">
        <f t="shared" si="32"/>
        <v>0</v>
      </c>
      <c r="H53" s="492">
        <v>0</v>
      </c>
      <c r="I53" s="362">
        <f t="shared" si="33"/>
        <v>0</v>
      </c>
      <c r="J53" s="359">
        <v>0</v>
      </c>
      <c r="K53" s="362">
        <f t="shared" si="17"/>
        <v>0</v>
      </c>
      <c r="L53" s="359">
        <v>0</v>
      </c>
      <c r="M53" s="362">
        <f t="shared" si="18"/>
        <v>0</v>
      </c>
      <c r="N53" s="359">
        <v>0</v>
      </c>
      <c r="O53" s="362">
        <f t="shared" si="19"/>
        <v>0</v>
      </c>
      <c r="P53" s="359">
        <v>3</v>
      </c>
      <c r="Q53" s="362">
        <f t="shared" si="20"/>
        <v>7500000</v>
      </c>
      <c r="R53" s="359">
        <v>3</v>
      </c>
      <c r="S53" s="362">
        <f t="shared" si="21"/>
        <v>7500000</v>
      </c>
      <c r="T53" s="492">
        <v>3</v>
      </c>
      <c r="U53" s="362">
        <f t="shared" si="22"/>
        <v>7500000</v>
      </c>
      <c r="V53" s="492">
        <v>3</v>
      </c>
      <c r="W53" s="362">
        <f t="shared" si="23"/>
        <v>7500000</v>
      </c>
      <c r="X53" s="492">
        <v>3</v>
      </c>
      <c r="Y53" s="362">
        <f t="shared" si="24"/>
        <v>7500000</v>
      </c>
      <c r="Z53" s="492">
        <v>3</v>
      </c>
      <c r="AA53" s="362">
        <f t="shared" si="25"/>
        <v>7500000</v>
      </c>
      <c r="AB53" s="361"/>
      <c r="AC53" s="342"/>
      <c r="AD53" s="348"/>
    </row>
    <row r="54" spans="1:30" s="349" customFormat="1">
      <c r="A54" s="359" t="s">
        <v>207</v>
      </c>
      <c r="B54" s="359">
        <v>350</v>
      </c>
      <c r="C54" s="504">
        <v>10000</v>
      </c>
      <c r="D54" s="492">
        <v>0</v>
      </c>
      <c r="E54" s="362">
        <f>(B54*C54)*D54</f>
        <v>0</v>
      </c>
      <c r="F54" s="492">
        <v>0</v>
      </c>
      <c r="G54" s="362">
        <f t="shared" si="32"/>
        <v>0</v>
      </c>
      <c r="H54" s="492">
        <v>0</v>
      </c>
      <c r="I54" s="362">
        <f t="shared" si="33"/>
        <v>0</v>
      </c>
      <c r="J54" s="359">
        <v>0</v>
      </c>
      <c r="K54" s="362">
        <f t="shared" si="17"/>
        <v>0</v>
      </c>
      <c r="L54" s="359">
        <v>0</v>
      </c>
      <c r="M54" s="362">
        <f t="shared" si="18"/>
        <v>0</v>
      </c>
      <c r="N54" s="359">
        <v>0</v>
      </c>
      <c r="O54" s="362">
        <f t="shared" si="19"/>
        <v>0</v>
      </c>
      <c r="P54" s="359">
        <v>3</v>
      </c>
      <c r="Q54" s="362">
        <f t="shared" si="20"/>
        <v>10500000</v>
      </c>
      <c r="R54" s="359">
        <v>3</v>
      </c>
      <c r="S54" s="362">
        <f t="shared" si="21"/>
        <v>10500000</v>
      </c>
      <c r="T54" s="492">
        <v>3</v>
      </c>
      <c r="U54" s="362">
        <f t="shared" si="22"/>
        <v>10500000</v>
      </c>
      <c r="V54" s="492">
        <v>3</v>
      </c>
      <c r="W54" s="362">
        <f t="shared" si="23"/>
        <v>10500000</v>
      </c>
      <c r="X54" s="492">
        <v>3</v>
      </c>
      <c r="Y54" s="362">
        <f t="shared" si="24"/>
        <v>10500000</v>
      </c>
      <c r="Z54" s="492">
        <v>3</v>
      </c>
      <c r="AA54" s="362">
        <f t="shared" si="25"/>
        <v>10500000</v>
      </c>
      <c r="AB54" s="361"/>
      <c r="AC54" s="342"/>
      <c r="AD54" s="348"/>
    </row>
    <row r="55" spans="1:30" s="349" customFormat="1">
      <c r="A55" s="359" t="s">
        <v>207</v>
      </c>
      <c r="B55" s="359">
        <v>500</v>
      </c>
      <c r="C55" s="504">
        <v>10000</v>
      </c>
      <c r="D55" s="492">
        <v>0</v>
      </c>
      <c r="E55" s="362">
        <f>(B55*C55)*D55</f>
        <v>0</v>
      </c>
      <c r="F55" s="492">
        <v>0</v>
      </c>
      <c r="G55" s="362">
        <f t="shared" si="32"/>
        <v>0</v>
      </c>
      <c r="H55" s="492">
        <v>0</v>
      </c>
      <c r="I55" s="362">
        <f t="shared" si="33"/>
        <v>0</v>
      </c>
      <c r="J55" s="359">
        <v>0</v>
      </c>
      <c r="K55" s="362">
        <f t="shared" si="17"/>
        <v>0</v>
      </c>
      <c r="L55" s="359">
        <v>0</v>
      </c>
      <c r="M55" s="362">
        <f t="shared" si="18"/>
        <v>0</v>
      </c>
      <c r="N55" s="359">
        <v>0</v>
      </c>
      <c r="O55" s="362">
        <f t="shared" si="19"/>
        <v>0</v>
      </c>
      <c r="P55" s="359">
        <v>1</v>
      </c>
      <c r="Q55" s="362">
        <f t="shared" si="20"/>
        <v>5000000</v>
      </c>
      <c r="R55" s="359">
        <v>1</v>
      </c>
      <c r="S55" s="362">
        <f t="shared" si="21"/>
        <v>5000000</v>
      </c>
      <c r="T55" s="492">
        <v>1</v>
      </c>
      <c r="U55" s="362">
        <f t="shared" si="22"/>
        <v>5000000</v>
      </c>
      <c r="V55" s="492">
        <v>1</v>
      </c>
      <c r="W55" s="362">
        <f t="shared" si="23"/>
        <v>5000000</v>
      </c>
      <c r="X55" s="492">
        <v>1</v>
      </c>
      <c r="Y55" s="362">
        <f t="shared" si="24"/>
        <v>5000000</v>
      </c>
      <c r="Z55" s="492">
        <v>1</v>
      </c>
      <c r="AA55" s="362">
        <f t="shared" si="25"/>
        <v>5000000</v>
      </c>
      <c r="AB55" s="361"/>
      <c r="AC55" s="342"/>
      <c r="AD55" s="348"/>
    </row>
    <row r="56" spans="1:30" s="349" customFormat="1">
      <c r="A56" s="359"/>
      <c r="B56" s="359"/>
      <c r="C56" s="504"/>
      <c r="D56" s="359"/>
      <c r="E56" s="362"/>
      <c r="F56" s="359"/>
      <c r="G56" s="362"/>
      <c r="H56" s="359"/>
      <c r="I56" s="362"/>
      <c r="J56" s="359"/>
      <c r="K56" s="362"/>
      <c r="L56" s="359"/>
      <c r="M56" s="362"/>
      <c r="N56" s="359"/>
      <c r="O56" s="362"/>
      <c r="P56" s="359"/>
      <c r="Q56" s="362"/>
      <c r="R56" s="359"/>
      <c r="S56" s="362"/>
      <c r="T56" s="492"/>
      <c r="U56" s="362"/>
      <c r="V56" s="492"/>
      <c r="W56" s="362"/>
      <c r="X56" s="492"/>
      <c r="Y56" s="362"/>
      <c r="Z56" s="492"/>
      <c r="AA56" s="362"/>
      <c r="AB56" s="360"/>
      <c r="AC56" s="342"/>
      <c r="AD56" s="348"/>
    </row>
    <row r="57" spans="1:30" s="479" customFormat="1">
      <c r="A57" s="474"/>
      <c r="B57" s="474"/>
      <c r="C57" s="505"/>
      <c r="D57" s="474">
        <v>0.05</v>
      </c>
      <c r="E57" s="475">
        <f>SUM(E35:E55)</f>
        <v>0</v>
      </c>
      <c r="F57" s="474">
        <v>0.05</v>
      </c>
      <c r="G57" s="475">
        <f>SUM(G35:G55)</f>
        <v>0</v>
      </c>
      <c r="H57" s="474">
        <v>0.05</v>
      </c>
      <c r="I57" s="475">
        <f>SUM(I35:I55)</f>
        <v>0</v>
      </c>
      <c r="J57" s="474">
        <v>0.05</v>
      </c>
      <c r="K57" s="475">
        <f>SUM(K35:K55)</f>
        <v>0</v>
      </c>
      <c r="L57" s="474">
        <v>0.05</v>
      </c>
      <c r="M57" s="475">
        <f>SUM(M35:M55)</f>
        <v>0</v>
      </c>
      <c r="N57" s="474">
        <v>0.05</v>
      </c>
      <c r="O57" s="475">
        <f>SUM(O35:O55)</f>
        <v>0</v>
      </c>
      <c r="P57" s="474">
        <v>0.05</v>
      </c>
      <c r="Q57" s="475">
        <f>SUM(Q35:Q55)</f>
        <v>162045000</v>
      </c>
      <c r="R57" s="474">
        <v>0.05</v>
      </c>
      <c r="S57" s="475">
        <f>SUM(S35:S55)</f>
        <v>162045000</v>
      </c>
      <c r="T57" s="515">
        <v>0.05</v>
      </c>
      <c r="U57" s="475">
        <f>SUM(U35:U55)</f>
        <v>162045000</v>
      </c>
      <c r="V57" s="515">
        <v>0.05</v>
      </c>
      <c r="W57" s="475">
        <f>SUM(W35:W55)</f>
        <v>162045000</v>
      </c>
      <c r="X57" s="515">
        <v>0.05</v>
      </c>
      <c r="Y57" s="475">
        <f>SUM(Y35:Y55)</f>
        <v>162045000</v>
      </c>
      <c r="Z57" s="515">
        <v>0.05</v>
      </c>
      <c r="AA57" s="475">
        <f>SUM(AA35:AA55)</f>
        <v>162045000</v>
      </c>
      <c r="AB57" s="476"/>
      <c r="AC57" s="477"/>
      <c r="AD57" s="478"/>
    </row>
    <row r="58" spans="1:30" s="485" customFormat="1">
      <c r="A58" s="480"/>
      <c r="B58" s="480"/>
      <c r="C58" s="507"/>
      <c r="D58" s="480"/>
      <c r="E58" s="481">
        <f>E57*D57</f>
        <v>0</v>
      </c>
      <c r="F58" s="480"/>
      <c r="G58" s="482">
        <f>G57*F57</f>
        <v>0</v>
      </c>
      <c r="H58" s="480"/>
      <c r="I58" s="481">
        <f>I57*H57</f>
        <v>0</v>
      </c>
      <c r="J58" s="480"/>
      <c r="K58" s="481">
        <f>K57*J57</f>
        <v>0</v>
      </c>
      <c r="L58" s="480"/>
      <c r="M58" s="481">
        <f>M57*L57</f>
        <v>0</v>
      </c>
      <c r="N58" s="480"/>
      <c r="O58" s="481">
        <f>O57*N57</f>
        <v>0</v>
      </c>
      <c r="P58" s="480"/>
      <c r="Q58" s="481">
        <f>Q57*P57</f>
        <v>8102250</v>
      </c>
      <c r="R58" s="480"/>
      <c r="S58" s="481">
        <f>S57*R57</f>
        <v>8102250</v>
      </c>
      <c r="T58" s="516"/>
      <c r="U58" s="481">
        <f>U57*T57</f>
        <v>8102250</v>
      </c>
      <c r="V58" s="516"/>
      <c r="W58" s="481">
        <f>W57*V57</f>
        <v>8102250</v>
      </c>
      <c r="X58" s="516"/>
      <c r="Y58" s="481">
        <f>Y57*X57</f>
        <v>8102250</v>
      </c>
      <c r="Z58" s="516"/>
      <c r="AA58" s="481">
        <f>AA57*Z57</f>
        <v>8102250</v>
      </c>
      <c r="AB58" s="481">
        <f>SUM(AA58,Y58,W58,U58,S58,Q58,O58,M58,K58,I58,G58,E58)</f>
        <v>48613500</v>
      </c>
      <c r="AC58" s="483"/>
      <c r="AD58" s="484"/>
    </row>
    <row r="59" spans="1:30" s="349" customFormat="1">
      <c r="A59" s="359"/>
      <c r="B59" s="359"/>
      <c r="C59" s="504"/>
      <c r="D59" s="359"/>
      <c r="E59" s="360"/>
      <c r="F59" s="359"/>
      <c r="G59" s="362"/>
      <c r="H59" s="359"/>
      <c r="I59" s="362"/>
      <c r="J59" s="359"/>
      <c r="K59" s="362"/>
      <c r="L59" s="359"/>
      <c r="M59" s="362"/>
      <c r="N59" s="359"/>
      <c r="O59" s="362"/>
      <c r="P59" s="359"/>
      <c r="Q59" s="362"/>
      <c r="R59" s="359"/>
      <c r="S59" s="362"/>
      <c r="T59" s="492"/>
      <c r="U59" s="362"/>
      <c r="V59" s="492"/>
      <c r="W59" s="362"/>
      <c r="X59" s="492"/>
      <c r="Y59" s="362"/>
      <c r="Z59" s="492"/>
      <c r="AA59" s="362"/>
      <c r="AB59" s="360"/>
      <c r="AC59" s="342"/>
      <c r="AD59" s="348"/>
    </row>
    <row r="60" spans="1:30" s="349" customFormat="1">
      <c r="A60" s="359" t="s">
        <v>217</v>
      </c>
      <c r="B60" s="359">
        <v>26</v>
      </c>
      <c r="C60" s="504">
        <v>3500</v>
      </c>
      <c r="D60" s="491">
        <v>0</v>
      </c>
      <c r="E60" s="362">
        <f>D60*C60</f>
        <v>0</v>
      </c>
      <c r="F60" s="491">
        <v>0</v>
      </c>
      <c r="G60" s="362">
        <f>F60*C60</f>
        <v>0</v>
      </c>
      <c r="H60" s="491">
        <v>0</v>
      </c>
      <c r="I60" s="362">
        <f>H60*C60</f>
        <v>0</v>
      </c>
      <c r="J60" s="359">
        <v>0</v>
      </c>
      <c r="K60" s="362">
        <f>J60*C60</f>
        <v>0</v>
      </c>
      <c r="L60" s="359">
        <v>0</v>
      </c>
      <c r="M60" s="362">
        <f>L60*C60</f>
        <v>0</v>
      </c>
      <c r="N60" s="359">
        <v>0</v>
      </c>
      <c r="O60" s="362">
        <f>N60*C60</f>
        <v>0</v>
      </c>
      <c r="P60" s="359">
        <v>10</v>
      </c>
      <c r="Q60" s="362">
        <f>P60*C60</f>
        <v>35000</v>
      </c>
      <c r="R60" s="359">
        <v>10</v>
      </c>
      <c r="S60" s="362">
        <f>R60*C60</f>
        <v>35000</v>
      </c>
      <c r="T60" s="492">
        <v>10</v>
      </c>
      <c r="U60" s="362">
        <f>T60*C60</f>
        <v>35000</v>
      </c>
      <c r="V60" s="492">
        <v>10</v>
      </c>
      <c r="W60" s="362">
        <f>V60*C60</f>
        <v>35000</v>
      </c>
      <c r="X60" s="492">
        <v>10</v>
      </c>
      <c r="Y60" s="362">
        <f>X60*C60</f>
        <v>35000</v>
      </c>
      <c r="Z60" s="492">
        <v>10</v>
      </c>
      <c r="AA60" s="362">
        <f>Z60*C60</f>
        <v>35000</v>
      </c>
      <c r="AB60" s="361"/>
      <c r="AC60" s="342"/>
      <c r="AD60" s="348"/>
    </row>
    <row r="61" spans="1:30" s="349" customFormat="1">
      <c r="A61" s="359" t="s">
        <v>217</v>
      </c>
      <c r="B61" s="359">
        <v>33</v>
      </c>
      <c r="C61" s="504">
        <v>4500</v>
      </c>
      <c r="D61" s="492">
        <v>0</v>
      </c>
      <c r="E61" s="362">
        <f>D61*C61</f>
        <v>0</v>
      </c>
      <c r="F61" s="492">
        <v>0</v>
      </c>
      <c r="G61" s="362">
        <f>F61*C61</f>
        <v>0</v>
      </c>
      <c r="H61" s="492">
        <v>0</v>
      </c>
      <c r="I61" s="362">
        <f>H61*C61</f>
        <v>0</v>
      </c>
      <c r="J61" s="359">
        <v>0</v>
      </c>
      <c r="K61" s="362">
        <f>J61*C61</f>
        <v>0</v>
      </c>
      <c r="L61" s="359">
        <v>0</v>
      </c>
      <c r="M61" s="362">
        <f>L61*C61</f>
        <v>0</v>
      </c>
      <c r="N61" s="359">
        <v>0</v>
      </c>
      <c r="O61" s="362">
        <f>N61*C61</f>
        <v>0</v>
      </c>
      <c r="P61" s="359">
        <v>5</v>
      </c>
      <c r="Q61" s="362">
        <f>P61*C61</f>
        <v>22500</v>
      </c>
      <c r="R61" s="359">
        <v>5</v>
      </c>
      <c r="S61" s="362">
        <f>R61*C61</f>
        <v>22500</v>
      </c>
      <c r="T61" s="492">
        <v>5</v>
      </c>
      <c r="U61" s="362">
        <f>T61*C61</f>
        <v>22500</v>
      </c>
      <c r="V61" s="492">
        <v>5</v>
      </c>
      <c r="W61" s="362">
        <f>V61*C61</f>
        <v>22500</v>
      </c>
      <c r="X61" s="492">
        <v>5</v>
      </c>
      <c r="Y61" s="362">
        <f>X61*C61</f>
        <v>22500</v>
      </c>
      <c r="Z61" s="492">
        <v>5</v>
      </c>
      <c r="AA61" s="362">
        <f>Z61*C61</f>
        <v>22500</v>
      </c>
      <c r="AB61" s="361"/>
      <c r="AC61" s="342"/>
      <c r="AD61" s="348"/>
    </row>
    <row r="62" spans="1:30" s="349" customFormat="1">
      <c r="A62" s="359" t="s">
        <v>217</v>
      </c>
      <c r="B62" s="359">
        <v>64</v>
      </c>
      <c r="C62" s="504">
        <v>5500</v>
      </c>
      <c r="D62" s="492">
        <v>0</v>
      </c>
      <c r="E62" s="362">
        <f>D62*C62</f>
        <v>0</v>
      </c>
      <c r="F62" s="492">
        <v>0</v>
      </c>
      <c r="G62" s="362">
        <f>F62*C62</f>
        <v>0</v>
      </c>
      <c r="H62" s="492">
        <v>0</v>
      </c>
      <c r="I62" s="362">
        <f>H62*C62</f>
        <v>0</v>
      </c>
      <c r="J62" s="359">
        <v>0</v>
      </c>
      <c r="K62" s="362">
        <f>J62*C62</f>
        <v>0</v>
      </c>
      <c r="L62" s="359">
        <v>0</v>
      </c>
      <c r="M62" s="362">
        <f>L62*C62</f>
        <v>0</v>
      </c>
      <c r="N62" s="359">
        <v>0</v>
      </c>
      <c r="O62" s="362">
        <f>N62*C62</f>
        <v>0</v>
      </c>
      <c r="P62" s="359">
        <v>2</v>
      </c>
      <c r="Q62" s="362">
        <f>P62*C62</f>
        <v>11000</v>
      </c>
      <c r="R62" s="359">
        <v>2</v>
      </c>
      <c r="S62" s="362">
        <f>R62*C62</f>
        <v>11000</v>
      </c>
      <c r="T62" s="492">
        <v>2</v>
      </c>
      <c r="U62" s="362">
        <f>T62*C62</f>
        <v>11000</v>
      </c>
      <c r="V62" s="492">
        <v>2</v>
      </c>
      <c r="W62" s="362">
        <f>V62*C62</f>
        <v>11000</v>
      </c>
      <c r="X62" s="492">
        <v>2</v>
      </c>
      <c r="Y62" s="362">
        <f>X62*C62</f>
        <v>11000</v>
      </c>
      <c r="Z62" s="492">
        <v>2</v>
      </c>
      <c r="AA62" s="362">
        <f>Z62*C62</f>
        <v>11000</v>
      </c>
      <c r="AB62" s="361"/>
      <c r="AC62" s="342"/>
      <c r="AD62" s="348"/>
    </row>
    <row r="63" spans="1:30" s="349" customFormat="1">
      <c r="A63" s="359" t="s">
        <v>217</v>
      </c>
      <c r="B63" s="359">
        <v>100</v>
      </c>
      <c r="C63" s="504">
        <v>6500</v>
      </c>
      <c r="D63" s="492">
        <v>0</v>
      </c>
      <c r="E63" s="362">
        <f>D63*C63</f>
        <v>0</v>
      </c>
      <c r="F63" s="492">
        <v>0</v>
      </c>
      <c r="G63" s="362">
        <f>F63*C63</f>
        <v>0</v>
      </c>
      <c r="H63" s="492">
        <v>0</v>
      </c>
      <c r="I63" s="362">
        <f>H63*C63</f>
        <v>0</v>
      </c>
      <c r="J63" s="359">
        <v>0</v>
      </c>
      <c r="K63" s="362">
        <f>J63*C63</f>
        <v>0</v>
      </c>
      <c r="L63" s="359">
        <v>0</v>
      </c>
      <c r="M63" s="362">
        <f>L63*C63</f>
        <v>0</v>
      </c>
      <c r="N63" s="359">
        <v>0</v>
      </c>
      <c r="O63" s="362">
        <f>N63*C63</f>
        <v>0</v>
      </c>
      <c r="P63" s="359">
        <v>0</v>
      </c>
      <c r="Q63" s="362">
        <f>P63*C63</f>
        <v>0</v>
      </c>
      <c r="R63" s="359">
        <v>0</v>
      </c>
      <c r="S63" s="362">
        <f>R63*C63</f>
        <v>0</v>
      </c>
      <c r="T63" s="492">
        <v>0</v>
      </c>
      <c r="U63" s="362">
        <f>T63*C63</f>
        <v>0</v>
      </c>
      <c r="V63" s="492">
        <v>0</v>
      </c>
      <c r="W63" s="362">
        <f>V63*C63</f>
        <v>0</v>
      </c>
      <c r="X63" s="492">
        <v>0</v>
      </c>
      <c r="Y63" s="362">
        <f>X63*C63</f>
        <v>0</v>
      </c>
      <c r="Z63" s="492">
        <v>0</v>
      </c>
      <c r="AA63" s="362">
        <f>Z63*C63</f>
        <v>0</v>
      </c>
      <c r="AB63" s="361"/>
      <c r="AC63" s="342"/>
      <c r="AD63" s="348"/>
    </row>
    <row r="64" spans="1:30" s="349" customFormat="1">
      <c r="A64" s="359"/>
      <c r="B64" s="359"/>
      <c r="C64" s="504"/>
      <c r="D64" s="492"/>
      <c r="E64" s="362"/>
      <c r="F64" s="492"/>
      <c r="G64" s="362"/>
      <c r="H64" s="492"/>
      <c r="I64" s="362"/>
      <c r="J64" s="359"/>
      <c r="K64" s="362"/>
      <c r="L64" s="359"/>
      <c r="M64" s="362"/>
      <c r="N64" s="359"/>
      <c r="O64" s="362"/>
      <c r="P64" s="359"/>
      <c r="Q64" s="362"/>
      <c r="R64" s="359"/>
      <c r="S64" s="362"/>
      <c r="T64" s="492"/>
      <c r="U64" s="362"/>
      <c r="V64" s="492"/>
      <c r="W64" s="362"/>
      <c r="X64" s="492"/>
      <c r="Y64" s="362"/>
      <c r="Z64" s="492"/>
      <c r="AA64" s="362"/>
      <c r="AB64" s="361"/>
      <c r="AC64" s="342"/>
      <c r="AD64" s="348"/>
    </row>
    <row r="65" spans="1:30" s="349" customFormat="1">
      <c r="A65" s="359" t="s">
        <v>216</v>
      </c>
      <c r="B65" s="359">
        <v>150</v>
      </c>
      <c r="C65" s="504">
        <v>10000</v>
      </c>
      <c r="D65" s="492">
        <v>0</v>
      </c>
      <c r="E65" s="362">
        <f>D65*C65</f>
        <v>0</v>
      </c>
      <c r="F65" s="492">
        <v>0</v>
      </c>
      <c r="G65" s="362">
        <f>F65*C65</f>
        <v>0</v>
      </c>
      <c r="H65" s="492">
        <v>0</v>
      </c>
      <c r="I65" s="362">
        <f>H65*C65</f>
        <v>0</v>
      </c>
      <c r="J65" s="359">
        <v>0</v>
      </c>
      <c r="K65" s="362">
        <f>J65*C65</f>
        <v>0</v>
      </c>
      <c r="L65" s="359">
        <v>0</v>
      </c>
      <c r="M65" s="362">
        <f>L65*C65</f>
        <v>0</v>
      </c>
      <c r="N65" s="359">
        <v>0</v>
      </c>
      <c r="O65" s="362">
        <f>N65*C65</f>
        <v>0</v>
      </c>
      <c r="P65" s="359">
        <v>10</v>
      </c>
      <c r="Q65" s="362">
        <f>P65*C65</f>
        <v>100000</v>
      </c>
      <c r="R65" s="359">
        <v>10</v>
      </c>
      <c r="S65" s="362">
        <f>R65*C65</f>
        <v>100000</v>
      </c>
      <c r="T65" s="492">
        <v>10</v>
      </c>
      <c r="U65" s="362">
        <f>T65*C65</f>
        <v>100000</v>
      </c>
      <c r="V65" s="492">
        <v>10</v>
      </c>
      <c r="W65" s="362">
        <f>V65*C65</f>
        <v>100000</v>
      </c>
      <c r="X65" s="492">
        <v>10</v>
      </c>
      <c r="Y65" s="362">
        <f>X65*C65</f>
        <v>100000</v>
      </c>
      <c r="Z65" s="492">
        <v>10</v>
      </c>
      <c r="AA65" s="362">
        <f>Z65*C65</f>
        <v>100000</v>
      </c>
      <c r="AB65" s="361"/>
      <c r="AC65" s="342"/>
      <c r="AD65" s="348"/>
    </row>
    <row r="66" spans="1:30" s="349" customFormat="1">
      <c r="A66" s="359" t="s">
        <v>216</v>
      </c>
      <c r="B66" s="359">
        <v>250</v>
      </c>
      <c r="C66" s="504">
        <v>18000</v>
      </c>
      <c r="D66" s="492">
        <v>0</v>
      </c>
      <c r="E66" s="362">
        <f>D66*C66</f>
        <v>0</v>
      </c>
      <c r="F66" s="492">
        <v>0</v>
      </c>
      <c r="G66" s="362">
        <f>F66*C66</f>
        <v>0</v>
      </c>
      <c r="H66" s="492">
        <v>0</v>
      </c>
      <c r="I66" s="362">
        <f>H66*C66</f>
        <v>0</v>
      </c>
      <c r="J66" s="359">
        <v>0</v>
      </c>
      <c r="K66" s="362">
        <f>J66*C66</f>
        <v>0</v>
      </c>
      <c r="L66" s="359">
        <v>0</v>
      </c>
      <c r="M66" s="362">
        <f>L66*C66</f>
        <v>0</v>
      </c>
      <c r="N66" s="359">
        <v>0</v>
      </c>
      <c r="O66" s="362">
        <f>N66*C66</f>
        <v>0</v>
      </c>
      <c r="P66" s="359">
        <v>5</v>
      </c>
      <c r="Q66" s="362">
        <f>P66*C66</f>
        <v>90000</v>
      </c>
      <c r="R66" s="359">
        <v>5</v>
      </c>
      <c r="S66" s="362">
        <f>R66*C66</f>
        <v>90000</v>
      </c>
      <c r="T66" s="492">
        <v>5</v>
      </c>
      <c r="U66" s="362">
        <f>T66*C66</f>
        <v>90000</v>
      </c>
      <c r="V66" s="492">
        <v>5</v>
      </c>
      <c r="W66" s="362">
        <f>V66*C66</f>
        <v>90000</v>
      </c>
      <c r="X66" s="492">
        <v>5</v>
      </c>
      <c r="Y66" s="362">
        <f>X66*C66</f>
        <v>90000</v>
      </c>
      <c r="Z66" s="492">
        <v>5</v>
      </c>
      <c r="AA66" s="362">
        <f>Z66*C66</f>
        <v>90000</v>
      </c>
      <c r="AB66" s="361"/>
      <c r="AC66" s="342"/>
      <c r="AD66" s="348"/>
    </row>
    <row r="67" spans="1:30" s="349" customFormat="1">
      <c r="A67" s="359" t="s">
        <v>216</v>
      </c>
      <c r="B67" s="359">
        <v>350</v>
      </c>
      <c r="C67" s="504">
        <v>25000</v>
      </c>
      <c r="D67" s="492">
        <v>0</v>
      </c>
      <c r="E67" s="362">
        <f>D67*C67</f>
        <v>0</v>
      </c>
      <c r="F67" s="492">
        <v>0</v>
      </c>
      <c r="G67" s="362">
        <f>F67*C67</f>
        <v>0</v>
      </c>
      <c r="H67" s="492">
        <v>0</v>
      </c>
      <c r="I67" s="362">
        <f>H67*C67</f>
        <v>0</v>
      </c>
      <c r="J67" s="359">
        <v>0</v>
      </c>
      <c r="K67" s="362">
        <f>J67*C67</f>
        <v>0</v>
      </c>
      <c r="L67" s="359">
        <v>0</v>
      </c>
      <c r="M67" s="362">
        <f>L67*C67</f>
        <v>0</v>
      </c>
      <c r="N67" s="359">
        <v>0</v>
      </c>
      <c r="O67" s="362">
        <f>N67*C67</f>
        <v>0</v>
      </c>
      <c r="P67" s="359">
        <v>2</v>
      </c>
      <c r="Q67" s="362">
        <f>P67*C67</f>
        <v>50000</v>
      </c>
      <c r="R67" s="359">
        <v>2</v>
      </c>
      <c r="S67" s="362">
        <f>R67*C67</f>
        <v>50000</v>
      </c>
      <c r="T67" s="492">
        <v>2</v>
      </c>
      <c r="U67" s="362">
        <f>T67*C67</f>
        <v>50000</v>
      </c>
      <c r="V67" s="492">
        <v>2</v>
      </c>
      <c r="W67" s="362">
        <f>V67*C67</f>
        <v>50000</v>
      </c>
      <c r="X67" s="492">
        <v>2</v>
      </c>
      <c r="Y67" s="362">
        <f>X67*C67</f>
        <v>50000</v>
      </c>
      <c r="Z67" s="492">
        <v>2</v>
      </c>
      <c r="AA67" s="362">
        <f>Z67*C67</f>
        <v>50000</v>
      </c>
      <c r="AB67" s="361"/>
      <c r="AC67" s="342"/>
      <c r="AD67" s="348"/>
    </row>
    <row r="68" spans="1:30" s="349" customFormat="1">
      <c r="A68" s="359" t="s">
        <v>216</v>
      </c>
      <c r="B68" s="359">
        <v>500</v>
      </c>
      <c r="C68" s="504">
        <v>40000</v>
      </c>
      <c r="D68" s="492">
        <v>0</v>
      </c>
      <c r="E68" s="362">
        <f>D68*C68</f>
        <v>0</v>
      </c>
      <c r="F68" s="492">
        <v>0</v>
      </c>
      <c r="G68" s="362">
        <f>F68*C68</f>
        <v>0</v>
      </c>
      <c r="H68" s="492">
        <v>0</v>
      </c>
      <c r="I68" s="362">
        <f>H68*C68</f>
        <v>0</v>
      </c>
      <c r="J68" s="359">
        <v>0</v>
      </c>
      <c r="K68" s="362">
        <f>J68*C68</f>
        <v>0</v>
      </c>
      <c r="L68" s="359">
        <v>0</v>
      </c>
      <c r="M68" s="362">
        <f>L68*C68</f>
        <v>0</v>
      </c>
      <c r="N68" s="359">
        <v>0</v>
      </c>
      <c r="O68" s="362">
        <f>N68*C68</f>
        <v>0</v>
      </c>
      <c r="P68" s="359">
        <v>0</v>
      </c>
      <c r="Q68" s="362">
        <f>P68*C68</f>
        <v>0</v>
      </c>
      <c r="R68" s="359">
        <v>0</v>
      </c>
      <c r="S68" s="362">
        <f>R68*C68</f>
        <v>0</v>
      </c>
      <c r="T68" s="492">
        <v>0</v>
      </c>
      <c r="U68" s="362">
        <f>T68*C68</f>
        <v>0</v>
      </c>
      <c r="V68" s="492">
        <v>0</v>
      </c>
      <c r="W68" s="362">
        <f>V68*C68</f>
        <v>0</v>
      </c>
      <c r="X68" s="492">
        <v>0</v>
      </c>
      <c r="Y68" s="362">
        <f>X68*C68</f>
        <v>0</v>
      </c>
      <c r="Z68" s="492">
        <v>0</v>
      </c>
      <c r="AA68" s="362">
        <f>Z68*C68</f>
        <v>0</v>
      </c>
      <c r="AB68" s="361"/>
      <c r="AC68" s="342"/>
      <c r="AD68" s="348"/>
    </row>
    <row r="69" spans="1:30" s="349" customFormat="1">
      <c r="A69" s="359"/>
      <c r="B69" s="359"/>
      <c r="C69" s="504"/>
      <c r="D69" s="492"/>
      <c r="E69" s="362"/>
      <c r="F69" s="492"/>
      <c r="G69" s="362"/>
      <c r="H69" s="492"/>
      <c r="I69" s="362"/>
      <c r="J69" s="359"/>
      <c r="K69" s="362"/>
      <c r="L69" s="359"/>
      <c r="M69" s="362"/>
      <c r="N69" s="359"/>
      <c r="O69" s="362"/>
      <c r="P69" s="359"/>
      <c r="Q69" s="362"/>
      <c r="R69" s="359"/>
      <c r="S69" s="362"/>
      <c r="T69" s="492"/>
      <c r="U69" s="362"/>
      <c r="V69" s="492"/>
      <c r="W69" s="362"/>
      <c r="X69" s="492"/>
      <c r="Y69" s="362"/>
      <c r="Z69" s="492"/>
      <c r="AA69" s="362"/>
      <c r="AB69" s="361"/>
      <c r="AC69" s="342"/>
      <c r="AD69" s="348"/>
    </row>
    <row r="70" spans="1:30" s="349" customFormat="1">
      <c r="A70" s="359" t="s">
        <v>215</v>
      </c>
      <c r="B70" s="359">
        <v>100</v>
      </c>
      <c r="C70" s="504">
        <v>8000</v>
      </c>
      <c r="D70" s="492">
        <v>0</v>
      </c>
      <c r="E70" s="362">
        <f>D70*C70</f>
        <v>0</v>
      </c>
      <c r="F70" s="492">
        <v>0</v>
      </c>
      <c r="G70" s="362">
        <f>F70*C70</f>
        <v>0</v>
      </c>
      <c r="H70" s="492">
        <v>0</v>
      </c>
      <c r="I70" s="362">
        <f>H70*C70</f>
        <v>0</v>
      </c>
      <c r="J70" s="359">
        <v>0</v>
      </c>
      <c r="K70" s="362">
        <f>J70*C70</f>
        <v>0</v>
      </c>
      <c r="L70" s="359">
        <v>0</v>
      </c>
      <c r="M70" s="362">
        <f>L70*C70</f>
        <v>0</v>
      </c>
      <c r="N70" s="359">
        <v>0</v>
      </c>
      <c r="O70" s="362">
        <f>N70*C70</f>
        <v>0</v>
      </c>
      <c r="P70" s="359">
        <v>5</v>
      </c>
      <c r="Q70" s="362">
        <f>P70*C70</f>
        <v>40000</v>
      </c>
      <c r="R70" s="359">
        <v>5</v>
      </c>
      <c r="S70" s="362">
        <f>R70*C70</f>
        <v>40000</v>
      </c>
      <c r="T70" s="492">
        <v>5</v>
      </c>
      <c r="U70" s="362">
        <f>T70*C70</f>
        <v>40000</v>
      </c>
      <c r="V70" s="492">
        <v>5</v>
      </c>
      <c r="W70" s="362">
        <f>V70*C70</f>
        <v>40000</v>
      </c>
      <c r="X70" s="492">
        <v>5</v>
      </c>
      <c r="Y70" s="362">
        <f>X70*C70</f>
        <v>40000</v>
      </c>
      <c r="Z70" s="492">
        <v>5</v>
      </c>
      <c r="AA70" s="362">
        <f>Z70*C70</f>
        <v>40000</v>
      </c>
      <c r="AB70" s="361"/>
      <c r="AC70" s="342"/>
      <c r="AD70" s="348"/>
    </row>
    <row r="71" spans="1:30" s="349" customFormat="1">
      <c r="A71" s="359" t="s">
        <v>215</v>
      </c>
      <c r="B71" s="359">
        <v>150</v>
      </c>
      <c r="C71" s="504">
        <v>12000</v>
      </c>
      <c r="D71" s="492">
        <v>0</v>
      </c>
      <c r="E71" s="362">
        <f>D71*C71</f>
        <v>0</v>
      </c>
      <c r="F71" s="492">
        <v>0</v>
      </c>
      <c r="G71" s="362">
        <f>F71*C71</f>
        <v>0</v>
      </c>
      <c r="H71" s="492">
        <v>0</v>
      </c>
      <c r="I71" s="362">
        <f>H71*C71</f>
        <v>0</v>
      </c>
      <c r="J71" s="359">
        <v>0</v>
      </c>
      <c r="K71" s="362">
        <f>J71*C71</f>
        <v>0</v>
      </c>
      <c r="L71" s="359">
        <v>0</v>
      </c>
      <c r="M71" s="362">
        <f>L71*C71</f>
        <v>0</v>
      </c>
      <c r="N71" s="359">
        <v>0</v>
      </c>
      <c r="O71" s="362">
        <f>N71*C71</f>
        <v>0</v>
      </c>
      <c r="P71" s="359">
        <v>4</v>
      </c>
      <c r="Q71" s="362">
        <f>P71*C71</f>
        <v>48000</v>
      </c>
      <c r="R71" s="359">
        <v>4</v>
      </c>
      <c r="S71" s="362">
        <f>R71*C71</f>
        <v>48000</v>
      </c>
      <c r="T71" s="492">
        <v>4</v>
      </c>
      <c r="U71" s="362">
        <f>T71*C71</f>
        <v>48000</v>
      </c>
      <c r="V71" s="492">
        <v>4</v>
      </c>
      <c r="W71" s="362">
        <f>V71*C71</f>
        <v>48000</v>
      </c>
      <c r="X71" s="492">
        <v>4</v>
      </c>
      <c r="Y71" s="362">
        <f>X71*C71</f>
        <v>48000</v>
      </c>
      <c r="Z71" s="492">
        <v>4</v>
      </c>
      <c r="AA71" s="362">
        <f>Z71*C71</f>
        <v>48000</v>
      </c>
      <c r="AB71" s="361"/>
      <c r="AC71" s="342"/>
      <c r="AD71" s="348"/>
    </row>
    <row r="72" spans="1:30" s="349" customFormat="1">
      <c r="A72" s="359" t="s">
        <v>215</v>
      </c>
      <c r="B72" s="359">
        <v>250</v>
      </c>
      <c r="C72" s="504">
        <v>20000</v>
      </c>
      <c r="D72" s="492">
        <v>0</v>
      </c>
      <c r="E72" s="362">
        <f>D72*C72</f>
        <v>0</v>
      </c>
      <c r="F72" s="492">
        <v>0</v>
      </c>
      <c r="G72" s="362">
        <f>F72*C72</f>
        <v>0</v>
      </c>
      <c r="H72" s="492">
        <v>0</v>
      </c>
      <c r="I72" s="362">
        <f>H72*C72</f>
        <v>0</v>
      </c>
      <c r="J72" s="359">
        <v>0</v>
      </c>
      <c r="K72" s="362">
        <f>J72*C72</f>
        <v>0</v>
      </c>
      <c r="L72" s="359">
        <v>0</v>
      </c>
      <c r="M72" s="362">
        <f>L72*C72</f>
        <v>0</v>
      </c>
      <c r="N72" s="359">
        <v>0</v>
      </c>
      <c r="O72" s="362">
        <f>N72*C72</f>
        <v>0</v>
      </c>
      <c r="P72" s="359">
        <v>3</v>
      </c>
      <c r="Q72" s="362">
        <f>P72*C72</f>
        <v>60000</v>
      </c>
      <c r="R72" s="359">
        <v>3</v>
      </c>
      <c r="S72" s="362">
        <f>R72*C72</f>
        <v>60000</v>
      </c>
      <c r="T72" s="492">
        <v>3</v>
      </c>
      <c r="U72" s="362">
        <f>T72*C72</f>
        <v>60000</v>
      </c>
      <c r="V72" s="492">
        <v>3</v>
      </c>
      <c r="W72" s="362">
        <f>V72*C72</f>
        <v>60000</v>
      </c>
      <c r="X72" s="492">
        <v>3</v>
      </c>
      <c r="Y72" s="362">
        <f>X72*C72</f>
        <v>60000</v>
      </c>
      <c r="Z72" s="492">
        <v>3</v>
      </c>
      <c r="AA72" s="362">
        <f>Z72*C72</f>
        <v>60000</v>
      </c>
      <c r="AB72" s="361"/>
      <c r="AC72" s="342"/>
      <c r="AD72" s="348"/>
    </row>
    <row r="73" spans="1:30" s="349" customFormat="1">
      <c r="A73" s="359" t="s">
        <v>215</v>
      </c>
      <c r="B73" s="359">
        <v>350</v>
      </c>
      <c r="C73" s="504">
        <v>28000</v>
      </c>
      <c r="D73" s="492">
        <v>0</v>
      </c>
      <c r="E73" s="362">
        <f>D73*C73</f>
        <v>0</v>
      </c>
      <c r="F73" s="492">
        <v>0</v>
      </c>
      <c r="G73" s="362">
        <f>F73*C73</f>
        <v>0</v>
      </c>
      <c r="H73" s="492">
        <v>0</v>
      </c>
      <c r="I73" s="362">
        <f>H73*C73</f>
        <v>0</v>
      </c>
      <c r="J73" s="359">
        <v>0</v>
      </c>
      <c r="K73" s="362">
        <f>J73*C73</f>
        <v>0</v>
      </c>
      <c r="L73" s="359">
        <v>0</v>
      </c>
      <c r="M73" s="362">
        <f>L73*C73</f>
        <v>0</v>
      </c>
      <c r="N73" s="359">
        <v>0</v>
      </c>
      <c r="O73" s="362">
        <f>N73*C73</f>
        <v>0</v>
      </c>
      <c r="P73" s="359">
        <v>3</v>
      </c>
      <c r="Q73" s="362">
        <f>P73*C73</f>
        <v>84000</v>
      </c>
      <c r="R73" s="359">
        <v>3</v>
      </c>
      <c r="S73" s="362">
        <f>R73*C73</f>
        <v>84000</v>
      </c>
      <c r="T73" s="492">
        <v>3</v>
      </c>
      <c r="U73" s="362">
        <f>T73*C73</f>
        <v>84000</v>
      </c>
      <c r="V73" s="492">
        <v>3</v>
      </c>
      <c r="W73" s="362">
        <f>V73*C73</f>
        <v>84000</v>
      </c>
      <c r="X73" s="492">
        <v>3</v>
      </c>
      <c r="Y73" s="362">
        <f>X73*C73</f>
        <v>84000</v>
      </c>
      <c r="Z73" s="492">
        <v>3</v>
      </c>
      <c r="AA73" s="362">
        <f>Z73*C73</f>
        <v>84000</v>
      </c>
      <c r="AB73" s="361"/>
      <c r="AC73" s="342"/>
      <c r="AD73" s="348"/>
    </row>
    <row r="74" spans="1:30" s="349" customFormat="1">
      <c r="A74" s="359" t="s">
        <v>215</v>
      </c>
      <c r="B74" s="359">
        <v>500</v>
      </c>
      <c r="C74" s="504">
        <v>50000</v>
      </c>
      <c r="D74" s="492">
        <v>0</v>
      </c>
      <c r="E74" s="362">
        <f>D74*C74</f>
        <v>0</v>
      </c>
      <c r="F74" s="492">
        <v>0</v>
      </c>
      <c r="G74" s="362">
        <f>F74*C74</f>
        <v>0</v>
      </c>
      <c r="H74" s="492">
        <v>0</v>
      </c>
      <c r="I74" s="362">
        <f>H74*C74</f>
        <v>0</v>
      </c>
      <c r="J74" s="359">
        <v>0</v>
      </c>
      <c r="K74" s="362">
        <f>J74*C74</f>
        <v>0</v>
      </c>
      <c r="L74" s="359">
        <v>0</v>
      </c>
      <c r="M74" s="362">
        <f>L74*C74</f>
        <v>0</v>
      </c>
      <c r="N74" s="359">
        <v>0</v>
      </c>
      <c r="O74" s="362">
        <f>N74*C74</f>
        <v>0</v>
      </c>
      <c r="P74" s="359">
        <v>1</v>
      </c>
      <c r="Q74" s="362">
        <f>P74*C74</f>
        <v>50000</v>
      </c>
      <c r="R74" s="359">
        <v>1</v>
      </c>
      <c r="S74" s="362">
        <f>R74*C74</f>
        <v>50000</v>
      </c>
      <c r="T74" s="492">
        <v>1</v>
      </c>
      <c r="U74" s="362">
        <f>T74*C74</f>
        <v>50000</v>
      </c>
      <c r="V74" s="492">
        <v>1</v>
      </c>
      <c r="W74" s="362">
        <f>V74*C74</f>
        <v>50000</v>
      </c>
      <c r="X74" s="492">
        <v>1</v>
      </c>
      <c r="Y74" s="362">
        <f>X74*C74</f>
        <v>50000</v>
      </c>
      <c r="Z74" s="492">
        <v>1</v>
      </c>
      <c r="AA74" s="362">
        <f>Z74*C74</f>
        <v>50000</v>
      </c>
      <c r="AB74" s="361"/>
      <c r="AC74" s="342"/>
      <c r="AD74" s="348"/>
    </row>
    <row r="75" spans="1:30">
      <c r="A75" s="359"/>
      <c r="B75" s="359"/>
      <c r="C75" s="504"/>
      <c r="D75" s="492"/>
      <c r="E75" s="362"/>
      <c r="F75" s="492"/>
      <c r="G75" s="362"/>
      <c r="H75" s="492"/>
      <c r="I75" s="362"/>
      <c r="J75" s="359"/>
      <c r="K75" s="362"/>
      <c r="L75" s="359"/>
      <c r="M75" s="362"/>
      <c r="N75" s="359"/>
      <c r="O75" s="362"/>
      <c r="P75" s="359"/>
      <c r="Q75" s="362"/>
      <c r="R75" s="359"/>
      <c r="S75" s="362"/>
      <c r="T75" s="492"/>
      <c r="U75" s="362"/>
      <c r="V75" s="492"/>
      <c r="W75" s="362"/>
      <c r="X75" s="492"/>
      <c r="Y75" s="362"/>
      <c r="Z75" s="492"/>
      <c r="AA75" s="362"/>
      <c r="AB75" s="361"/>
      <c r="AD75" s="350"/>
    </row>
    <row r="76" spans="1:30" s="349" customFormat="1">
      <c r="A76" s="359" t="s">
        <v>214</v>
      </c>
      <c r="B76" s="359">
        <v>100</v>
      </c>
      <c r="C76" s="504">
        <v>8000</v>
      </c>
      <c r="D76" s="492">
        <v>0</v>
      </c>
      <c r="E76" s="362">
        <f>D76*C76</f>
        <v>0</v>
      </c>
      <c r="F76" s="492">
        <v>0</v>
      </c>
      <c r="G76" s="362">
        <f>F76*C76</f>
        <v>0</v>
      </c>
      <c r="H76" s="492">
        <v>0</v>
      </c>
      <c r="I76" s="362">
        <f>H76*C76</f>
        <v>0</v>
      </c>
      <c r="J76" s="359">
        <v>0</v>
      </c>
      <c r="K76" s="362">
        <f>J76*C76</f>
        <v>0</v>
      </c>
      <c r="L76" s="359">
        <v>0</v>
      </c>
      <c r="M76" s="362">
        <f>L76*C76</f>
        <v>0</v>
      </c>
      <c r="N76" s="359">
        <v>0</v>
      </c>
      <c r="O76" s="362">
        <f>N76*C76</f>
        <v>0</v>
      </c>
      <c r="P76" s="359">
        <v>5</v>
      </c>
      <c r="Q76" s="362">
        <f>P76*C76</f>
        <v>40000</v>
      </c>
      <c r="R76" s="359">
        <v>5</v>
      </c>
      <c r="S76" s="362">
        <f>R76*C76</f>
        <v>40000</v>
      </c>
      <c r="T76" s="492">
        <v>5</v>
      </c>
      <c r="U76" s="362">
        <f>T76*C76</f>
        <v>40000</v>
      </c>
      <c r="V76" s="492">
        <v>5</v>
      </c>
      <c r="W76" s="362">
        <f>V76*C76</f>
        <v>40000</v>
      </c>
      <c r="X76" s="492">
        <v>5</v>
      </c>
      <c r="Y76" s="362">
        <f>X76*C76</f>
        <v>40000</v>
      </c>
      <c r="Z76" s="492">
        <v>5</v>
      </c>
      <c r="AA76" s="362">
        <f>Z76*C76</f>
        <v>40000</v>
      </c>
      <c r="AB76" s="361"/>
      <c r="AC76" s="342"/>
      <c r="AD76" s="348"/>
    </row>
    <row r="77" spans="1:30" s="349" customFormat="1">
      <c r="A77" s="359" t="s">
        <v>214</v>
      </c>
      <c r="B77" s="359">
        <v>150</v>
      </c>
      <c r="C77" s="504">
        <v>12000</v>
      </c>
      <c r="D77" s="492">
        <v>0</v>
      </c>
      <c r="E77" s="362">
        <f>D77*C77</f>
        <v>0</v>
      </c>
      <c r="F77" s="492">
        <v>0</v>
      </c>
      <c r="G77" s="362">
        <f>F77*C77</f>
        <v>0</v>
      </c>
      <c r="H77" s="492">
        <v>0</v>
      </c>
      <c r="I77" s="362">
        <f>H77*C77</f>
        <v>0</v>
      </c>
      <c r="J77" s="359">
        <v>0</v>
      </c>
      <c r="K77" s="362">
        <f>J77*C77</f>
        <v>0</v>
      </c>
      <c r="L77" s="359">
        <v>0</v>
      </c>
      <c r="M77" s="362">
        <f>L77*C77</f>
        <v>0</v>
      </c>
      <c r="N77" s="359">
        <v>0</v>
      </c>
      <c r="O77" s="362">
        <f>N77*C77</f>
        <v>0</v>
      </c>
      <c r="P77" s="359">
        <v>4</v>
      </c>
      <c r="Q77" s="362">
        <f>P77*C77</f>
        <v>48000</v>
      </c>
      <c r="R77" s="359">
        <v>4</v>
      </c>
      <c r="S77" s="362">
        <f>R77*C77</f>
        <v>48000</v>
      </c>
      <c r="T77" s="492">
        <v>4</v>
      </c>
      <c r="U77" s="362">
        <f>T77*C77</f>
        <v>48000</v>
      </c>
      <c r="V77" s="492">
        <v>4</v>
      </c>
      <c r="W77" s="362">
        <f>V77*C77</f>
        <v>48000</v>
      </c>
      <c r="X77" s="492">
        <v>4</v>
      </c>
      <c r="Y77" s="362">
        <f>X77*C77</f>
        <v>48000</v>
      </c>
      <c r="Z77" s="492">
        <v>4</v>
      </c>
      <c r="AA77" s="362">
        <f>Z77*C77</f>
        <v>48000</v>
      </c>
      <c r="AB77" s="361"/>
      <c r="AC77" s="342"/>
      <c r="AD77" s="348"/>
    </row>
    <row r="78" spans="1:30" s="349" customFormat="1">
      <c r="A78" s="359" t="s">
        <v>214</v>
      </c>
      <c r="B78" s="359">
        <v>250</v>
      </c>
      <c r="C78" s="504">
        <v>20000</v>
      </c>
      <c r="D78" s="492">
        <v>0</v>
      </c>
      <c r="E78" s="362">
        <f>D78*C78</f>
        <v>0</v>
      </c>
      <c r="F78" s="492">
        <v>0</v>
      </c>
      <c r="G78" s="362">
        <f>F78*C78</f>
        <v>0</v>
      </c>
      <c r="H78" s="492">
        <v>0</v>
      </c>
      <c r="I78" s="362">
        <f>H78*C78</f>
        <v>0</v>
      </c>
      <c r="J78" s="359">
        <v>0</v>
      </c>
      <c r="K78" s="362">
        <f>J78*C78</f>
        <v>0</v>
      </c>
      <c r="L78" s="359">
        <v>0</v>
      </c>
      <c r="M78" s="362">
        <f>L78*C78</f>
        <v>0</v>
      </c>
      <c r="N78" s="359">
        <v>0</v>
      </c>
      <c r="O78" s="362">
        <f>N78*C78</f>
        <v>0</v>
      </c>
      <c r="P78" s="359">
        <v>3</v>
      </c>
      <c r="Q78" s="362">
        <f>P78*C78</f>
        <v>60000</v>
      </c>
      <c r="R78" s="359">
        <v>3</v>
      </c>
      <c r="S78" s="362">
        <f>R78*C78</f>
        <v>60000</v>
      </c>
      <c r="T78" s="492">
        <v>3</v>
      </c>
      <c r="U78" s="362">
        <f>T78*C78</f>
        <v>60000</v>
      </c>
      <c r="V78" s="492">
        <v>3</v>
      </c>
      <c r="W78" s="362">
        <f>V78*C78</f>
        <v>60000</v>
      </c>
      <c r="X78" s="492">
        <v>3</v>
      </c>
      <c r="Y78" s="362">
        <f>X78*C78</f>
        <v>60000</v>
      </c>
      <c r="Z78" s="492">
        <v>3</v>
      </c>
      <c r="AA78" s="362">
        <f>Z78*C78</f>
        <v>60000</v>
      </c>
      <c r="AB78" s="361"/>
      <c r="AC78" s="342"/>
      <c r="AD78" s="348"/>
    </row>
    <row r="79" spans="1:30" s="349" customFormat="1">
      <c r="A79" s="359" t="s">
        <v>214</v>
      </c>
      <c r="B79" s="359">
        <v>350</v>
      </c>
      <c r="C79" s="504">
        <v>28000</v>
      </c>
      <c r="D79" s="492">
        <v>0</v>
      </c>
      <c r="E79" s="362">
        <f>D79*C79</f>
        <v>0</v>
      </c>
      <c r="F79" s="492">
        <v>0</v>
      </c>
      <c r="G79" s="362">
        <f>F79*C79</f>
        <v>0</v>
      </c>
      <c r="H79" s="492">
        <v>0</v>
      </c>
      <c r="I79" s="362">
        <f>H79*C79</f>
        <v>0</v>
      </c>
      <c r="J79" s="359">
        <v>0</v>
      </c>
      <c r="K79" s="362">
        <f>J79*C79</f>
        <v>0</v>
      </c>
      <c r="L79" s="359">
        <v>0</v>
      </c>
      <c r="M79" s="362">
        <f>L79*C79</f>
        <v>0</v>
      </c>
      <c r="N79" s="359">
        <v>0</v>
      </c>
      <c r="O79" s="362">
        <f>N79*C79</f>
        <v>0</v>
      </c>
      <c r="P79" s="359">
        <v>3</v>
      </c>
      <c r="Q79" s="362">
        <f>P79*C79</f>
        <v>84000</v>
      </c>
      <c r="R79" s="359">
        <v>3</v>
      </c>
      <c r="S79" s="362">
        <f>R79*C79</f>
        <v>84000</v>
      </c>
      <c r="T79" s="492">
        <v>3</v>
      </c>
      <c r="U79" s="362">
        <f>T79*C79</f>
        <v>84000</v>
      </c>
      <c r="V79" s="492">
        <v>3</v>
      </c>
      <c r="W79" s="362">
        <f>V79*C79</f>
        <v>84000</v>
      </c>
      <c r="X79" s="492">
        <v>3</v>
      </c>
      <c r="Y79" s="362">
        <f>X79*C79</f>
        <v>84000</v>
      </c>
      <c r="Z79" s="492">
        <v>3</v>
      </c>
      <c r="AA79" s="362">
        <f>Z79*C79</f>
        <v>84000</v>
      </c>
      <c r="AB79" s="361"/>
      <c r="AC79" s="342"/>
      <c r="AD79" s="348"/>
    </row>
    <row r="80" spans="1:30" s="349" customFormat="1">
      <c r="A80" s="359" t="s">
        <v>214</v>
      </c>
      <c r="B80" s="359">
        <v>500</v>
      </c>
      <c r="C80" s="504">
        <v>50000</v>
      </c>
      <c r="D80" s="492">
        <v>0</v>
      </c>
      <c r="E80" s="362">
        <f>D80*C80</f>
        <v>0</v>
      </c>
      <c r="F80" s="492">
        <v>0</v>
      </c>
      <c r="G80" s="362">
        <f>F80*C80</f>
        <v>0</v>
      </c>
      <c r="H80" s="492">
        <v>0</v>
      </c>
      <c r="I80" s="362">
        <f>H80*C80</f>
        <v>0</v>
      </c>
      <c r="J80" s="359">
        <v>0</v>
      </c>
      <c r="K80" s="362">
        <f>J80*C80</f>
        <v>0</v>
      </c>
      <c r="L80" s="359">
        <v>0</v>
      </c>
      <c r="M80" s="362">
        <f>C80*L80</f>
        <v>0</v>
      </c>
      <c r="N80" s="359">
        <v>0</v>
      </c>
      <c r="O80" s="362">
        <f>N80*C80</f>
        <v>0</v>
      </c>
      <c r="P80" s="359">
        <v>1</v>
      </c>
      <c r="Q80" s="362">
        <f>P80*C80</f>
        <v>50000</v>
      </c>
      <c r="R80" s="359">
        <v>1</v>
      </c>
      <c r="S80" s="362">
        <f>R80*C80</f>
        <v>50000</v>
      </c>
      <c r="T80" s="492">
        <v>1</v>
      </c>
      <c r="U80" s="362">
        <f>T80*C80</f>
        <v>50000</v>
      </c>
      <c r="V80" s="492">
        <v>1</v>
      </c>
      <c r="W80" s="362">
        <f>V80*C80</f>
        <v>50000</v>
      </c>
      <c r="X80" s="492">
        <v>1</v>
      </c>
      <c r="Y80" s="362">
        <f>X80*C80</f>
        <v>50000</v>
      </c>
      <c r="Z80" s="492">
        <v>1</v>
      </c>
      <c r="AA80" s="362">
        <f>Z80*C80</f>
        <v>50000</v>
      </c>
      <c r="AB80" s="361"/>
      <c r="AC80" s="342"/>
      <c r="AD80" s="348"/>
    </row>
    <row r="81" spans="1:30" s="349" customFormat="1">
      <c r="A81" s="359"/>
      <c r="B81" s="359"/>
      <c r="C81" s="504"/>
      <c r="D81" s="359"/>
      <c r="E81" s="362"/>
      <c r="F81" s="359"/>
      <c r="G81" s="362"/>
      <c r="H81" s="359"/>
      <c r="I81" s="362"/>
      <c r="J81" s="359"/>
      <c r="K81" s="362"/>
      <c r="L81" s="359"/>
      <c r="M81" s="362"/>
      <c r="N81" s="359"/>
      <c r="O81" s="362"/>
      <c r="P81" s="359"/>
      <c r="Q81" s="362"/>
      <c r="R81" s="359"/>
      <c r="S81" s="362"/>
      <c r="T81" s="492"/>
      <c r="U81" s="362"/>
      <c r="V81" s="492"/>
      <c r="W81" s="362"/>
      <c r="X81" s="492"/>
      <c r="Y81" s="362"/>
      <c r="Z81" s="492"/>
      <c r="AA81" s="362"/>
      <c r="AB81" s="360"/>
      <c r="AC81" s="342"/>
      <c r="AD81" s="348"/>
    </row>
    <row r="82" spans="1:30" s="479" customFormat="1">
      <c r="A82" s="474"/>
      <c r="B82" s="474"/>
      <c r="C82" s="505"/>
      <c r="D82" s="474">
        <v>0.1</v>
      </c>
      <c r="E82" s="475">
        <f>SUM(E60:E80)</f>
        <v>0</v>
      </c>
      <c r="F82" s="474">
        <v>0.1</v>
      </c>
      <c r="G82" s="475">
        <f>SUM(G60:G80)</f>
        <v>0</v>
      </c>
      <c r="H82" s="474">
        <v>0.1</v>
      </c>
      <c r="I82" s="475">
        <f>SUM(I60:I80)</f>
        <v>0</v>
      </c>
      <c r="J82" s="474">
        <v>0.1</v>
      </c>
      <c r="K82" s="475">
        <f>SUM(K60:K80)</f>
        <v>0</v>
      </c>
      <c r="L82" s="474">
        <v>0.1</v>
      </c>
      <c r="M82" s="475">
        <f>SUM(M60:M80)</f>
        <v>0</v>
      </c>
      <c r="N82" s="474">
        <v>0.1</v>
      </c>
      <c r="O82" s="475">
        <f>SUM(O60:O80)</f>
        <v>0</v>
      </c>
      <c r="P82" s="474">
        <v>0.05</v>
      </c>
      <c r="Q82" s="475">
        <f>SUM(Q60:Q80)</f>
        <v>872500</v>
      </c>
      <c r="R82" s="474">
        <v>0.05</v>
      </c>
      <c r="S82" s="475">
        <f>SUM(S60:S80)</f>
        <v>872500</v>
      </c>
      <c r="T82" s="515">
        <v>0.05</v>
      </c>
      <c r="U82" s="475">
        <f>SUM(U60:U80)</f>
        <v>872500</v>
      </c>
      <c r="V82" s="515">
        <v>0.05</v>
      </c>
      <c r="W82" s="475">
        <f>SUM(W60:W80)</f>
        <v>872500</v>
      </c>
      <c r="X82" s="515">
        <v>0.05</v>
      </c>
      <c r="Y82" s="475">
        <f>SUM(Y60:Y80)</f>
        <v>872500</v>
      </c>
      <c r="Z82" s="515">
        <v>0.05</v>
      </c>
      <c r="AA82" s="475">
        <f>SUM(AA60:AA80)</f>
        <v>872500</v>
      </c>
      <c r="AB82" s="476"/>
      <c r="AC82" s="477"/>
      <c r="AD82" s="478"/>
    </row>
    <row r="83" spans="1:30" s="485" customFormat="1">
      <c r="A83" s="480"/>
      <c r="B83" s="480"/>
      <c r="C83" s="507"/>
      <c r="D83" s="480"/>
      <c r="E83" s="481">
        <f>E82*D82</f>
        <v>0</v>
      </c>
      <c r="F83" s="480"/>
      <c r="G83" s="482">
        <f>G82*F82</f>
        <v>0</v>
      </c>
      <c r="H83" s="480"/>
      <c r="I83" s="481">
        <f>I82*H82</f>
        <v>0</v>
      </c>
      <c r="J83" s="480"/>
      <c r="K83" s="481">
        <f>K82*J82</f>
        <v>0</v>
      </c>
      <c r="L83" s="480"/>
      <c r="M83" s="481">
        <f>M82*L82</f>
        <v>0</v>
      </c>
      <c r="N83" s="480"/>
      <c r="O83" s="481">
        <f>O82*N82</f>
        <v>0</v>
      </c>
      <c r="P83" s="480"/>
      <c r="Q83" s="481">
        <f>Q82*P82</f>
        <v>43625</v>
      </c>
      <c r="R83" s="480"/>
      <c r="S83" s="481">
        <f>S82*R82</f>
        <v>43625</v>
      </c>
      <c r="T83" s="516"/>
      <c r="U83" s="481">
        <f>U82*T82</f>
        <v>43625</v>
      </c>
      <c r="V83" s="516"/>
      <c r="W83" s="481">
        <f>W82*V82</f>
        <v>43625</v>
      </c>
      <c r="X83" s="516"/>
      <c r="Y83" s="481">
        <f>Y82*X82</f>
        <v>43625</v>
      </c>
      <c r="Z83" s="516"/>
      <c r="AA83" s="481">
        <f>AA82*Z82</f>
        <v>43625</v>
      </c>
      <c r="AB83" s="481">
        <f>SUM(AA83,Y83,W83,U83,S83,Q83,O83,M83,K83,I83,G83,E83)</f>
        <v>261750</v>
      </c>
      <c r="AC83" s="483"/>
      <c r="AD83" s="484"/>
    </row>
    <row r="84" spans="1:30" s="349" customFormat="1">
      <c r="A84" s="359"/>
      <c r="B84" s="359"/>
      <c r="C84" s="504"/>
      <c r="D84" s="359"/>
      <c r="E84" s="360"/>
      <c r="F84" s="359"/>
      <c r="G84" s="362"/>
      <c r="H84" s="359"/>
      <c r="I84" s="362"/>
      <c r="J84" s="359"/>
      <c r="K84" s="362"/>
      <c r="L84" s="359"/>
      <c r="M84" s="362"/>
      <c r="N84" s="359"/>
      <c r="O84" s="362"/>
      <c r="P84" s="359"/>
      <c r="Q84" s="362"/>
      <c r="R84" s="359"/>
      <c r="S84" s="362"/>
      <c r="T84" s="492"/>
      <c r="U84" s="362"/>
      <c r="V84" s="492"/>
      <c r="W84" s="362"/>
      <c r="X84" s="492"/>
      <c r="Y84" s="362"/>
      <c r="Z84" s="492"/>
      <c r="AA84" s="362"/>
      <c r="AB84" s="360"/>
      <c r="AC84" s="342"/>
      <c r="AD84" s="348"/>
    </row>
    <row r="85" spans="1:30" s="349" customFormat="1">
      <c r="A85" s="359" t="s">
        <v>221</v>
      </c>
      <c r="B85" s="359">
        <v>26</v>
      </c>
      <c r="C85" s="504">
        <v>18000</v>
      </c>
      <c r="D85" s="491">
        <v>0</v>
      </c>
      <c r="E85" s="362">
        <f>D85*C85</f>
        <v>0</v>
      </c>
      <c r="F85" s="491">
        <v>0</v>
      </c>
      <c r="G85" s="362">
        <f>F85*C85</f>
        <v>0</v>
      </c>
      <c r="H85" s="491">
        <v>0</v>
      </c>
      <c r="I85" s="362">
        <f>H85*C85</f>
        <v>0</v>
      </c>
      <c r="J85" s="359">
        <v>0</v>
      </c>
      <c r="K85" s="362">
        <f>J85*C85</f>
        <v>0</v>
      </c>
      <c r="L85" s="359">
        <v>0</v>
      </c>
      <c r="M85" s="362">
        <f>L85*C85</f>
        <v>0</v>
      </c>
      <c r="N85" s="359">
        <v>0</v>
      </c>
      <c r="O85" s="362">
        <f>N85*C85</f>
        <v>0</v>
      </c>
      <c r="P85" s="359">
        <v>10</v>
      </c>
      <c r="Q85" s="362">
        <f>P85*C85</f>
        <v>180000</v>
      </c>
      <c r="R85" s="359">
        <v>10</v>
      </c>
      <c r="S85" s="362">
        <f>R85*C85</f>
        <v>180000</v>
      </c>
      <c r="T85" s="492">
        <v>10</v>
      </c>
      <c r="U85" s="362">
        <f>T85*C85</f>
        <v>180000</v>
      </c>
      <c r="V85" s="492">
        <v>10</v>
      </c>
      <c r="W85" s="362">
        <f>V85*C85</f>
        <v>180000</v>
      </c>
      <c r="X85" s="492">
        <v>10</v>
      </c>
      <c r="Y85" s="362">
        <f>X85*C85</f>
        <v>180000</v>
      </c>
      <c r="Z85" s="492">
        <v>10</v>
      </c>
      <c r="AA85" s="362">
        <f>Z85*C85</f>
        <v>180000</v>
      </c>
      <c r="AB85" s="361"/>
      <c r="AC85" s="342"/>
      <c r="AD85" s="348"/>
    </row>
    <row r="86" spans="1:30" s="349" customFormat="1">
      <c r="A86" s="359" t="s">
        <v>221</v>
      </c>
      <c r="B86" s="359">
        <v>33</v>
      </c>
      <c r="C86" s="504">
        <v>30000</v>
      </c>
      <c r="D86" s="492">
        <v>0</v>
      </c>
      <c r="E86" s="362">
        <f>D86*C86</f>
        <v>0</v>
      </c>
      <c r="F86" s="492">
        <v>0</v>
      </c>
      <c r="G86" s="362">
        <f>F86*C86</f>
        <v>0</v>
      </c>
      <c r="H86" s="492">
        <v>0</v>
      </c>
      <c r="I86" s="362">
        <f>H86*C86</f>
        <v>0</v>
      </c>
      <c r="J86" s="359">
        <v>0</v>
      </c>
      <c r="K86" s="362">
        <f>J86*C86</f>
        <v>0</v>
      </c>
      <c r="L86" s="359">
        <v>0</v>
      </c>
      <c r="M86" s="362">
        <f>L86*C86</f>
        <v>0</v>
      </c>
      <c r="N86" s="359">
        <v>0</v>
      </c>
      <c r="O86" s="362">
        <f>N86*C86</f>
        <v>0</v>
      </c>
      <c r="P86" s="359">
        <v>5</v>
      </c>
      <c r="Q86" s="362">
        <f>P86*C86</f>
        <v>150000</v>
      </c>
      <c r="R86" s="359">
        <v>5</v>
      </c>
      <c r="S86" s="362">
        <f>R86*C86</f>
        <v>150000</v>
      </c>
      <c r="T86" s="492">
        <v>5</v>
      </c>
      <c r="U86" s="362">
        <f>T86*C86</f>
        <v>150000</v>
      </c>
      <c r="V86" s="492">
        <v>5</v>
      </c>
      <c r="W86" s="362">
        <f>V86*C86</f>
        <v>150000</v>
      </c>
      <c r="X86" s="492">
        <v>5</v>
      </c>
      <c r="Y86" s="362">
        <f>X86*C86</f>
        <v>150000</v>
      </c>
      <c r="Z86" s="492">
        <v>5</v>
      </c>
      <c r="AA86" s="362">
        <f>Z86*C86</f>
        <v>150000</v>
      </c>
      <c r="AB86" s="361"/>
      <c r="AC86" s="342"/>
      <c r="AD86" s="348"/>
    </row>
    <row r="87" spans="1:30" s="349" customFormat="1">
      <c r="A87" s="359" t="s">
        <v>221</v>
      </c>
      <c r="B87" s="359">
        <v>64</v>
      </c>
      <c r="C87" s="504">
        <v>60000</v>
      </c>
      <c r="D87" s="492">
        <v>0</v>
      </c>
      <c r="E87" s="362">
        <f>D87*C87</f>
        <v>0</v>
      </c>
      <c r="F87" s="492">
        <v>0</v>
      </c>
      <c r="G87" s="362">
        <f>F87*C87</f>
        <v>0</v>
      </c>
      <c r="H87" s="492">
        <v>0</v>
      </c>
      <c r="I87" s="362">
        <f>H87*C87</f>
        <v>0</v>
      </c>
      <c r="J87" s="359">
        <v>0</v>
      </c>
      <c r="K87" s="362">
        <f>J87*C87</f>
        <v>0</v>
      </c>
      <c r="L87" s="359">
        <v>0</v>
      </c>
      <c r="M87" s="362">
        <f>L87*C87</f>
        <v>0</v>
      </c>
      <c r="N87" s="359">
        <v>0</v>
      </c>
      <c r="O87" s="362">
        <f>N87*C87</f>
        <v>0</v>
      </c>
      <c r="P87" s="359">
        <v>2</v>
      </c>
      <c r="Q87" s="362">
        <f>P87*C87</f>
        <v>120000</v>
      </c>
      <c r="R87" s="359">
        <v>2</v>
      </c>
      <c r="S87" s="362">
        <f>R87*C87</f>
        <v>120000</v>
      </c>
      <c r="T87" s="492">
        <v>2</v>
      </c>
      <c r="U87" s="362">
        <f>T87*C87</f>
        <v>120000</v>
      </c>
      <c r="V87" s="492">
        <v>2</v>
      </c>
      <c r="W87" s="362">
        <f>V87*C87</f>
        <v>120000</v>
      </c>
      <c r="X87" s="492">
        <v>2</v>
      </c>
      <c r="Y87" s="362">
        <f>X87*C87</f>
        <v>120000</v>
      </c>
      <c r="Z87" s="492">
        <v>2</v>
      </c>
      <c r="AA87" s="362">
        <f>Z87*C87</f>
        <v>120000</v>
      </c>
      <c r="AB87" s="361"/>
      <c r="AC87" s="342"/>
      <c r="AD87" s="348"/>
    </row>
    <row r="88" spans="1:30" s="349" customFormat="1">
      <c r="A88" s="359" t="s">
        <v>221</v>
      </c>
      <c r="B88" s="359">
        <v>100</v>
      </c>
      <c r="C88" s="504">
        <v>80000</v>
      </c>
      <c r="D88" s="492">
        <v>0</v>
      </c>
      <c r="E88" s="362">
        <f>D88*C88</f>
        <v>0</v>
      </c>
      <c r="F88" s="492">
        <v>0</v>
      </c>
      <c r="G88" s="362">
        <f>F88*C88</f>
        <v>0</v>
      </c>
      <c r="H88" s="492">
        <v>0</v>
      </c>
      <c r="I88" s="362">
        <f>H88*C88</f>
        <v>0</v>
      </c>
      <c r="J88" s="359">
        <v>0</v>
      </c>
      <c r="K88" s="362">
        <f>J88*C88</f>
        <v>0</v>
      </c>
      <c r="L88" s="359">
        <v>0</v>
      </c>
      <c r="M88" s="362">
        <f>L88*C88</f>
        <v>0</v>
      </c>
      <c r="N88" s="359">
        <v>0</v>
      </c>
      <c r="O88" s="362">
        <f>N88*C88</f>
        <v>0</v>
      </c>
      <c r="P88" s="359">
        <v>0</v>
      </c>
      <c r="Q88" s="362">
        <f>P88*C88</f>
        <v>0</v>
      </c>
      <c r="R88" s="359">
        <v>0</v>
      </c>
      <c r="S88" s="362">
        <f>R88*C88</f>
        <v>0</v>
      </c>
      <c r="T88" s="492">
        <v>0</v>
      </c>
      <c r="U88" s="362">
        <f>T88*C88</f>
        <v>0</v>
      </c>
      <c r="V88" s="492">
        <v>0</v>
      </c>
      <c r="W88" s="362">
        <f>V88*C88</f>
        <v>0</v>
      </c>
      <c r="X88" s="492">
        <v>0</v>
      </c>
      <c r="Y88" s="362">
        <f>X88*C88</f>
        <v>0</v>
      </c>
      <c r="Z88" s="492">
        <v>0</v>
      </c>
      <c r="AA88" s="362">
        <f>Z88*C88</f>
        <v>0</v>
      </c>
      <c r="AB88" s="361"/>
      <c r="AC88" s="342"/>
      <c r="AD88" s="348"/>
    </row>
    <row r="89" spans="1:30" s="349" customFormat="1">
      <c r="A89" s="359"/>
      <c r="B89" s="359"/>
      <c r="C89" s="504"/>
      <c r="D89" s="492"/>
      <c r="E89" s="362"/>
      <c r="F89" s="492"/>
      <c r="G89" s="362"/>
      <c r="H89" s="492"/>
      <c r="I89" s="362"/>
      <c r="J89" s="359"/>
      <c r="K89" s="362"/>
      <c r="L89" s="359"/>
      <c r="M89" s="362"/>
      <c r="N89" s="359"/>
      <c r="O89" s="362"/>
      <c r="P89" s="359"/>
      <c r="Q89" s="362"/>
      <c r="R89" s="359"/>
      <c r="S89" s="362"/>
      <c r="T89" s="492"/>
      <c r="U89" s="362"/>
      <c r="V89" s="492"/>
      <c r="W89" s="362"/>
      <c r="X89" s="492"/>
      <c r="Y89" s="362"/>
      <c r="Z89" s="492"/>
      <c r="AA89" s="362"/>
      <c r="AB89" s="361"/>
      <c r="AC89" s="342"/>
      <c r="AD89" s="348"/>
    </row>
    <row r="90" spans="1:30" s="349" customFormat="1">
      <c r="A90" s="359" t="s">
        <v>220</v>
      </c>
      <c r="B90" s="359">
        <v>150</v>
      </c>
      <c r="C90" s="504">
        <v>120000</v>
      </c>
      <c r="D90" s="492">
        <v>0</v>
      </c>
      <c r="E90" s="362">
        <f>D90*C90</f>
        <v>0</v>
      </c>
      <c r="F90" s="492">
        <v>0</v>
      </c>
      <c r="G90" s="362">
        <f>F90*C90</f>
        <v>0</v>
      </c>
      <c r="H90" s="492">
        <v>0</v>
      </c>
      <c r="I90" s="362">
        <f>H90*C90</f>
        <v>0</v>
      </c>
      <c r="J90" s="359">
        <v>0</v>
      </c>
      <c r="K90" s="362">
        <f>J90*C90</f>
        <v>0</v>
      </c>
      <c r="L90" s="359">
        <v>0</v>
      </c>
      <c r="M90" s="362">
        <f>L90*C90</f>
        <v>0</v>
      </c>
      <c r="N90" s="359">
        <v>0</v>
      </c>
      <c r="O90" s="362">
        <f>N90*C90</f>
        <v>0</v>
      </c>
      <c r="P90" s="359">
        <v>10</v>
      </c>
      <c r="Q90" s="362">
        <f>P90*C90</f>
        <v>1200000</v>
      </c>
      <c r="R90" s="359">
        <v>10</v>
      </c>
      <c r="S90" s="362">
        <f>R90*C90</f>
        <v>1200000</v>
      </c>
      <c r="T90" s="492">
        <v>10</v>
      </c>
      <c r="U90" s="362">
        <f>T90*C90</f>
        <v>1200000</v>
      </c>
      <c r="V90" s="492">
        <v>10</v>
      </c>
      <c r="W90" s="362">
        <f>V90*C90</f>
        <v>1200000</v>
      </c>
      <c r="X90" s="492">
        <v>10</v>
      </c>
      <c r="Y90" s="362">
        <f>X90*C90</f>
        <v>1200000</v>
      </c>
      <c r="Z90" s="492">
        <v>10</v>
      </c>
      <c r="AA90" s="362">
        <f>Z90*C90</f>
        <v>1200000</v>
      </c>
      <c r="AB90" s="361"/>
      <c r="AC90" s="342"/>
      <c r="AD90" s="348"/>
    </row>
    <row r="91" spans="1:30" s="349" customFormat="1">
      <c r="A91" s="359" t="s">
        <v>220</v>
      </c>
      <c r="B91" s="359">
        <v>250</v>
      </c>
      <c r="C91" s="504">
        <v>200000</v>
      </c>
      <c r="D91" s="492">
        <v>0</v>
      </c>
      <c r="E91" s="362">
        <f>D91*C91</f>
        <v>0</v>
      </c>
      <c r="F91" s="492">
        <v>0</v>
      </c>
      <c r="G91" s="362">
        <f>F91*C91</f>
        <v>0</v>
      </c>
      <c r="H91" s="492">
        <v>0</v>
      </c>
      <c r="I91" s="362">
        <f>H91*C91</f>
        <v>0</v>
      </c>
      <c r="J91" s="359">
        <v>0</v>
      </c>
      <c r="K91" s="362">
        <f>J91*C91</f>
        <v>0</v>
      </c>
      <c r="L91" s="359">
        <v>0</v>
      </c>
      <c r="M91" s="362">
        <f>L91*C91</f>
        <v>0</v>
      </c>
      <c r="N91" s="359">
        <v>0</v>
      </c>
      <c r="O91" s="362">
        <f>N91*C91</f>
        <v>0</v>
      </c>
      <c r="P91" s="359">
        <v>5</v>
      </c>
      <c r="Q91" s="362">
        <f>P91*C91</f>
        <v>1000000</v>
      </c>
      <c r="R91" s="359">
        <v>5</v>
      </c>
      <c r="S91" s="362">
        <f>R91*C91</f>
        <v>1000000</v>
      </c>
      <c r="T91" s="492">
        <v>5</v>
      </c>
      <c r="U91" s="362">
        <f>T91*C91</f>
        <v>1000000</v>
      </c>
      <c r="V91" s="492">
        <v>5</v>
      </c>
      <c r="W91" s="362">
        <f>V91*C91</f>
        <v>1000000</v>
      </c>
      <c r="X91" s="492">
        <v>5</v>
      </c>
      <c r="Y91" s="362">
        <f>X91*C91</f>
        <v>1000000</v>
      </c>
      <c r="Z91" s="492">
        <v>5</v>
      </c>
      <c r="AA91" s="362">
        <f>Z91*C91</f>
        <v>1000000</v>
      </c>
      <c r="AB91" s="361"/>
      <c r="AC91" s="342"/>
      <c r="AD91" s="348"/>
    </row>
    <row r="92" spans="1:30" s="349" customFormat="1">
      <c r="A92" s="359" t="s">
        <v>220</v>
      </c>
      <c r="B92" s="359">
        <v>350</v>
      </c>
      <c r="C92" s="504">
        <v>270000</v>
      </c>
      <c r="D92" s="492">
        <v>0</v>
      </c>
      <c r="E92" s="362">
        <f>D92*C92</f>
        <v>0</v>
      </c>
      <c r="F92" s="492">
        <v>0</v>
      </c>
      <c r="G92" s="362">
        <f>F92*C92</f>
        <v>0</v>
      </c>
      <c r="H92" s="492">
        <v>0</v>
      </c>
      <c r="I92" s="362">
        <f>H92*C92</f>
        <v>0</v>
      </c>
      <c r="J92" s="359">
        <v>0</v>
      </c>
      <c r="K92" s="362">
        <f>J92*C92</f>
        <v>0</v>
      </c>
      <c r="L92" s="359">
        <v>0</v>
      </c>
      <c r="M92" s="362">
        <f>L92*C92</f>
        <v>0</v>
      </c>
      <c r="N92" s="359">
        <v>0</v>
      </c>
      <c r="O92" s="362">
        <f>N92*C92</f>
        <v>0</v>
      </c>
      <c r="P92" s="359">
        <v>2</v>
      </c>
      <c r="Q92" s="362">
        <f>P92*C92</f>
        <v>540000</v>
      </c>
      <c r="R92" s="359">
        <v>2</v>
      </c>
      <c r="S92" s="362">
        <f>R92*C92</f>
        <v>540000</v>
      </c>
      <c r="T92" s="492">
        <v>2</v>
      </c>
      <c r="U92" s="362">
        <f>T92*C92</f>
        <v>540000</v>
      </c>
      <c r="V92" s="492">
        <v>2</v>
      </c>
      <c r="W92" s="362">
        <f>V92*C92</f>
        <v>540000</v>
      </c>
      <c r="X92" s="492">
        <v>2</v>
      </c>
      <c r="Y92" s="362">
        <f>X92*C92</f>
        <v>540000</v>
      </c>
      <c r="Z92" s="492">
        <v>2</v>
      </c>
      <c r="AA92" s="362">
        <f>Z92*C92</f>
        <v>540000</v>
      </c>
      <c r="AB92" s="361"/>
      <c r="AC92" s="342"/>
      <c r="AD92" s="348"/>
    </row>
    <row r="93" spans="1:30" s="349" customFormat="1">
      <c r="A93" s="359" t="s">
        <v>220</v>
      </c>
      <c r="B93" s="359">
        <v>500</v>
      </c>
      <c r="C93" s="504">
        <v>350000</v>
      </c>
      <c r="D93" s="492">
        <v>0</v>
      </c>
      <c r="E93" s="362">
        <f>D93*C93</f>
        <v>0</v>
      </c>
      <c r="F93" s="492">
        <v>0</v>
      </c>
      <c r="G93" s="362">
        <f>F93*C93</f>
        <v>0</v>
      </c>
      <c r="H93" s="492">
        <v>0</v>
      </c>
      <c r="I93" s="362">
        <f>H93*C93</f>
        <v>0</v>
      </c>
      <c r="J93" s="359">
        <v>0</v>
      </c>
      <c r="K93" s="362">
        <f>J93*C93</f>
        <v>0</v>
      </c>
      <c r="L93" s="359">
        <v>0</v>
      </c>
      <c r="M93" s="362">
        <f>L93*C93</f>
        <v>0</v>
      </c>
      <c r="N93" s="359">
        <v>0</v>
      </c>
      <c r="O93" s="362">
        <f>N93*C93</f>
        <v>0</v>
      </c>
      <c r="P93" s="359">
        <v>0</v>
      </c>
      <c r="Q93" s="362">
        <f>P93*C93</f>
        <v>0</v>
      </c>
      <c r="R93" s="359">
        <v>0</v>
      </c>
      <c r="S93" s="362">
        <f>R93*C93</f>
        <v>0</v>
      </c>
      <c r="T93" s="492">
        <v>0</v>
      </c>
      <c r="U93" s="362">
        <f>T93*C93</f>
        <v>0</v>
      </c>
      <c r="V93" s="492">
        <v>0</v>
      </c>
      <c r="W93" s="362">
        <f>V93*C93</f>
        <v>0</v>
      </c>
      <c r="X93" s="492">
        <v>0</v>
      </c>
      <c r="Y93" s="362">
        <f>X93*C93</f>
        <v>0</v>
      </c>
      <c r="Z93" s="492">
        <v>0</v>
      </c>
      <c r="AA93" s="362">
        <f>Z93*C93</f>
        <v>0</v>
      </c>
      <c r="AB93" s="361"/>
      <c r="AC93" s="342"/>
      <c r="AD93" s="348"/>
    </row>
    <row r="94" spans="1:30" s="349" customFormat="1">
      <c r="A94" s="359"/>
      <c r="B94" s="359"/>
      <c r="C94" s="504"/>
      <c r="D94" s="492"/>
      <c r="E94" s="362"/>
      <c r="F94" s="492"/>
      <c r="G94" s="362"/>
      <c r="H94" s="492"/>
      <c r="I94" s="362"/>
      <c r="J94" s="359"/>
      <c r="K94" s="362"/>
      <c r="L94" s="359"/>
      <c r="M94" s="362"/>
      <c r="N94" s="359"/>
      <c r="O94" s="362"/>
      <c r="P94" s="359"/>
      <c r="Q94" s="362"/>
      <c r="R94" s="359"/>
      <c r="S94" s="362"/>
      <c r="T94" s="492"/>
      <c r="U94" s="362"/>
      <c r="V94" s="492"/>
      <c r="W94" s="362"/>
      <c r="X94" s="492"/>
      <c r="Y94" s="362"/>
      <c r="Z94" s="492"/>
      <c r="AA94" s="362"/>
      <c r="AB94" s="361"/>
      <c r="AC94" s="342"/>
      <c r="AD94" s="348"/>
    </row>
    <row r="95" spans="1:30" s="349" customFormat="1">
      <c r="A95" s="359" t="s">
        <v>219</v>
      </c>
      <c r="B95" s="359">
        <v>100</v>
      </c>
      <c r="C95" s="504"/>
      <c r="D95" s="492">
        <v>0</v>
      </c>
      <c r="E95" s="362">
        <f>D95*C95</f>
        <v>0</v>
      </c>
      <c r="F95" s="492">
        <v>0</v>
      </c>
      <c r="G95" s="362">
        <f>F95*C95</f>
        <v>0</v>
      </c>
      <c r="H95" s="492">
        <v>0</v>
      </c>
      <c r="I95" s="362">
        <f>H95*C95</f>
        <v>0</v>
      </c>
      <c r="J95" s="359">
        <v>0</v>
      </c>
      <c r="K95" s="362">
        <f>J95*C95</f>
        <v>0</v>
      </c>
      <c r="L95" s="359">
        <v>0</v>
      </c>
      <c r="M95" s="362">
        <f>L95*C95</f>
        <v>0</v>
      </c>
      <c r="N95" s="359">
        <v>0</v>
      </c>
      <c r="O95" s="362">
        <f>N95*C95</f>
        <v>0</v>
      </c>
      <c r="P95" s="359">
        <v>5</v>
      </c>
      <c r="Q95" s="362">
        <f>P95*C95</f>
        <v>0</v>
      </c>
      <c r="R95" s="359">
        <v>5</v>
      </c>
      <c r="S95" s="362">
        <f>R95*C95</f>
        <v>0</v>
      </c>
      <c r="T95" s="492">
        <v>5</v>
      </c>
      <c r="U95" s="362">
        <f>T95*C95</f>
        <v>0</v>
      </c>
      <c r="V95" s="492">
        <v>5</v>
      </c>
      <c r="W95" s="362">
        <f>V95*C95</f>
        <v>0</v>
      </c>
      <c r="X95" s="492">
        <v>5</v>
      </c>
      <c r="Y95" s="362">
        <f>X95*C95</f>
        <v>0</v>
      </c>
      <c r="Z95" s="492">
        <v>5</v>
      </c>
      <c r="AA95" s="362">
        <f>Z95*C95</f>
        <v>0</v>
      </c>
      <c r="AB95" s="361"/>
      <c r="AC95" s="342"/>
      <c r="AD95" s="348"/>
    </row>
    <row r="96" spans="1:30" s="349" customFormat="1">
      <c r="A96" s="359" t="s">
        <v>219</v>
      </c>
      <c r="B96" s="359">
        <v>150</v>
      </c>
      <c r="C96" s="504"/>
      <c r="D96" s="492">
        <v>0</v>
      </c>
      <c r="E96" s="362">
        <f>D96*C96</f>
        <v>0</v>
      </c>
      <c r="F96" s="492">
        <v>0</v>
      </c>
      <c r="G96" s="362">
        <f>F96*C96</f>
        <v>0</v>
      </c>
      <c r="H96" s="492">
        <v>0</v>
      </c>
      <c r="I96" s="362">
        <f>H96*C96</f>
        <v>0</v>
      </c>
      <c r="J96" s="359">
        <v>0</v>
      </c>
      <c r="K96" s="362">
        <f>J96*C96</f>
        <v>0</v>
      </c>
      <c r="L96" s="359">
        <v>0</v>
      </c>
      <c r="M96" s="362">
        <f>L96*C96</f>
        <v>0</v>
      </c>
      <c r="N96" s="359">
        <v>0</v>
      </c>
      <c r="O96" s="362">
        <f>N96*C96</f>
        <v>0</v>
      </c>
      <c r="P96" s="359">
        <v>4</v>
      </c>
      <c r="Q96" s="362">
        <f>P96*C96</f>
        <v>0</v>
      </c>
      <c r="R96" s="359">
        <v>4</v>
      </c>
      <c r="S96" s="362">
        <f>R96*C96</f>
        <v>0</v>
      </c>
      <c r="T96" s="492">
        <v>4</v>
      </c>
      <c r="U96" s="362">
        <f>T96*C96</f>
        <v>0</v>
      </c>
      <c r="V96" s="492">
        <v>4</v>
      </c>
      <c r="W96" s="362">
        <f>V96*C96</f>
        <v>0</v>
      </c>
      <c r="X96" s="492">
        <v>4</v>
      </c>
      <c r="Y96" s="362">
        <f>X96*C96</f>
        <v>0</v>
      </c>
      <c r="Z96" s="492">
        <v>4</v>
      </c>
      <c r="AA96" s="362">
        <f>Z96*C96</f>
        <v>0</v>
      </c>
      <c r="AB96" s="361"/>
      <c r="AC96" s="342"/>
      <c r="AD96" s="348"/>
    </row>
    <row r="97" spans="1:30" s="349" customFormat="1">
      <c r="A97" s="359" t="s">
        <v>219</v>
      </c>
      <c r="B97" s="359">
        <v>250</v>
      </c>
      <c r="C97" s="504"/>
      <c r="D97" s="492">
        <v>0</v>
      </c>
      <c r="E97" s="362">
        <f>D97*C97</f>
        <v>0</v>
      </c>
      <c r="F97" s="492">
        <v>0</v>
      </c>
      <c r="G97" s="362">
        <f>F97*C97</f>
        <v>0</v>
      </c>
      <c r="H97" s="492">
        <v>0</v>
      </c>
      <c r="I97" s="362">
        <f>H97*C97</f>
        <v>0</v>
      </c>
      <c r="J97" s="359">
        <v>0</v>
      </c>
      <c r="K97" s="362">
        <f>J97*C97</f>
        <v>0</v>
      </c>
      <c r="L97" s="359">
        <v>0</v>
      </c>
      <c r="M97" s="362">
        <f>L97*C97</f>
        <v>0</v>
      </c>
      <c r="N97" s="359">
        <v>0</v>
      </c>
      <c r="O97" s="362">
        <f>N97*C97</f>
        <v>0</v>
      </c>
      <c r="P97" s="359">
        <v>3</v>
      </c>
      <c r="Q97" s="362">
        <f>P97*C97</f>
        <v>0</v>
      </c>
      <c r="R97" s="359">
        <v>3</v>
      </c>
      <c r="S97" s="362">
        <f>R97*C97</f>
        <v>0</v>
      </c>
      <c r="T97" s="492">
        <v>3</v>
      </c>
      <c r="U97" s="362">
        <f>T97*C97</f>
        <v>0</v>
      </c>
      <c r="V97" s="492">
        <v>3</v>
      </c>
      <c r="W97" s="362">
        <f>V97*C97</f>
        <v>0</v>
      </c>
      <c r="X97" s="492">
        <v>3</v>
      </c>
      <c r="Y97" s="362">
        <f>X97*C97</f>
        <v>0</v>
      </c>
      <c r="Z97" s="492">
        <v>3</v>
      </c>
      <c r="AA97" s="362">
        <f>Z97*C97</f>
        <v>0</v>
      </c>
      <c r="AB97" s="361"/>
      <c r="AC97" s="342"/>
      <c r="AD97" s="348"/>
    </row>
    <row r="98" spans="1:30" s="349" customFormat="1">
      <c r="A98" s="359" t="s">
        <v>219</v>
      </c>
      <c r="B98" s="359">
        <v>350</v>
      </c>
      <c r="C98" s="504"/>
      <c r="D98" s="492">
        <v>0</v>
      </c>
      <c r="E98" s="362">
        <f>D98*C98</f>
        <v>0</v>
      </c>
      <c r="F98" s="492">
        <v>0</v>
      </c>
      <c r="G98" s="362">
        <f>F98*C98</f>
        <v>0</v>
      </c>
      <c r="H98" s="492">
        <v>0</v>
      </c>
      <c r="I98" s="362">
        <f>H98*C98</f>
        <v>0</v>
      </c>
      <c r="J98" s="359">
        <v>0</v>
      </c>
      <c r="K98" s="362">
        <f>J98*C98</f>
        <v>0</v>
      </c>
      <c r="L98" s="359">
        <v>0</v>
      </c>
      <c r="M98" s="362">
        <f>L98*C98</f>
        <v>0</v>
      </c>
      <c r="N98" s="359">
        <v>0</v>
      </c>
      <c r="O98" s="362">
        <f>N98*C98</f>
        <v>0</v>
      </c>
      <c r="P98" s="359">
        <v>3</v>
      </c>
      <c r="Q98" s="362">
        <f>P98*C98</f>
        <v>0</v>
      </c>
      <c r="R98" s="359">
        <v>3</v>
      </c>
      <c r="S98" s="362">
        <f>R98*C98</f>
        <v>0</v>
      </c>
      <c r="T98" s="492">
        <v>3</v>
      </c>
      <c r="U98" s="362">
        <f>T98*C98</f>
        <v>0</v>
      </c>
      <c r="V98" s="492">
        <v>3</v>
      </c>
      <c r="W98" s="362">
        <f>V98*C98</f>
        <v>0</v>
      </c>
      <c r="X98" s="492">
        <v>3</v>
      </c>
      <c r="Y98" s="362">
        <f>X98*C98</f>
        <v>0</v>
      </c>
      <c r="Z98" s="492">
        <v>3</v>
      </c>
      <c r="AA98" s="362">
        <f>Z98*C98</f>
        <v>0</v>
      </c>
      <c r="AB98" s="361"/>
      <c r="AC98" s="342"/>
      <c r="AD98" s="348"/>
    </row>
    <row r="99" spans="1:30" s="349" customFormat="1">
      <c r="A99" s="359" t="s">
        <v>219</v>
      </c>
      <c r="B99" s="359">
        <v>500</v>
      </c>
      <c r="C99" s="504"/>
      <c r="D99" s="492">
        <v>0</v>
      </c>
      <c r="E99" s="362">
        <f>D99*C99</f>
        <v>0</v>
      </c>
      <c r="F99" s="492">
        <v>0</v>
      </c>
      <c r="G99" s="362">
        <f>F99*C99</f>
        <v>0</v>
      </c>
      <c r="H99" s="492">
        <v>0</v>
      </c>
      <c r="I99" s="362">
        <f>H99*C99</f>
        <v>0</v>
      </c>
      <c r="J99" s="359">
        <v>0</v>
      </c>
      <c r="K99" s="362">
        <f>J99*C99</f>
        <v>0</v>
      </c>
      <c r="L99" s="359">
        <v>0</v>
      </c>
      <c r="M99" s="362">
        <f>L99*C99</f>
        <v>0</v>
      </c>
      <c r="N99" s="359">
        <v>0</v>
      </c>
      <c r="O99" s="362">
        <f>N99*C99</f>
        <v>0</v>
      </c>
      <c r="P99" s="359">
        <v>1</v>
      </c>
      <c r="Q99" s="362">
        <f>P99*C99</f>
        <v>0</v>
      </c>
      <c r="R99" s="359">
        <v>1</v>
      </c>
      <c r="S99" s="362">
        <f>R99*C99</f>
        <v>0</v>
      </c>
      <c r="T99" s="492">
        <v>1</v>
      </c>
      <c r="U99" s="362">
        <f>T99*C99</f>
        <v>0</v>
      </c>
      <c r="V99" s="492">
        <v>1</v>
      </c>
      <c r="W99" s="362">
        <f>V99*C99</f>
        <v>0</v>
      </c>
      <c r="X99" s="492">
        <v>1</v>
      </c>
      <c r="Y99" s="362">
        <f>X99*C99</f>
        <v>0</v>
      </c>
      <c r="Z99" s="492">
        <v>1</v>
      </c>
      <c r="AA99" s="362">
        <f>Z99*C99</f>
        <v>0</v>
      </c>
      <c r="AB99" s="361"/>
      <c r="AC99" s="342"/>
      <c r="AD99" s="348"/>
    </row>
    <row r="100" spans="1:30">
      <c r="A100" s="359"/>
      <c r="B100" s="359"/>
      <c r="C100" s="504"/>
      <c r="D100" s="492"/>
      <c r="E100" s="362"/>
      <c r="F100" s="492"/>
      <c r="G100" s="362"/>
      <c r="H100" s="492"/>
      <c r="I100" s="362"/>
      <c r="J100" s="359"/>
      <c r="K100" s="362"/>
      <c r="L100" s="359"/>
      <c r="M100" s="362"/>
      <c r="N100" s="359"/>
      <c r="O100" s="362"/>
      <c r="P100" s="359"/>
      <c r="Q100" s="362"/>
      <c r="R100" s="359"/>
      <c r="S100" s="362"/>
      <c r="T100" s="492"/>
      <c r="U100" s="362"/>
      <c r="V100" s="492"/>
      <c r="W100" s="362"/>
      <c r="X100" s="492"/>
      <c r="Y100" s="362"/>
      <c r="Z100" s="492"/>
      <c r="AA100" s="362"/>
      <c r="AB100" s="361"/>
      <c r="AD100" s="350"/>
    </row>
    <row r="101" spans="1:30" s="349" customFormat="1">
      <c r="A101" s="359" t="s">
        <v>218</v>
      </c>
      <c r="B101" s="359">
        <v>100</v>
      </c>
      <c r="C101" s="504">
        <v>80000</v>
      </c>
      <c r="D101" s="492">
        <v>0</v>
      </c>
      <c r="E101" s="362">
        <f>D101*C101</f>
        <v>0</v>
      </c>
      <c r="F101" s="492">
        <v>0</v>
      </c>
      <c r="G101" s="362">
        <f>F101*C101</f>
        <v>0</v>
      </c>
      <c r="H101" s="492">
        <v>0</v>
      </c>
      <c r="I101" s="362">
        <f>H101*C101</f>
        <v>0</v>
      </c>
      <c r="J101" s="359">
        <v>0</v>
      </c>
      <c r="K101" s="362">
        <f>J101*C101</f>
        <v>0</v>
      </c>
      <c r="L101" s="359">
        <v>0</v>
      </c>
      <c r="M101" s="362">
        <f>L101*C101</f>
        <v>0</v>
      </c>
      <c r="N101" s="359">
        <v>0</v>
      </c>
      <c r="O101" s="362">
        <f>N101*C101</f>
        <v>0</v>
      </c>
      <c r="P101" s="359">
        <v>5</v>
      </c>
      <c r="Q101" s="362">
        <f>P101*C101</f>
        <v>400000</v>
      </c>
      <c r="R101" s="359">
        <v>5</v>
      </c>
      <c r="S101" s="362">
        <f>R101*C101</f>
        <v>400000</v>
      </c>
      <c r="T101" s="492">
        <v>5</v>
      </c>
      <c r="U101" s="362">
        <f>T101*C101</f>
        <v>400000</v>
      </c>
      <c r="V101" s="492">
        <v>5</v>
      </c>
      <c r="W101" s="362">
        <f>V101*C101</f>
        <v>400000</v>
      </c>
      <c r="X101" s="492">
        <v>5</v>
      </c>
      <c r="Y101" s="362">
        <f>X101*C101</f>
        <v>400000</v>
      </c>
      <c r="Z101" s="492">
        <v>5</v>
      </c>
      <c r="AA101" s="362">
        <f>Z101*C101</f>
        <v>400000</v>
      </c>
      <c r="AB101" s="361"/>
      <c r="AC101" s="342"/>
      <c r="AD101" s="348"/>
    </row>
    <row r="102" spans="1:30" s="349" customFormat="1">
      <c r="A102" s="359" t="s">
        <v>218</v>
      </c>
      <c r="B102" s="359">
        <v>150</v>
      </c>
      <c r="C102" s="504">
        <v>120000</v>
      </c>
      <c r="D102" s="492">
        <v>0</v>
      </c>
      <c r="E102" s="362">
        <f>D102*C102</f>
        <v>0</v>
      </c>
      <c r="F102" s="492">
        <v>0</v>
      </c>
      <c r="G102" s="362">
        <f>F102*C102</f>
        <v>0</v>
      </c>
      <c r="H102" s="492">
        <v>0</v>
      </c>
      <c r="I102" s="362">
        <f>H102*C102</f>
        <v>0</v>
      </c>
      <c r="J102" s="359">
        <v>0</v>
      </c>
      <c r="K102" s="362">
        <f>J102*C102</f>
        <v>0</v>
      </c>
      <c r="L102" s="359">
        <v>0</v>
      </c>
      <c r="M102" s="362">
        <f>L102*C102</f>
        <v>0</v>
      </c>
      <c r="N102" s="359">
        <v>0</v>
      </c>
      <c r="O102" s="362">
        <f>N102*C102</f>
        <v>0</v>
      </c>
      <c r="P102" s="359">
        <v>4</v>
      </c>
      <c r="Q102" s="362">
        <f>P102*C102</f>
        <v>480000</v>
      </c>
      <c r="R102" s="359">
        <v>4</v>
      </c>
      <c r="S102" s="362">
        <f>R102*C102</f>
        <v>480000</v>
      </c>
      <c r="T102" s="492">
        <v>4</v>
      </c>
      <c r="U102" s="362">
        <f>T102*C102</f>
        <v>480000</v>
      </c>
      <c r="V102" s="492">
        <v>4</v>
      </c>
      <c r="W102" s="362">
        <f>V102*C102</f>
        <v>480000</v>
      </c>
      <c r="X102" s="492">
        <v>4</v>
      </c>
      <c r="Y102" s="362">
        <f>X102*C102</f>
        <v>480000</v>
      </c>
      <c r="Z102" s="492">
        <v>4</v>
      </c>
      <c r="AA102" s="362">
        <f>Z102*C102</f>
        <v>480000</v>
      </c>
      <c r="AB102" s="361"/>
      <c r="AC102" s="342"/>
      <c r="AD102" s="348"/>
    </row>
    <row r="103" spans="1:30" s="349" customFormat="1">
      <c r="A103" s="359" t="s">
        <v>218</v>
      </c>
      <c r="B103" s="359">
        <v>250</v>
      </c>
      <c r="C103" s="504">
        <v>200000</v>
      </c>
      <c r="D103" s="492">
        <v>0</v>
      </c>
      <c r="E103" s="362">
        <f>D103*C103</f>
        <v>0</v>
      </c>
      <c r="F103" s="492">
        <v>0</v>
      </c>
      <c r="G103" s="362">
        <f>F103*C103</f>
        <v>0</v>
      </c>
      <c r="H103" s="492">
        <v>0</v>
      </c>
      <c r="I103" s="362">
        <f>H103*C103</f>
        <v>0</v>
      </c>
      <c r="J103" s="359">
        <v>0</v>
      </c>
      <c r="K103" s="362">
        <f>J103*C103</f>
        <v>0</v>
      </c>
      <c r="L103" s="359">
        <v>0</v>
      </c>
      <c r="M103" s="362">
        <f>L103*C103</f>
        <v>0</v>
      </c>
      <c r="N103" s="359">
        <v>0</v>
      </c>
      <c r="O103" s="362">
        <f>N103*C103</f>
        <v>0</v>
      </c>
      <c r="P103" s="359">
        <v>3</v>
      </c>
      <c r="Q103" s="362">
        <f>P103*C103</f>
        <v>600000</v>
      </c>
      <c r="R103" s="359">
        <v>3</v>
      </c>
      <c r="S103" s="362">
        <f>R103*C103</f>
        <v>600000</v>
      </c>
      <c r="T103" s="492">
        <v>3</v>
      </c>
      <c r="U103" s="362">
        <f>T103*C103</f>
        <v>600000</v>
      </c>
      <c r="V103" s="492">
        <v>3</v>
      </c>
      <c r="W103" s="362">
        <f>V103*C103</f>
        <v>600000</v>
      </c>
      <c r="X103" s="492">
        <v>3</v>
      </c>
      <c r="Y103" s="362">
        <f>X103*C103</f>
        <v>600000</v>
      </c>
      <c r="Z103" s="492">
        <v>3</v>
      </c>
      <c r="AA103" s="362">
        <f>Z103*C103</f>
        <v>600000</v>
      </c>
      <c r="AB103" s="361"/>
      <c r="AC103" s="342"/>
      <c r="AD103" s="348"/>
    </row>
    <row r="104" spans="1:30" s="349" customFormat="1">
      <c r="A104" s="359" t="s">
        <v>218</v>
      </c>
      <c r="B104" s="359">
        <v>350</v>
      </c>
      <c r="C104" s="504">
        <v>270000</v>
      </c>
      <c r="D104" s="492">
        <v>0</v>
      </c>
      <c r="E104" s="362">
        <f>D104*C104</f>
        <v>0</v>
      </c>
      <c r="F104" s="492">
        <v>0</v>
      </c>
      <c r="G104" s="362">
        <f>F104*C104</f>
        <v>0</v>
      </c>
      <c r="H104" s="492">
        <v>0</v>
      </c>
      <c r="I104" s="362">
        <f>H104*C104</f>
        <v>0</v>
      </c>
      <c r="J104" s="359">
        <v>0</v>
      </c>
      <c r="K104" s="362">
        <f>J104*C104</f>
        <v>0</v>
      </c>
      <c r="L104" s="359">
        <v>0</v>
      </c>
      <c r="M104" s="362">
        <f>L104*C104</f>
        <v>0</v>
      </c>
      <c r="N104" s="359">
        <v>0</v>
      </c>
      <c r="O104" s="362">
        <f>N104*C104</f>
        <v>0</v>
      </c>
      <c r="P104" s="359">
        <v>3</v>
      </c>
      <c r="Q104" s="362">
        <f>P104*C104</f>
        <v>810000</v>
      </c>
      <c r="R104" s="359">
        <v>3</v>
      </c>
      <c r="S104" s="362">
        <f>R104*C104</f>
        <v>810000</v>
      </c>
      <c r="T104" s="492">
        <v>3</v>
      </c>
      <c r="U104" s="362">
        <f>T104*C104</f>
        <v>810000</v>
      </c>
      <c r="V104" s="492">
        <v>3</v>
      </c>
      <c r="W104" s="362">
        <f>V104*C104</f>
        <v>810000</v>
      </c>
      <c r="X104" s="492">
        <v>3</v>
      </c>
      <c r="Y104" s="362">
        <f>X104*C104</f>
        <v>810000</v>
      </c>
      <c r="Z104" s="492">
        <v>3</v>
      </c>
      <c r="AA104" s="362">
        <f>Z104*C104</f>
        <v>810000</v>
      </c>
      <c r="AB104" s="361"/>
      <c r="AC104" s="342"/>
      <c r="AD104" s="348"/>
    </row>
    <row r="105" spans="1:30" s="349" customFormat="1">
      <c r="A105" s="359" t="s">
        <v>218</v>
      </c>
      <c r="B105" s="359">
        <v>500</v>
      </c>
      <c r="C105" s="504">
        <v>350000</v>
      </c>
      <c r="D105" s="492">
        <v>0</v>
      </c>
      <c r="E105" s="362">
        <f>D105*C105</f>
        <v>0</v>
      </c>
      <c r="F105" s="492">
        <v>0</v>
      </c>
      <c r="G105" s="362">
        <f>F105*C105</f>
        <v>0</v>
      </c>
      <c r="H105" s="492">
        <v>0</v>
      </c>
      <c r="I105" s="362">
        <f>H105*C105</f>
        <v>0</v>
      </c>
      <c r="J105" s="359">
        <v>0</v>
      </c>
      <c r="K105" s="362">
        <f>J105*C105</f>
        <v>0</v>
      </c>
      <c r="L105" s="359">
        <v>0</v>
      </c>
      <c r="M105" s="362">
        <f>C105*L105</f>
        <v>0</v>
      </c>
      <c r="N105" s="359">
        <v>0</v>
      </c>
      <c r="O105" s="362">
        <f>N105*C105</f>
        <v>0</v>
      </c>
      <c r="P105" s="359">
        <v>1</v>
      </c>
      <c r="Q105" s="362">
        <f>P105*C105</f>
        <v>350000</v>
      </c>
      <c r="R105" s="359">
        <v>1</v>
      </c>
      <c r="S105" s="362">
        <f>R105*C105</f>
        <v>350000</v>
      </c>
      <c r="T105" s="492">
        <v>1</v>
      </c>
      <c r="U105" s="362">
        <f>T105*C105</f>
        <v>350000</v>
      </c>
      <c r="V105" s="492">
        <v>1</v>
      </c>
      <c r="W105" s="362">
        <f>V105*C105</f>
        <v>350000</v>
      </c>
      <c r="X105" s="492">
        <v>1</v>
      </c>
      <c r="Y105" s="362">
        <f>X105*C105</f>
        <v>350000</v>
      </c>
      <c r="Z105" s="492">
        <v>1</v>
      </c>
      <c r="AA105" s="362">
        <f>Z105*C105</f>
        <v>350000</v>
      </c>
      <c r="AB105" s="361"/>
      <c r="AC105" s="342"/>
      <c r="AD105" s="348"/>
    </row>
    <row r="106" spans="1:30" s="349" customFormat="1">
      <c r="A106" s="359"/>
      <c r="B106" s="359"/>
      <c r="C106" s="504"/>
      <c r="D106" s="359"/>
      <c r="E106" s="362"/>
      <c r="F106" s="359"/>
      <c r="G106" s="362"/>
      <c r="H106" s="359"/>
      <c r="I106" s="362"/>
      <c r="J106" s="359"/>
      <c r="K106" s="362"/>
      <c r="L106" s="359"/>
      <c r="M106" s="362"/>
      <c r="N106" s="359"/>
      <c r="O106" s="362"/>
      <c r="P106" s="359"/>
      <c r="Q106" s="362"/>
      <c r="R106" s="359"/>
      <c r="S106" s="362"/>
      <c r="T106" s="492"/>
      <c r="U106" s="362"/>
      <c r="V106" s="492"/>
      <c r="W106" s="362"/>
      <c r="X106" s="492"/>
      <c r="Y106" s="362"/>
      <c r="Z106" s="492"/>
      <c r="AA106" s="362"/>
      <c r="AB106" s="360"/>
      <c r="AC106" s="342"/>
      <c r="AD106" s="348"/>
    </row>
    <row r="107" spans="1:30" s="479" customFormat="1">
      <c r="A107" s="474"/>
      <c r="B107" s="474"/>
      <c r="C107" s="505"/>
      <c r="D107" s="474">
        <v>0.1</v>
      </c>
      <c r="E107" s="475">
        <f>SUM(E85:E105)</f>
        <v>0</v>
      </c>
      <c r="F107" s="474">
        <v>0.1</v>
      </c>
      <c r="G107" s="475">
        <f>SUM(G85:G105)</f>
        <v>0</v>
      </c>
      <c r="H107" s="474">
        <v>0.1</v>
      </c>
      <c r="I107" s="475">
        <f>SUM(I85:I105)</f>
        <v>0</v>
      </c>
      <c r="J107" s="474">
        <v>0.1</v>
      </c>
      <c r="K107" s="475">
        <f>SUM(K85:K105)</f>
        <v>0</v>
      </c>
      <c r="L107" s="474">
        <v>0.1</v>
      </c>
      <c r="M107" s="475">
        <f>SUM(M85:M105)</f>
        <v>0</v>
      </c>
      <c r="N107" s="474">
        <v>0.1</v>
      </c>
      <c r="O107" s="475">
        <f>SUM(O85:O105)</f>
        <v>0</v>
      </c>
      <c r="P107" s="474">
        <v>0.05</v>
      </c>
      <c r="Q107" s="475">
        <f>SUM(Q85:Q105)</f>
        <v>5830000</v>
      </c>
      <c r="R107" s="474">
        <v>0.05</v>
      </c>
      <c r="S107" s="475">
        <f>SUM(S85:S105)</f>
        <v>5830000</v>
      </c>
      <c r="T107" s="515">
        <v>0.05</v>
      </c>
      <c r="U107" s="475">
        <f>SUM(U85:U105)</f>
        <v>5830000</v>
      </c>
      <c r="V107" s="515">
        <v>0.05</v>
      </c>
      <c r="W107" s="475">
        <f>SUM(W85:W105)</f>
        <v>5830000</v>
      </c>
      <c r="X107" s="515">
        <v>0.05</v>
      </c>
      <c r="Y107" s="475">
        <f>SUM(Y85:Y105)</f>
        <v>5830000</v>
      </c>
      <c r="Z107" s="515">
        <v>0.05</v>
      </c>
      <c r="AA107" s="475">
        <f>SUM(AA85:AA105)</f>
        <v>5830000</v>
      </c>
      <c r="AB107" s="476"/>
      <c r="AC107" s="477"/>
      <c r="AD107" s="478"/>
    </row>
    <row r="108" spans="1:30" s="485" customFormat="1">
      <c r="A108" s="480"/>
      <c r="B108" s="480"/>
      <c r="C108" s="507"/>
      <c r="D108" s="480"/>
      <c r="E108" s="481">
        <f>E107*D107</f>
        <v>0</v>
      </c>
      <c r="F108" s="480"/>
      <c r="G108" s="482">
        <f>G107*F107</f>
        <v>0</v>
      </c>
      <c r="H108" s="480"/>
      <c r="I108" s="481">
        <f>I107*H107</f>
        <v>0</v>
      </c>
      <c r="J108" s="480"/>
      <c r="K108" s="481">
        <f>K107*J107</f>
        <v>0</v>
      </c>
      <c r="L108" s="480"/>
      <c r="M108" s="481">
        <f>M107*L107</f>
        <v>0</v>
      </c>
      <c r="N108" s="480"/>
      <c r="O108" s="481">
        <f>O107*N107</f>
        <v>0</v>
      </c>
      <c r="P108" s="480"/>
      <c r="Q108" s="481">
        <f>Q107*P107</f>
        <v>291500</v>
      </c>
      <c r="R108" s="480"/>
      <c r="S108" s="481">
        <f>S107*R107</f>
        <v>291500</v>
      </c>
      <c r="T108" s="516"/>
      <c r="U108" s="481">
        <f>U107*T107</f>
        <v>291500</v>
      </c>
      <c r="V108" s="516"/>
      <c r="W108" s="481">
        <f>W107*V107</f>
        <v>291500</v>
      </c>
      <c r="X108" s="516"/>
      <c r="Y108" s="481">
        <f>Y107*X107</f>
        <v>291500</v>
      </c>
      <c r="Z108" s="516"/>
      <c r="AA108" s="481">
        <f>AA107*Z107</f>
        <v>291500</v>
      </c>
      <c r="AB108" s="481">
        <f>SUM(AA108,Y108,W108,U108,S108,Q108,O108,M108,K108,I108,G108,E108)</f>
        <v>1749000</v>
      </c>
      <c r="AC108" s="483"/>
      <c r="AD108" s="484"/>
    </row>
    <row r="109" spans="1:30" s="349" customFormat="1">
      <c r="A109" s="359"/>
      <c r="B109" s="359"/>
      <c r="C109" s="504"/>
      <c r="D109" s="359"/>
      <c r="E109" s="360"/>
      <c r="F109" s="359"/>
      <c r="G109" s="362"/>
      <c r="H109" s="359"/>
      <c r="I109" s="362"/>
      <c r="J109" s="359"/>
      <c r="K109" s="362"/>
      <c r="L109" s="359"/>
      <c r="M109" s="362"/>
      <c r="N109" s="359"/>
      <c r="O109" s="362"/>
      <c r="P109" s="359"/>
      <c r="Q109" s="362"/>
      <c r="R109" s="359"/>
      <c r="S109" s="362"/>
      <c r="T109" s="492"/>
      <c r="U109" s="362"/>
      <c r="V109" s="492"/>
      <c r="W109" s="362"/>
      <c r="X109" s="492"/>
      <c r="Y109" s="362"/>
      <c r="Z109" s="492"/>
      <c r="AA109" s="362"/>
      <c r="AB109" s="360"/>
      <c r="AC109" s="342"/>
      <c r="AD109" s="348"/>
    </row>
    <row r="110" spans="1:30" s="349" customFormat="1">
      <c r="A110" s="359" t="s">
        <v>225</v>
      </c>
      <c r="B110" s="359">
        <v>26</v>
      </c>
      <c r="C110" s="504">
        <v>25000</v>
      </c>
      <c r="D110" s="491">
        <v>0</v>
      </c>
      <c r="E110" s="362">
        <f>D110*C110</f>
        <v>0</v>
      </c>
      <c r="F110" s="491">
        <v>0</v>
      </c>
      <c r="G110" s="362">
        <f>F110*C110</f>
        <v>0</v>
      </c>
      <c r="H110" s="491">
        <v>0</v>
      </c>
      <c r="I110" s="362">
        <f>H110*C110</f>
        <v>0</v>
      </c>
      <c r="J110" s="491">
        <v>0</v>
      </c>
      <c r="K110" s="362">
        <f>J110*C110</f>
        <v>0</v>
      </c>
      <c r="L110" s="359">
        <v>0</v>
      </c>
      <c r="M110" s="362">
        <f>L110*C110</f>
        <v>0</v>
      </c>
      <c r="N110" s="359">
        <v>0</v>
      </c>
      <c r="O110" s="362">
        <f>N110*C110</f>
        <v>0</v>
      </c>
      <c r="P110" s="359">
        <v>10</v>
      </c>
      <c r="Q110" s="362">
        <f>P110*C110</f>
        <v>250000</v>
      </c>
      <c r="R110" s="359">
        <v>10</v>
      </c>
      <c r="S110" s="362">
        <f>R110*C110</f>
        <v>250000</v>
      </c>
      <c r="T110" s="492">
        <v>10</v>
      </c>
      <c r="U110" s="362">
        <f>T110*C110</f>
        <v>250000</v>
      </c>
      <c r="V110" s="492">
        <v>10</v>
      </c>
      <c r="W110" s="362">
        <f>V110*C110</f>
        <v>250000</v>
      </c>
      <c r="X110" s="492">
        <v>10</v>
      </c>
      <c r="Y110" s="362">
        <f>X110*C110</f>
        <v>250000</v>
      </c>
      <c r="Z110" s="492">
        <v>10</v>
      </c>
      <c r="AA110" s="362">
        <f>Z110*C110</f>
        <v>250000</v>
      </c>
      <c r="AB110" s="361"/>
      <c r="AC110" s="342"/>
      <c r="AD110" s="348"/>
    </row>
    <row r="111" spans="1:30" s="349" customFormat="1">
      <c r="A111" s="359" t="s">
        <v>225</v>
      </c>
      <c r="B111" s="359">
        <v>33</v>
      </c>
      <c r="C111" s="504">
        <v>45000</v>
      </c>
      <c r="D111" s="492">
        <v>0</v>
      </c>
      <c r="E111" s="362">
        <f>D111*C111</f>
        <v>0</v>
      </c>
      <c r="F111" s="492">
        <v>0</v>
      </c>
      <c r="G111" s="362">
        <f>F111*C111</f>
        <v>0</v>
      </c>
      <c r="H111" s="492">
        <v>0</v>
      </c>
      <c r="I111" s="362">
        <f>H111*C111</f>
        <v>0</v>
      </c>
      <c r="J111" s="492">
        <v>0</v>
      </c>
      <c r="K111" s="362">
        <f>J111*C111</f>
        <v>0</v>
      </c>
      <c r="L111" s="359">
        <v>0</v>
      </c>
      <c r="M111" s="362">
        <f>L111*C111</f>
        <v>0</v>
      </c>
      <c r="N111" s="359">
        <v>0</v>
      </c>
      <c r="O111" s="362">
        <f>N111*C111</f>
        <v>0</v>
      </c>
      <c r="P111" s="359">
        <v>5</v>
      </c>
      <c r="Q111" s="362">
        <f>P111*C111</f>
        <v>225000</v>
      </c>
      <c r="R111" s="359">
        <v>5</v>
      </c>
      <c r="S111" s="362">
        <f>R111*C111</f>
        <v>225000</v>
      </c>
      <c r="T111" s="492">
        <v>5</v>
      </c>
      <c r="U111" s="362">
        <f>T111*C111</f>
        <v>225000</v>
      </c>
      <c r="V111" s="492">
        <v>5</v>
      </c>
      <c r="W111" s="362">
        <f>V111*C111</f>
        <v>225000</v>
      </c>
      <c r="X111" s="492">
        <v>5</v>
      </c>
      <c r="Y111" s="362">
        <f>X111*C111</f>
        <v>225000</v>
      </c>
      <c r="Z111" s="492">
        <v>5</v>
      </c>
      <c r="AA111" s="362">
        <f>Z111*C111</f>
        <v>225000</v>
      </c>
      <c r="AB111" s="361"/>
      <c r="AC111" s="342"/>
      <c r="AD111" s="348"/>
    </row>
    <row r="112" spans="1:30" s="349" customFormat="1">
      <c r="A112" s="359" t="s">
        <v>225</v>
      </c>
      <c r="B112" s="359">
        <v>64</v>
      </c>
      <c r="C112" s="504">
        <v>85000</v>
      </c>
      <c r="D112" s="492">
        <v>0</v>
      </c>
      <c r="E112" s="362">
        <f>D112*C112</f>
        <v>0</v>
      </c>
      <c r="F112" s="492">
        <v>0</v>
      </c>
      <c r="G112" s="362">
        <f>F112*C112</f>
        <v>0</v>
      </c>
      <c r="H112" s="492">
        <v>0</v>
      </c>
      <c r="I112" s="362">
        <f>H112*C112</f>
        <v>0</v>
      </c>
      <c r="J112" s="492">
        <v>0</v>
      </c>
      <c r="K112" s="362">
        <f>J112*C112</f>
        <v>0</v>
      </c>
      <c r="L112" s="359">
        <v>0</v>
      </c>
      <c r="M112" s="362">
        <f>L112*C112</f>
        <v>0</v>
      </c>
      <c r="N112" s="359">
        <v>0</v>
      </c>
      <c r="O112" s="362">
        <f>N112*C112</f>
        <v>0</v>
      </c>
      <c r="P112" s="359">
        <v>2</v>
      </c>
      <c r="Q112" s="362">
        <f>P112*C112</f>
        <v>170000</v>
      </c>
      <c r="R112" s="359">
        <v>2</v>
      </c>
      <c r="S112" s="362">
        <f>R112*C112</f>
        <v>170000</v>
      </c>
      <c r="T112" s="492">
        <v>2</v>
      </c>
      <c r="U112" s="362">
        <f>T112*C112</f>
        <v>170000</v>
      </c>
      <c r="V112" s="492">
        <v>2</v>
      </c>
      <c r="W112" s="362">
        <f>V112*C112</f>
        <v>170000</v>
      </c>
      <c r="X112" s="492">
        <v>2</v>
      </c>
      <c r="Y112" s="362">
        <f>X112*C112</f>
        <v>170000</v>
      </c>
      <c r="Z112" s="492">
        <v>2</v>
      </c>
      <c r="AA112" s="362">
        <f>Z112*C112</f>
        <v>170000</v>
      </c>
      <c r="AB112" s="361"/>
      <c r="AC112" s="342"/>
      <c r="AD112" s="348"/>
    </row>
    <row r="113" spans="1:30" s="349" customFormat="1">
      <c r="A113" s="359" t="s">
        <v>225</v>
      </c>
      <c r="B113" s="359">
        <v>100</v>
      </c>
      <c r="C113" s="504">
        <v>120000</v>
      </c>
      <c r="D113" s="492">
        <v>0</v>
      </c>
      <c r="E113" s="362">
        <f>D113*C113</f>
        <v>0</v>
      </c>
      <c r="F113" s="492">
        <v>0</v>
      </c>
      <c r="G113" s="362">
        <f>F113*C113</f>
        <v>0</v>
      </c>
      <c r="H113" s="492">
        <v>0</v>
      </c>
      <c r="I113" s="362">
        <f>H113*C113</f>
        <v>0</v>
      </c>
      <c r="J113" s="492">
        <v>0</v>
      </c>
      <c r="K113" s="362">
        <f>J113*C113</f>
        <v>0</v>
      </c>
      <c r="L113" s="359">
        <v>0</v>
      </c>
      <c r="M113" s="362">
        <f>L113*C113</f>
        <v>0</v>
      </c>
      <c r="N113" s="359">
        <v>0</v>
      </c>
      <c r="O113" s="362">
        <f>N113*C113</f>
        <v>0</v>
      </c>
      <c r="P113" s="359">
        <v>0</v>
      </c>
      <c r="Q113" s="362">
        <f>P113*C113</f>
        <v>0</v>
      </c>
      <c r="R113" s="359">
        <v>0</v>
      </c>
      <c r="S113" s="362">
        <f>R113*C113</f>
        <v>0</v>
      </c>
      <c r="T113" s="492">
        <v>0</v>
      </c>
      <c r="U113" s="362">
        <f>T113*C113</f>
        <v>0</v>
      </c>
      <c r="V113" s="492">
        <v>0</v>
      </c>
      <c r="W113" s="362">
        <f>V113*C113</f>
        <v>0</v>
      </c>
      <c r="X113" s="492">
        <v>0</v>
      </c>
      <c r="Y113" s="362">
        <f>X113*C113</f>
        <v>0</v>
      </c>
      <c r="Z113" s="492">
        <v>0</v>
      </c>
      <c r="AA113" s="362">
        <f>Z113*C113</f>
        <v>0</v>
      </c>
      <c r="AB113" s="361"/>
      <c r="AC113" s="342"/>
      <c r="AD113" s="348"/>
    </row>
    <row r="114" spans="1:30" s="349" customFormat="1">
      <c r="A114" s="359"/>
      <c r="B114" s="359"/>
      <c r="C114" s="504"/>
      <c r="D114" s="492"/>
      <c r="E114" s="362"/>
      <c r="F114" s="492"/>
      <c r="G114" s="362"/>
      <c r="H114" s="492"/>
      <c r="I114" s="362"/>
      <c r="J114" s="492"/>
      <c r="K114" s="362"/>
      <c r="L114" s="359"/>
      <c r="M114" s="362"/>
      <c r="N114" s="359"/>
      <c r="O114" s="362"/>
      <c r="P114" s="359"/>
      <c r="Q114" s="362"/>
      <c r="R114" s="359"/>
      <c r="S114" s="362"/>
      <c r="T114" s="492"/>
      <c r="U114" s="362"/>
      <c r="V114" s="492"/>
      <c r="W114" s="362"/>
      <c r="X114" s="492"/>
      <c r="Y114" s="362"/>
      <c r="Z114" s="492"/>
      <c r="AA114" s="362"/>
      <c r="AB114" s="361"/>
      <c r="AC114" s="342"/>
      <c r="AD114" s="348"/>
    </row>
    <row r="115" spans="1:30" s="349" customFormat="1">
      <c r="A115" s="359" t="s">
        <v>224</v>
      </c>
      <c r="B115" s="359">
        <v>150</v>
      </c>
      <c r="C115" s="504">
        <v>150000</v>
      </c>
      <c r="D115" s="492">
        <v>0</v>
      </c>
      <c r="E115" s="362">
        <f>D115*C115</f>
        <v>0</v>
      </c>
      <c r="F115" s="492">
        <v>0</v>
      </c>
      <c r="G115" s="362">
        <f>F115*C115</f>
        <v>0</v>
      </c>
      <c r="H115" s="492">
        <v>0</v>
      </c>
      <c r="I115" s="362">
        <f>H115*C115</f>
        <v>0</v>
      </c>
      <c r="J115" s="492">
        <v>0</v>
      </c>
      <c r="K115" s="362">
        <f>J115*C115</f>
        <v>0</v>
      </c>
      <c r="L115" s="359">
        <v>0</v>
      </c>
      <c r="M115" s="362">
        <f>L115*C115</f>
        <v>0</v>
      </c>
      <c r="N115" s="359">
        <v>0</v>
      </c>
      <c r="O115" s="362">
        <f>N115*C115</f>
        <v>0</v>
      </c>
      <c r="P115" s="359">
        <v>10</v>
      </c>
      <c r="Q115" s="362">
        <f>P115*C115</f>
        <v>1500000</v>
      </c>
      <c r="R115" s="359">
        <v>10</v>
      </c>
      <c r="S115" s="362">
        <f>R115*C115</f>
        <v>1500000</v>
      </c>
      <c r="T115" s="492">
        <v>10</v>
      </c>
      <c r="U115" s="362">
        <f>T115*C115</f>
        <v>1500000</v>
      </c>
      <c r="V115" s="492">
        <v>10</v>
      </c>
      <c r="W115" s="362">
        <f>V115*C115</f>
        <v>1500000</v>
      </c>
      <c r="X115" s="492">
        <v>10</v>
      </c>
      <c r="Y115" s="362">
        <f>X115*C115</f>
        <v>1500000</v>
      </c>
      <c r="Z115" s="492">
        <v>10</v>
      </c>
      <c r="AA115" s="362">
        <f>Z115*C115</f>
        <v>1500000</v>
      </c>
      <c r="AB115" s="361"/>
      <c r="AC115" s="342"/>
      <c r="AD115" s="348"/>
    </row>
    <row r="116" spans="1:30" s="349" customFormat="1">
      <c r="A116" s="359" t="s">
        <v>224</v>
      </c>
      <c r="B116" s="359">
        <v>250</v>
      </c>
      <c r="C116" s="504">
        <v>250000</v>
      </c>
      <c r="D116" s="492">
        <v>0</v>
      </c>
      <c r="E116" s="362">
        <f>D116*C116</f>
        <v>0</v>
      </c>
      <c r="F116" s="492">
        <v>0</v>
      </c>
      <c r="G116" s="362">
        <f>F116*C116</f>
        <v>0</v>
      </c>
      <c r="H116" s="492">
        <v>0</v>
      </c>
      <c r="I116" s="362">
        <f>H116*C116</f>
        <v>0</v>
      </c>
      <c r="J116" s="492">
        <v>0</v>
      </c>
      <c r="K116" s="362">
        <f>J116*C116</f>
        <v>0</v>
      </c>
      <c r="L116" s="359">
        <v>0</v>
      </c>
      <c r="M116" s="362">
        <f>L116*C116</f>
        <v>0</v>
      </c>
      <c r="N116" s="359">
        <v>0</v>
      </c>
      <c r="O116" s="362">
        <f>N116*C116</f>
        <v>0</v>
      </c>
      <c r="P116" s="359">
        <v>5</v>
      </c>
      <c r="Q116" s="362">
        <f>P116*C116</f>
        <v>1250000</v>
      </c>
      <c r="R116" s="359">
        <v>5</v>
      </c>
      <c r="S116" s="362">
        <f>R116*C116</f>
        <v>1250000</v>
      </c>
      <c r="T116" s="492">
        <v>5</v>
      </c>
      <c r="U116" s="362">
        <f>T116*C116</f>
        <v>1250000</v>
      </c>
      <c r="V116" s="492">
        <v>5</v>
      </c>
      <c r="W116" s="362">
        <f>V116*C116</f>
        <v>1250000</v>
      </c>
      <c r="X116" s="492">
        <v>5</v>
      </c>
      <c r="Y116" s="362">
        <f>X116*C116</f>
        <v>1250000</v>
      </c>
      <c r="Z116" s="492">
        <v>5</v>
      </c>
      <c r="AA116" s="362">
        <f>Z116*C116</f>
        <v>1250000</v>
      </c>
      <c r="AB116" s="361"/>
      <c r="AC116" s="342"/>
      <c r="AD116" s="348"/>
    </row>
    <row r="117" spans="1:30" s="349" customFormat="1">
      <c r="A117" s="359" t="s">
        <v>224</v>
      </c>
      <c r="B117" s="359">
        <v>350</v>
      </c>
      <c r="C117" s="504">
        <v>320000</v>
      </c>
      <c r="D117" s="492">
        <v>0</v>
      </c>
      <c r="E117" s="362">
        <f>D117*C117</f>
        <v>0</v>
      </c>
      <c r="F117" s="492">
        <v>0</v>
      </c>
      <c r="G117" s="362">
        <f>F117*C117</f>
        <v>0</v>
      </c>
      <c r="H117" s="492">
        <v>0</v>
      </c>
      <c r="I117" s="362">
        <f>H117*C117</f>
        <v>0</v>
      </c>
      <c r="J117" s="492">
        <v>0</v>
      </c>
      <c r="K117" s="362">
        <f>J117*C117</f>
        <v>0</v>
      </c>
      <c r="L117" s="359">
        <v>0</v>
      </c>
      <c r="M117" s="362">
        <f>L117*C117</f>
        <v>0</v>
      </c>
      <c r="N117" s="359">
        <v>0</v>
      </c>
      <c r="O117" s="362">
        <f>N117*C117</f>
        <v>0</v>
      </c>
      <c r="P117" s="359">
        <v>2</v>
      </c>
      <c r="Q117" s="362">
        <f>P117*C117</f>
        <v>640000</v>
      </c>
      <c r="R117" s="359">
        <v>2</v>
      </c>
      <c r="S117" s="362">
        <f>R117*C117</f>
        <v>640000</v>
      </c>
      <c r="T117" s="492">
        <v>2</v>
      </c>
      <c r="U117" s="362">
        <f>T117*C117</f>
        <v>640000</v>
      </c>
      <c r="V117" s="492">
        <v>2</v>
      </c>
      <c r="W117" s="362">
        <f>V117*C117</f>
        <v>640000</v>
      </c>
      <c r="X117" s="492">
        <v>2</v>
      </c>
      <c r="Y117" s="362">
        <f>X117*C117</f>
        <v>640000</v>
      </c>
      <c r="Z117" s="492">
        <v>2</v>
      </c>
      <c r="AA117" s="362">
        <f>Z117*C117</f>
        <v>640000</v>
      </c>
      <c r="AB117" s="361"/>
      <c r="AC117" s="342"/>
      <c r="AD117" s="348"/>
    </row>
    <row r="118" spans="1:30" s="349" customFormat="1">
      <c r="A118" s="359" t="s">
        <v>224</v>
      </c>
      <c r="B118" s="359">
        <v>500</v>
      </c>
      <c r="C118" s="504">
        <v>480000</v>
      </c>
      <c r="D118" s="492">
        <v>0</v>
      </c>
      <c r="E118" s="362">
        <f>D118*C118</f>
        <v>0</v>
      </c>
      <c r="F118" s="492">
        <v>0</v>
      </c>
      <c r="G118" s="362">
        <f>F118*C118</f>
        <v>0</v>
      </c>
      <c r="H118" s="492">
        <v>0</v>
      </c>
      <c r="I118" s="362">
        <f>H118*C118</f>
        <v>0</v>
      </c>
      <c r="J118" s="492">
        <v>0</v>
      </c>
      <c r="K118" s="362">
        <f>J118*C118</f>
        <v>0</v>
      </c>
      <c r="L118" s="359">
        <v>0</v>
      </c>
      <c r="M118" s="362">
        <f>L118*C118</f>
        <v>0</v>
      </c>
      <c r="N118" s="359">
        <v>0</v>
      </c>
      <c r="O118" s="362">
        <f>N118*C118</f>
        <v>0</v>
      </c>
      <c r="P118" s="359">
        <v>0</v>
      </c>
      <c r="Q118" s="362">
        <f>P118*C118</f>
        <v>0</v>
      </c>
      <c r="R118" s="359">
        <v>0</v>
      </c>
      <c r="S118" s="362">
        <f>R118*C118</f>
        <v>0</v>
      </c>
      <c r="T118" s="492">
        <v>0</v>
      </c>
      <c r="U118" s="362">
        <f>T118*C118</f>
        <v>0</v>
      </c>
      <c r="V118" s="492">
        <v>0</v>
      </c>
      <c r="W118" s="362">
        <f>V118*C118</f>
        <v>0</v>
      </c>
      <c r="X118" s="492">
        <v>0</v>
      </c>
      <c r="Y118" s="362">
        <f>X118*C118</f>
        <v>0</v>
      </c>
      <c r="Z118" s="492">
        <v>0</v>
      </c>
      <c r="AA118" s="362">
        <f>Z118*C118</f>
        <v>0</v>
      </c>
      <c r="AB118" s="361"/>
      <c r="AC118" s="342"/>
      <c r="AD118" s="348"/>
    </row>
    <row r="119" spans="1:30" s="349" customFormat="1">
      <c r="A119" s="359"/>
      <c r="B119" s="359"/>
      <c r="C119" s="504"/>
      <c r="D119" s="492"/>
      <c r="E119" s="362"/>
      <c r="F119" s="492"/>
      <c r="G119" s="362"/>
      <c r="H119" s="492"/>
      <c r="I119" s="362"/>
      <c r="J119" s="492"/>
      <c r="K119" s="362"/>
      <c r="L119" s="359"/>
      <c r="M119" s="362"/>
      <c r="N119" s="359"/>
      <c r="O119" s="362"/>
      <c r="P119" s="359"/>
      <c r="Q119" s="362"/>
      <c r="R119" s="359"/>
      <c r="S119" s="362"/>
      <c r="T119" s="492"/>
      <c r="U119" s="362"/>
      <c r="V119" s="492"/>
      <c r="W119" s="362"/>
      <c r="X119" s="492"/>
      <c r="Y119" s="362"/>
      <c r="Z119" s="492"/>
      <c r="AA119" s="362"/>
      <c r="AB119" s="361"/>
      <c r="AC119" s="342"/>
      <c r="AD119" s="348"/>
    </row>
    <row r="120" spans="1:30" s="349" customFormat="1">
      <c r="A120" s="359" t="s">
        <v>223</v>
      </c>
      <c r="B120" s="359">
        <v>100</v>
      </c>
      <c r="C120" s="504">
        <v>120000</v>
      </c>
      <c r="D120" s="492">
        <v>0</v>
      </c>
      <c r="E120" s="362">
        <f>D120*C120</f>
        <v>0</v>
      </c>
      <c r="F120" s="492">
        <v>0</v>
      </c>
      <c r="G120" s="362">
        <f>F120*C120</f>
        <v>0</v>
      </c>
      <c r="H120" s="492">
        <v>0</v>
      </c>
      <c r="I120" s="362">
        <f>H120*C120</f>
        <v>0</v>
      </c>
      <c r="J120" s="492">
        <v>0</v>
      </c>
      <c r="K120" s="362">
        <f>J120*C120</f>
        <v>0</v>
      </c>
      <c r="L120" s="359">
        <v>0</v>
      </c>
      <c r="M120" s="362">
        <f>L120*C120</f>
        <v>0</v>
      </c>
      <c r="N120" s="359">
        <v>0</v>
      </c>
      <c r="O120" s="362">
        <f>N120*C120</f>
        <v>0</v>
      </c>
      <c r="P120" s="359">
        <v>5</v>
      </c>
      <c r="Q120" s="362">
        <f>P120*C120</f>
        <v>600000</v>
      </c>
      <c r="R120" s="359">
        <v>5</v>
      </c>
      <c r="S120" s="362">
        <f>R120*C120</f>
        <v>600000</v>
      </c>
      <c r="T120" s="492">
        <v>5</v>
      </c>
      <c r="U120" s="362">
        <f>T120*C120</f>
        <v>600000</v>
      </c>
      <c r="V120" s="492">
        <v>5</v>
      </c>
      <c r="W120" s="362">
        <f>V120*C120</f>
        <v>600000</v>
      </c>
      <c r="X120" s="492">
        <v>5</v>
      </c>
      <c r="Y120" s="362">
        <f>X120*C120</f>
        <v>600000</v>
      </c>
      <c r="Z120" s="492">
        <v>5</v>
      </c>
      <c r="AA120" s="362">
        <f>Z120*C120</f>
        <v>600000</v>
      </c>
      <c r="AB120" s="361"/>
      <c r="AC120" s="342"/>
      <c r="AD120" s="348"/>
    </row>
    <row r="121" spans="1:30" s="349" customFormat="1">
      <c r="A121" s="359" t="s">
        <v>223</v>
      </c>
      <c r="B121" s="359">
        <v>150</v>
      </c>
      <c r="C121" s="504">
        <v>150000</v>
      </c>
      <c r="D121" s="492">
        <v>0</v>
      </c>
      <c r="E121" s="362">
        <f>D121*C121</f>
        <v>0</v>
      </c>
      <c r="F121" s="492">
        <v>0</v>
      </c>
      <c r="G121" s="362">
        <f>F121*C121</f>
        <v>0</v>
      </c>
      <c r="H121" s="492">
        <v>0</v>
      </c>
      <c r="I121" s="362">
        <f>H121*C121</f>
        <v>0</v>
      </c>
      <c r="J121" s="492">
        <v>0</v>
      </c>
      <c r="K121" s="362">
        <f>J121*C121</f>
        <v>0</v>
      </c>
      <c r="L121" s="359">
        <v>0</v>
      </c>
      <c r="M121" s="362">
        <f>L121*C121</f>
        <v>0</v>
      </c>
      <c r="N121" s="359">
        <v>0</v>
      </c>
      <c r="O121" s="362">
        <f>N121*C121</f>
        <v>0</v>
      </c>
      <c r="P121" s="359">
        <v>4</v>
      </c>
      <c r="Q121" s="362">
        <f>P121*C121</f>
        <v>600000</v>
      </c>
      <c r="R121" s="359">
        <v>4</v>
      </c>
      <c r="S121" s="362">
        <f>R121*C121</f>
        <v>600000</v>
      </c>
      <c r="T121" s="492">
        <v>4</v>
      </c>
      <c r="U121" s="362">
        <f>T121*C121</f>
        <v>600000</v>
      </c>
      <c r="V121" s="492">
        <v>4</v>
      </c>
      <c r="W121" s="362">
        <f>V121*C121</f>
        <v>600000</v>
      </c>
      <c r="X121" s="492">
        <v>4</v>
      </c>
      <c r="Y121" s="362">
        <f>X121*C121</f>
        <v>600000</v>
      </c>
      <c r="Z121" s="492">
        <v>4</v>
      </c>
      <c r="AA121" s="362">
        <f>Z121*C121</f>
        <v>600000</v>
      </c>
      <c r="AB121" s="361"/>
      <c r="AC121" s="342"/>
      <c r="AD121" s="348"/>
    </row>
    <row r="122" spans="1:30" s="349" customFormat="1">
      <c r="A122" s="359" t="s">
        <v>223</v>
      </c>
      <c r="B122" s="359">
        <v>250</v>
      </c>
      <c r="C122" s="504">
        <v>250000</v>
      </c>
      <c r="D122" s="492">
        <v>0</v>
      </c>
      <c r="E122" s="362">
        <f>D122*C122</f>
        <v>0</v>
      </c>
      <c r="F122" s="492">
        <v>0</v>
      </c>
      <c r="G122" s="362">
        <f>F122*C122</f>
        <v>0</v>
      </c>
      <c r="H122" s="492">
        <v>0</v>
      </c>
      <c r="I122" s="362">
        <f>H122*C122</f>
        <v>0</v>
      </c>
      <c r="J122" s="492">
        <v>0</v>
      </c>
      <c r="K122" s="362">
        <f>J122*C122</f>
        <v>0</v>
      </c>
      <c r="L122" s="359">
        <v>0</v>
      </c>
      <c r="M122" s="362">
        <f>L122*C122</f>
        <v>0</v>
      </c>
      <c r="N122" s="359">
        <v>0</v>
      </c>
      <c r="O122" s="362">
        <f>N122*C122</f>
        <v>0</v>
      </c>
      <c r="P122" s="359">
        <v>3</v>
      </c>
      <c r="Q122" s="362">
        <f>P122*C122</f>
        <v>750000</v>
      </c>
      <c r="R122" s="359">
        <v>3</v>
      </c>
      <c r="S122" s="362">
        <f>R122*C122</f>
        <v>750000</v>
      </c>
      <c r="T122" s="492">
        <v>3</v>
      </c>
      <c r="U122" s="362">
        <f>T122*C122</f>
        <v>750000</v>
      </c>
      <c r="V122" s="492">
        <v>3</v>
      </c>
      <c r="W122" s="362">
        <f>V122*C122</f>
        <v>750000</v>
      </c>
      <c r="X122" s="492">
        <v>3</v>
      </c>
      <c r="Y122" s="362">
        <f>X122*C122</f>
        <v>750000</v>
      </c>
      <c r="Z122" s="492">
        <v>3</v>
      </c>
      <c r="AA122" s="362">
        <f>Z122*C122</f>
        <v>750000</v>
      </c>
      <c r="AB122" s="361"/>
      <c r="AC122" s="342"/>
      <c r="AD122" s="348"/>
    </row>
    <row r="123" spans="1:30" s="349" customFormat="1">
      <c r="A123" s="359" t="s">
        <v>223</v>
      </c>
      <c r="B123" s="359">
        <v>350</v>
      </c>
      <c r="C123" s="504">
        <v>320000</v>
      </c>
      <c r="D123" s="492">
        <v>0</v>
      </c>
      <c r="E123" s="362">
        <f>D123*C123</f>
        <v>0</v>
      </c>
      <c r="F123" s="492">
        <v>0</v>
      </c>
      <c r="G123" s="362">
        <f>F123*C123</f>
        <v>0</v>
      </c>
      <c r="H123" s="492">
        <v>0</v>
      </c>
      <c r="I123" s="362">
        <f>H123*C123</f>
        <v>0</v>
      </c>
      <c r="J123" s="492">
        <v>0</v>
      </c>
      <c r="K123" s="362">
        <f>J123*C123</f>
        <v>0</v>
      </c>
      <c r="L123" s="359">
        <v>0</v>
      </c>
      <c r="M123" s="362">
        <f>L123*C123</f>
        <v>0</v>
      </c>
      <c r="N123" s="359">
        <v>0</v>
      </c>
      <c r="O123" s="362">
        <f>N123*C123</f>
        <v>0</v>
      </c>
      <c r="P123" s="359">
        <v>3</v>
      </c>
      <c r="Q123" s="362">
        <f>P123*C123</f>
        <v>960000</v>
      </c>
      <c r="R123" s="359">
        <v>3</v>
      </c>
      <c r="S123" s="362">
        <f>R123*C123</f>
        <v>960000</v>
      </c>
      <c r="T123" s="492">
        <v>3</v>
      </c>
      <c r="U123" s="362">
        <f>T123*C123</f>
        <v>960000</v>
      </c>
      <c r="V123" s="492">
        <v>3</v>
      </c>
      <c r="W123" s="362">
        <f>V123*C123</f>
        <v>960000</v>
      </c>
      <c r="X123" s="492">
        <v>3</v>
      </c>
      <c r="Y123" s="362">
        <f>X123*C123</f>
        <v>960000</v>
      </c>
      <c r="Z123" s="492">
        <v>3</v>
      </c>
      <c r="AA123" s="362">
        <f>Z123*C123</f>
        <v>960000</v>
      </c>
      <c r="AB123" s="361"/>
      <c r="AC123" s="342"/>
      <c r="AD123" s="348"/>
    </row>
    <row r="124" spans="1:30" s="349" customFormat="1">
      <c r="A124" s="359" t="s">
        <v>223</v>
      </c>
      <c r="B124" s="359">
        <v>500</v>
      </c>
      <c r="C124" s="504">
        <v>480000</v>
      </c>
      <c r="D124" s="492">
        <v>0</v>
      </c>
      <c r="E124" s="362">
        <f>D124*C124</f>
        <v>0</v>
      </c>
      <c r="F124" s="492">
        <v>0</v>
      </c>
      <c r="G124" s="362">
        <f>F124*C124</f>
        <v>0</v>
      </c>
      <c r="H124" s="492">
        <v>0</v>
      </c>
      <c r="I124" s="362">
        <f>H124*C124</f>
        <v>0</v>
      </c>
      <c r="J124" s="492">
        <v>0</v>
      </c>
      <c r="K124" s="362">
        <f>J124*C124</f>
        <v>0</v>
      </c>
      <c r="L124" s="359">
        <v>0</v>
      </c>
      <c r="M124" s="362">
        <f>L124*C124</f>
        <v>0</v>
      </c>
      <c r="N124" s="359">
        <v>0</v>
      </c>
      <c r="O124" s="362">
        <f>N124*C124</f>
        <v>0</v>
      </c>
      <c r="P124" s="359">
        <v>1</v>
      </c>
      <c r="Q124" s="362">
        <f>P124*C124</f>
        <v>480000</v>
      </c>
      <c r="R124" s="359">
        <v>1</v>
      </c>
      <c r="S124" s="362">
        <f>R124*C124</f>
        <v>480000</v>
      </c>
      <c r="T124" s="492">
        <v>1</v>
      </c>
      <c r="U124" s="362">
        <f>T124*C124</f>
        <v>480000</v>
      </c>
      <c r="V124" s="492">
        <v>1</v>
      </c>
      <c r="W124" s="362">
        <f>V124*C124</f>
        <v>480000</v>
      </c>
      <c r="X124" s="492">
        <v>1</v>
      </c>
      <c r="Y124" s="362">
        <f>X124*C124</f>
        <v>480000</v>
      </c>
      <c r="Z124" s="492">
        <v>1</v>
      </c>
      <c r="AA124" s="362">
        <f>Z124*C124</f>
        <v>480000</v>
      </c>
      <c r="AB124" s="361"/>
      <c r="AC124" s="342"/>
      <c r="AD124" s="348"/>
    </row>
    <row r="125" spans="1:30">
      <c r="A125" s="359"/>
      <c r="B125" s="359"/>
      <c r="C125" s="504"/>
      <c r="D125" s="492"/>
      <c r="E125" s="362"/>
      <c r="F125" s="492"/>
      <c r="G125" s="362"/>
      <c r="H125" s="492"/>
      <c r="I125" s="362"/>
      <c r="J125" s="492"/>
      <c r="K125" s="362"/>
      <c r="L125" s="359"/>
      <c r="M125" s="362"/>
      <c r="N125" s="359"/>
      <c r="O125" s="362"/>
      <c r="P125" s="359"/>
      <c r="Q125" s="362"/>
      <c r="R125" s="359"/>
      <c r="S125" s="362"/>
      <c r="T125" s="492"/>
      <c r="U125" s="362"/>
      <c r="V125" s="492"/>
      <c r="W125" s="362"/>
      <c r="X125" s="492"/>
      <c r="Y125" s="362"/>
      <c r="Z125" s="492"/>
      <c r="AA125" s="362"/>
      <c r="AB125" s="361"/>
      <c r="AD125" s="350"/>
    </row>
    <row r="126" spans="1:30" s="349" customFormat="1">
      <c r="A126" s="359" t="s">
        <v>222</v>
      </c>
      <c r="B126" s="359">
        <v>100</v>
      </c>
      <c r="C126" s="504">
        <v>120000</v>
      </c>
      <c r="D126" s="492">
        <v>0</v>
      </c>
      <c r="E126" s="362">
        <f>D126*C126</f>
        <v>0</v>
      </c>
      <c r="F126" s="492">
        <v>0</v>
      </c>
      <c r="G126" s="362">
        <f>F126*C126</f>
        <v>0</v>
      </c>
      <c r="H126" s="492">
        <v>0</v>
      </c>
      <c r="I126" s="362">
        <f>H126*C126</f>
        <v>0</v>
      </c>
      <c r="J126" s="492">
        <v>0</v>
      </c>
      <c r="K126" s="362">
        <f>J126*C126</f>
        <v>0</v>
      </c>
      <c r="L126" s="359">
        <v>0</v>
      </c>
      <c r="M126" s="362">
        <f>L126*C126</f>
        <v>0</v>
      </c>
      <c r="N126" s="359">
        <v>0</v>
      </c>
      <c r="O126" s="362">
        <f>N126*C126</f>
        <v>0</v>
      </c>
      <c r="P126" s="359">
        <v>5</v>
      </c>
      <c r="Q126" s="362">
        <f>P126*C126</f>
        <v>600000</v>
      </c>
      <c r="R126" s="359">
        <v>5</v>
      </c>
      <c r="S126" s="362">
        <f>R126*C126</f>
        <v>600000</v>
      </c>
      <c r="T126" s="492">
        <v>5</v>
      </c>
      <c r="U126" s="362">
        <f>T126*C126</f>
        <v>600000</v>
      </c>
      <c r="V126" s="492">
        <v>5</v>
      </c>
      <c r="W126" s="362">
        <f>V126*C126</f>
        <v>600000</v>
      </c>
      <c r="X126" s="492">
        <v>5</v>
      </c>
      <c r="Y126" s="362">
        <f>X126*C126</f>
        <v>600000</v>
      </c>
      <c r="Z126" s="492">
        <v>5</v>
      </c>
      <c r="AA126" s="362">
        <f>Z126*C126</f>
        <v>600000</v>
      </c>
      <c r="AB126" s="361"/>
      <c r="AC126" s="342"/>
      <c r="AD126" s="348"/>
    </row>
    <row r="127" spans="1:30" s="349" customFormat="1">
      <c r="A127" s="359" t="s">
        <v>222</v>
      </c>
      <c r="B127" s="359">
        <v>150</v>
      </c>
      <c r="C127" s="504">
        <v>150000</v>
      </c>
      <c r="D127" s="492">
        <v>0</v>
      </c>
      <c r="E127" s="362">
        <f>D127*C127</f>
        <v>0</v>
      </c>
      <c r="F127" s="492">
        <v>0</v>
      </c>
      <c r="G127" s="362">
        <f>F127*C127</f>
        <v>0</v>
      </c>
      <c r="H127" s="492">
        <v>0</v>
      </c>
      <c r="I127" s="362">
        <f>H127*C127</f>
        <v>0</v>
      </c>
      <c r="J127" s="492">
        <v>0</v>
      </c>
      <c r="K127" s="362">
        <f>J127*C127</f>
        <v>0</v>
      </c>
      <c r="L127" s="359">
        <v>0</v>
      </c>
      <c r="M127" s="362">
        <f>L127*C127</f>
        <v>0</v>
      </c>
      <c r="N127" s="359">
        <v>0</v>
      </c>
      <c r="O127" s="362">
        <f>N127*C127</f>
        <v>0</v>
      </c>
      <c r="P127" s="359">
        <v>4</v>
      </c>
      <c r="Q127" s="362">
        <f>P127*C127</f>
        <v>600000</v>
      </c>
      <c r="R127" s="359">
        <v>4</v>
      </c>
      <c r="S127" s="362">
        <f>R127*C127</f>
        <v>600000</v>
      </c>
      <c r="T127" s="492">
        <v>4</v>
      </c>
      <c r="U127" s="362">
        <f>T127*C127</f>
        <v>600000</v>
      </c>
      <c r="V127" s="492">
        <v>4</v>
      </c>
      <c r="W127" s="362">
        <f>V127*C127</f>
        <v>600000</v>
      </c>
      <c r="X127" s="492">
        <v>4</v>
      </c>
      <c r="Y127" s="362">
        <f>X127*C127</f>
        <v>600000</v>
      </c>
      <c r="Z127" s="492">
        <v>4</v>
      </c>
      <c r="AA127" s="362">
        <f>Z127*C127</f>
        <v>600000</v>
      </c>
      <c r="AB127" s="361"/>
      <c r="AC127" s="342"/>
      <c r="AD127" s="348"/>
    </row>
    <row r="128" spans="1:30" s="349" customFormat="1">
      <c r="A128" s="359" t="s">
        <v>222</v>
      </c>
      <c r="B128" s="359">
        <v>250</v>
      </c>
      <c r="C128" s="504">
        <v>250000</v>
      </c>
      <c r="D128" s="492">
        <v>0</v>
      </c>
      <c r="E128" s="362">
        <f>D128*C128</f>
        <v>0</v>
      </c>
      <c r="F128" s="492">
        <v>0</v>
      </c>
      <c r="G128" s="362">
        <f>F128*C128</f>
        <v>0</v>
      </c>
      <c r="H128" s="492">
        <v>0</v>
      </c>
      <c r="I128" s="362">
        <f>H128*C128</f>
        <v>0</v>
      </c>
      <c r="J128" s="492">
        <v>0</v>
      </c>
      <c r="K128" s="362">
        <f>J128*C128</f>
        <v>0</v>
      </c>
      <c r="L128" s="359">
        <v>0</v>
      </c>
      <c r="M128" s="362">
        <f>L128*C128</f>
        <v>0</v>
      </c>
      <c r="N128" s="359">
        <v>0</v>
      </c>
      <c r="O128" s="362">
        <f>N128*C128</f>
        <v>0</v>
      </c>
      <c r="P128" s="359">
        <v>3</v>
      </c>
      <c r="Q128" s="362">
        <f>P128*C128</f>
        <v>750000</v>
      </c>
      <c r="R128" s="359">
        <v>3</v>
      </c>
      <c r="S128" s="362">
        <f>R128*C128</f>
        <v>750000</v>
      </c>
      <c r="T128" s="492">
        <v>3</v>
      </c>
      <c r="U128" s="362">
        <f>T128*C128</f>
        <v>750000</v>
      </c>
      <c r="V128" s="492">
        <v>3</v>
      </c>
      <c r="W128" s="362">
        <f>V128*C128</f>
        <v>750000</v>
      </c>
      <c r="X128" s="492">
        <v>3</v>
      </c>
      <c r="Y128" s="362">
        <f>X128*C128</f>
        <v>750000</v>
      </c>
      <c r="Z128" s="492">
        <v>3</v>
      </c>
      <c r="AA128" s="362">
        <f>Z128*C128</f>
        <v>750000</v>
      </c>
      <c r="AB128" s="361"/>
      <c r="AC128" s="342"/>
      <c r="AD128" s="348"/>
    </row>
    <row r="129" spans="1:30" s="349" customFormat="1">
      <c r="A129" s="359" t="s">
        <v>222</v>
      </c>
      <c r="B129" s="359">
        <v>350</v>
      </c>
      <c r="C129" s="504">
        <v>320000</v>
      </c>
      <c r="D129" s="492">
        <v>0</v>
      </c>
      <c r="E129" s="362">
        <f>D129*C129</f>
        <v>0</v>
      </c>
      <c r="F129" s="492">
        <v>0</v>
      </c>
      <c r="G129" s="362">
        <f>F129*C129</f>
        <v>0</v>
      </c>
      <c r="H129" s="492">
        <v>0</v>
      </c>
      <c r="I129" s="362">
        <f>H129*C129</f>
        <v>0</v>
      </c>
      <c r="J129" s="492">
        <v>0</v>
      </c>
      <c r="K129" s="362">
        <f>J129*C129</f>
        <v>0</v>
      </c>
      <c r="L129" s="359">
        <v>0</v>
      </c>
      <c r="M129" s="362">
        <f>L129*C129</f>
        <v>0</v>
      </c>
      <c r="N129" s="359">
        <v>0</v>
      </c>
      <c r="O129" s="362">
        <f>N129*C129</f>
        <v>0</v>
      </c>
      <c r="P129" s="359">
        <v>3</v>
      </c>
      <c r="Q129" s="362">
        <f>P129*C129</f>
        <v>960000</v>
      </c>
      <c r="R129" s="359">
        <v>3</v>
      </c>
      <c r="S129" s="362">
        <f>R129*C129</f>
        <v>960000</v>
      </c>
      <c r="T129" s="492">
        <v>3</v>
      </c>
      <c r="U129" s="362">
        <f>T129*C129</f>
        <v>960000</v>
      </c>
      <c r="V129" s="492">
        <v>3</v>
      </c>
      <c r="W129" s="362">
        <f>V129*C129</f>
        <v>960000</v>
      </c>
      <c r="X129" s="492">
        <v>3</v>
      </c>
      <c r="Y129" s="362">
        <f>X129*C129</f>
        <v>960000</v>
      </c>
      <c r="Z129" s="492">
        <v>3</v>
      </c>
      <c r="AA129" s="362">
        <f>Z129*C129</f>
        <v>960000</v>
      </c>
      <c r="AB129" s="361"/>
      <c r="AC129" s="342"/>
      <c r="AD129" s="348"/>
    </row>
    <row r="130" spans="1:30" s="349" customFormat="1">
      <c r="A130" s="359" t="s">
        <v>222</v>
      </c>
      <c r="B130" s="359">
        <v>500</v>
      </c>
      <c r="C130" s="504">
        <v>480000</v>
      </c>
      <c r="D130" s="492">
        <v>0</v>
      </c>
      <c r="E130" s="362">
        <f>D130*C130</f>
        <v>0</v>
      </c>
      <c r="F130" s="492">
        <v>0</v>
      </c>
      <c r="G130" s="362">
        <f>F130*C130</f>
        <v>0</v>
      </c>
      <c r="H130" s="492">
        <v>0</v>
      </c>
      <c r="I130" s="362">
        <f>H130*C130</f>
        <v>0</v>
      </c>
      <c r="J130" s="492">
        <v>0</v>
      </c>
      <c r="K130" s="362">
        <f>J130*C130</f>
        <v>0</v>
      </c>
      <c r="L130" s="359">
        <v>0</v>
      </c>
      <c r="M130" s="362">
        <f>C130*L130</f>
        <v>0</v>
      </c>
      <c r="N130" s="359">
        <v>0</v>
      </c>
      <c r="O130" s="362">
        <f>N130*C130</f>
        <v>0</v>
      </c>
      <c r="P130" s="359">
        <v>1</v>
      </c>
      <c r="Q130" s="362">
        <f>P130*C130</f>
        <v>480000</v>
      </c>
      <c r="R130" s="359">
        <v>1</v>
      </c>
      <c r="S130" s="362">
        <f>R130*C130</f>
        <v>480000</v>
      </c>
      <c r="T130" s="492">
        <v>1</v>
      </c>
      <c r="U130" s="362">
        <f>T130*C130</f>
        <v>480000</v>
      </c>
      <c r="V130" s="492">
        <v>1</v>
      </c>
      <c r="W130" s="362">
        <f>V130*C130</f>
        <v>480000</v>
      </c>
      <c r="X130" s="492">
        <v>1</v>
      </c>
      <c r="Y130" s="362">
        <f>X130*C130</f>
        <v>480000</v>
      </c>
      <c r="Z130" s="492">
        <v>1</v>
      </c>
      <c r="AA130" s="362">
        <f>Z130*C130</f>
        <v>480000</v>
      </c>
      <c r="AB130" s="361"/>
      <c r="AC130" s="342"/>
      <c r="AD130" s="348"/>
    </row>
    <row r="131" spans="1:30" s="349" customFormat="1">
      <c r="A131" s="359"/>
      <c r="B131" s="359"/>
      <c r="C131" s="504"/>
      <c r="D131" s="359"/>
      <c r="E131" s="362"/>
      <c r="F131" s="359"/>
      <c r="G131" s="362"/>
      <c r="H131" s="359"/>
      <c r="I131" s="362"/>
      <c r="J131" s="359"/>
      <c r="K131" s="362"/>
      <c r="L131" s="359"/>
      <c r="M131" s="362"/>
      <c r="N131" s="359"/>
      <c r="O131" s="362"/>
      <c r="P131" s="359"/>
      <c r="Q131" s="362"/>
      <c r="R131" s="359"/>
      <c r="S131" s="362"/>
      <c r="T131" s="492"/>
      <c r="U131" s="362"/>
      <c r="V131" s="492"/>
      <c r="W131" s="362"/>
      <c r="X131" s="492"/>
      <c r="Y131" s="362"/>
      <c r="Z131" s="492"/>
      <c r="AA131" s="362"/>
      <c r="AB131" s="360"/>
      <c r="AC131" s="342"/>
      <c r="AD131" s="348"/>
    </row>
    <row r="132" spans="1:30" s="479" customFormat="1">
      <c r="A132" s="474"/>
      <c r="B132" s="474"/>
      <c r="C132" s="505"/>
      <c r="D132" s="474">
        <v>0.1</v>
      </c>
      <c r="E132" s="475">
        <f>SUM(E110:E130)</f>
        <v>0</v>
      </c>
      <c r="F132" s="474">
        <v>0.1</v>
      </c>
      <c r="G132" s="475">
        <f>SUM(G110:G130)</f>
        <v>0</v>
      </c>
      <c r="H132" s="474">
        <v>0.1</v>
      </c>
      <c r="I132" s="475">
        <f>SUM(I110:I130)</f>
        <v>0</v>
      </c>
      <c r="J132" s="474">
        <v>0.1</v>
      </c>
      <c r="K132" s="475">
        <f>SUM(K110:K130)</f>
        <v>0</v>
      </c>
      <c r="L132" s="474">
        <v>0.1</v>
      </c>
      <c r="M132" s="475">
        <f>SUM(M110:M130)</f>
        <v>0</v>
      </c>
      <c r="N132" s="474">
        <v>0.1</v>
      </c>
      <c r="O132" s="475">
        <f>SUM(O110:O130)</f>
        <v>0</v>
      </c>
      <c r="P132" s="474">
        <v>0.1</v>
      </c>
      <c r="Q132" s="475">
        <f>SUM(Q110:Q130)</f>
        <v>10815000</v>
      </c>
      <c r="R132" s="474">
        <v>0.1</v>
      </c>
      <c r="S132" s="475">
        <f>SUM(S110:S130)</f>
        <v>10815000</v>
      </c>
      <c r="T132" s="515">
        <v>0.1</v>
      </c>
      <c r="U132" s="475">
        <f>SUM(U110:U130)</f>
        <v>10815000</v>
      </c>
      <c r="V132" s="515">
        <v>0.1</v>
      </c>
      <c r="W132" s="475">
        <f>SUM(W110:W130)</f>
        <v>10815000</v>
      </c>
      <c r="X132" s="515">
        <v>0.1</v>
      </c>
      <c r="Y132" s="475">
        <f>SUM(Y110:Y130)</f>
        <v>10815000</v>
      </c>
      <c r="Z132" s="515">
        <v>0.1</v>
      </c>
      <c r="AA132" s="475">
        <f>SUM(AA110:AA130)</f>
        <v>10815000</v>
      </c>
      <c r="AB132" s="476"/>
      <c r="AC132" s="477"/>
      <c r="AD132" s="478"/>
    </row>
    <row r="133" spans="1:30" s="485" customFormat="1">
      <c r="A133" s="480"/>
      <c r="B133" s="480"/>
      <c r="C133" s="507"/>
      <c r="D133" s="480"/>
      <c r="E133" s="481">
        <f>E132*D132</f>
        <v>0</v>
      </c>
      <c r="F133" s="480"/>
      <c r="G133" s="482">
        <f>G132*F132</f>
        <v>0</v>
      </c>
      <c r="H133" s="480"/>
      <c r="I133" s="481">
        <f>I132*H132</f>
        <v>0</v>
      </c>
      <c r="J133" s="480"/>
      <c r="K133" s="481">
        <f>K132*J132</f>
        <v>0</v>
      </c>
      <c r="L133" s="480"/>
      <c r="M133" s="481">
        <f>M132*L132</f>
        <v>0</v>
      </c>
      <c r="N133" s="480"/>
      <c r="O133" s="481">
        <f>O132*N132</f>
        <v>0</v>
      </c>
      <c r="P133" s="480"/>
      <c r="Q133" s="481">
        <f>Q132*P132</f>
        <v>1081500</v>
      </c>
      <c r="R133" s="480"/>
      <c r="S133" s="481">
        <f>S132*R132</f>
        <v>1081500</v>
      </c>
      <c r="T133" s="516"/>
      <c r="U133" s="481">
        <f>U132*T132</f>
        <v>1081500</v>
      </c>
      <c r="V133" s="516"/>
      <c r="W133" s="481">
        <f>W132*V132</f>
        <v>1081500</v>
      </c>
      <c r="X133" s="516"/>
      <c r="Y133" s="481">
        <f>Y132*X132</f>
        <v>1081500</v>
      </c>
      <c r="Z133" s="516"/>
      <c r="AA133" s="481">
        <f>AA132*Z132</f>
        <v>1081500</v>
      </c>
      <c r="AB133" s="481">
        <f>SUM(AA133,Y133,W133,U133,S133,Q133,O133,M133,K133,I133,G133,E133)</f>
        <v>6489000</v>
      </c>
      <c r="AC133" s="483"/>
      <c r="AD133" s="484"/>
    </row>
    <row r="134" spans="1:30" s="349" customFormat="1">
      <c r="A134" s="359"/>
      <c r="B134" s="359"/>
      <c r="C134" s="504"/>
      <c r="D134" s="359"/>
      <c r="E134" s="360"/>
      <c r="F134" s="359"/>
      <c r="G134" s="362"/>
      <c r="H134" s="359"/>
      <c r="I134" s="362"/>
      <c r="J134" s="359"/>
      <c r="K134" s="362"/>
      <c r="L134" s="359"/>
      <c r="M134" s="362"/>
      <c r="N134" s="359"/>
      <c r="O134" s="362"/>
      <c r="P134" s="359"/>
      <c r="Q134" s="362"/>
      <c r="R134" s="359"/>
      <c r="S134" s="362"/>
      <c r="T134" s="492"/>
      <c r="U134" s="362"/>
      <c r="V134" s="492"/>
      <c r="W134" s="362"/>
      <c r="X134" s="492"/>
      <c r="Y134" s="362"/>
      <c r="Z134" s="492"/>
      <c r="AA134" s="362"/>
      <c r="AB134" s="360"/>
      <c r="AC134" s="342"/>
      <c r="AD134" s="348"/>
    </row>
    <row r="135" spans="1:30" s="349" customFormat="1">
      <c r="A135" s="359" t="s">
        <v>229</v>
      </c>
      <c r="B135" s="359">
        <v>26</v>
      </c>
      <c r="C135" s="504">
        <v>25000</v>
      </c>
      <c r="D135" s="359">
        <v>0</v>
      </c>
      <c r="E135" s="362">
        <f>D135*C135</f>
        <v>0</v>
      </c>
      <c r="F135" s="359">
        <v>0</v>
      </c>
      <c r="G135" s="362">
        <f>F135*C135</f>
        <v>0</v>
      </c>
      <c r="H135" s="359">
        <v>0</v>
      </c>
      <c r="I135" s="362">
        <f>H135*C135</f>
        <v>0</v>
      </c>
      <c r="J135" s="491">
        <v>0</v>
      </c>
      <c r="K135" s="362">
        <f>J135*C135</f>
        <v>0</v>
      </c>
      <c r="L135" s="359">
        <v>0</v>
      </c>
      <c r="M135" s="362">
        <f>L135*C135</f>
        <v>0</v>
      </c>
      <c r="N135" s="359">
        <v>0</v>
      </c>
      <c r="O135" s="362">
        <f>N135*C135</f>
        <v>0</v>
      </c>
      <c r="P135" s="359">
        <v>10</v>
      </c>
      <c r="Q135" s="362">
        <f>P135*C135</f>
        <v>250000</v>
      </c>
      <c r="R135" s="359">
        <v>10</v>
      </c>
      <c r="S135" s="362">
        <f>R135*C135</f>
        <v>250000</v>
      </c>
      <c r="T135" s="492">
        <v>10</v>
      </c>
      <c r="U135" s="362">
        <f>T135*C135</f>
        <v>250000</v>
      </c>
      <c r="V135" s="492">
        <v>10</v>
      </c>
      <c r="W135" s="362">
        <f>V135*C135</f>
        <v>250000</v>
      </c>
      <c r="X135" s="492">
        <v>10</v>
      </c>
      <c r="Y135" s="362">
        <f>X135*C135</f>
        <v>250000</v>
      </c>
      <c r="Z135" s="492">
        <v>10</v>
      </c>
      <c r="AA135" s="362">
        <f>Z135*C135</f>
        <v>250000</v>
      </c>
      <c r="AB135" s="361"/>
      <c r="AC135" s="342"/>
      <c r="AD135" s="348"/>
    </row>
    <row r="136" spans="1:30" s="349" customFormat="1">
      <c r="A136" s="359" t="s">
        <v>229</v>
      </c>
      <c r="B136" s="359">
        <v>33</v>
      </c>
      <c r="C136" s="504">
        <v>45000</v>
      </c>
      <c r="D136" s="359">
        <v>0</v>
      </c>
      <c r="E136" s="362">
        <f>D136*C136</f>
        <v>0</v>
      </c>
      <c r="F136" s="359">
        <v>0</v>
      </c>
      <c r="G136" s="362">
        <f>F136*C136</f>
        <v>0</v>
      </c>
      <c r="H136" s="359">
        <v>0</v>
      </c>
      <c r="I136" s="362">
        <f>H136*C136</f>
        <v>0</v>
      </c>
      <c r="J136" s="492">
        <v>0</v>
      </c>
      <c r="K136" s="362">
        <f>J136*C136</f>
        <v>0</v>
      </c>
      <c r="L136" s="359">
        <v>0</v>
      </c>
      <c r="M136" s="362">
        <f>L136*C136</f>
        <v>0</v>
      </c>
      <c r="N136" s="359">
        <v>0</v>
      </c>
      <c r="O136" s="362">
        <f>N136*C136</f>
        <v>0</v>
      </c>
      <c r="P136" s="359">
        <v>5</v>
      </c>
      <c r="Q136" s="362">
        <f>P136*C136</f>
        <v>225000</v>
      </c>
      <c r="R136" s="359">
        <v>5</v>
      </c>
      <c r="S136" s="362">
        <f>R136*C136</f>
        <v>225000</v>
      </c>
      <c r="T136" s="492">
        <v>5</v>
      </c>
      <c r="U136" s="362">
        <f>T136*C136</f>
        <v>225000</v>
      </c>
      <c r="V136" s="492">
        <v>5</v>
      </c>
      <c r="W136" s="362">
        <f>V136*C136</f>
        <v>225000</v>
      </c>
      <c r="X136" s="492">
        <v>5</v>
      </c>
      <c r="Y136" s="362">
        <f>X136*C136</f>
        <v>225000</v>
      </c>
      <c r="Z136" s="492">
        <v>5</v>
      </c>
      <c r="AA136" s="362">
        <f>Z136*C136</f>
        <v>225000</v>
      </c>
      <c r="AB136" s="361"/>
      <c r="AC136" s="342"/>
      <c r="AD136" s="348"/>
    </row>
    <row r="137" spans="1:30" s="349" customFormat="1">
      <c r="A137" s="359" t="s">
        <v>229</v>
      </c>
      <c r="B137" s="359">
        <v>64</v>
      </c>
      <c r="C137" s="504">
        <v>85000</v>
      </c>
      <c r="D137" s="359">
        <v>0</v>
      </c>
      <c r="E137" s="362">
        <f>D137*C137</f>
        <v>0</v>
      </c>
      <c r="F137" s="359">
        <v>0</v>
      </c>
      <c r="G137" s="362">
        <f>F137*C137</f>
        <v>0</v>
      </c>
      <c r="H137" s="359">
        <v>0</v>
      </c>
      <c r="I137" s="362">
        <f>H137*C137</f>
        <v>0</v>
      </c>
      <c r="J137" s="492">
        <v>0</v>
      </c>
      <c r="K137" s="362">
        <f>J137*C137</f>
        <v>0</v>
      </c>
      <c r="L137" s="359">
        <v>0</v>
      </c>
      <c r="M137" s="362">
        <f>L137*C137</f>
        <v>0</v>
      </c>
      <c r="N137" s="359">
        <v>0</v>
      </c>
      <c r="O137" s="362">
        <f>N137*C137</f>
        <v>0</v>
      </c>
      <c r="P137" s="359">
        <v>2</v>
      </c>
      <c r="Q137" s="362">
        <f>P137*C137</f>
        <v>170000</v>
      </c>
      <c r="R137" s="359">
        <v>2</v>
      </c>
      <c r="S137" s="362">
        <f>R137*C137</f>
        <v>170000</v>
      </c>
      <c r="T137" s="492">
        <v>2</v>
      </c>
      <c r="U137" s="362">
        <f>T137*C137</f>
        <v>170000</v>
      </c>
      <c r="V137" s="492">
        <v>2</v>
      </c>
      <c r="W137" s="362">
        <f>V137*C137</f>
        <v>170000</v>
      </c>
      <c r="X137" s="492">
        <v>2</v>
      </c>
      <c r="Y137" s="362">
        <f>X137*C137</f>
        <v>170000</v>
      </c>
      <c r="Z137" s="492">
        <v>2</v>
      </c>
      <c r="AA137" s="362">
        <f>Z137*C137</f>
        <v>170000</v>
      </c>
      <c r="AB137" s="361"/>
      <c r="AC137" s="342"/>
      <c r="AD137" s="348"/>
    </row>
    <row r="138" spans="1:30" s="349" customFormat="1">
      <c r="A138" s="359" t="s">
        <v>229</v>
      </c>
      <c r="B138" s="359">
        <v>100</v>
      </c>
      <c r="C138" s="504">
        <v>120000</v>
      </c>
      <c r="D138" s="359">
        <v>0</v>
      </c>
      <c r="E138" s="362">
        <f>D138*C138</f>
        <v>0</v>
      </c>
      <c r="F138" s="359">
        <v>0</v>
      </c>
      <c r="G138" s="362">
        <f>F138*C138</f>
        <v>0</v>
      </c>
      <c r="H138" s="359">
        <v>0</v>
      </c>
      <c r="I138" s="362">
        <f>H138*C138</f>
        <v>0</v>
      </c>
      <c r="J138" s="492">
        <v>0</v>
      </c>
      <c r="K138" s="362">
        <f>J138*C138</f>
        <v>0</v>
      </c>
      <c r="L138" s="359">
        <v>0</v>
      </c>
      <c r="M138" s="362">
        <f>L138*C138</f>
        <v>0</v>
      </c>
      <c r="N138" s="359">
        <v>0</v>
      </c>
      <c r="O138" s="362">
        <f>N138*C138</f>
        <v>0</v>
      </c>
      <c r="P138" s="359">
        <v>0</v>
      </c>
      <c r="Q138" s="362">
        <f>P138*C138</f>
        <v>0</v>
      </c>
      <c r="R138" s="359">
        <v>0</v>
      </c>
      <c r="S138" s="362">
        <f>R138*C138</f>
        <v>0</v>
      </c>
      <c r="T138" s="492">
        <v>0</v>
      </c>
      <c r="U138" s="362">
        <f>T138*C138</f>
        <v>0</v>
      </c>
      <c r="V138" s="492">
        <v>0</v>
      </c>
      <c r="W138" s="362">
        <f>V138*C138</f>
        <v>0</v>
      </c>
      <c r="X138" s="492">
        <v>0</v>
      </c>
      <c r="Y138" s="362">
        <f>X138*C138</f>
        <v>0</v>
      </c>
      <c r="Z138" s="492">
        <v>0</v>
      </c>
      <c r="AA138" s="362">
        <f>Z138*C138</f>
        <v>0</v>
      </c>
      <c r="AB138" s="361"/>
      <c r="AC138" s="342"/>
      <c r="AD138" s="348"/>
    </row>
    <row r="139" spans="1:30" s="349" customFormat="1">
      <c r="A139" s="359"/>
      <c r="B139" s="359"/>
      <c r="C139" s="504"/>
      <c r="D139" s="359"/>
      <c r="E139" s="362"/>
      <c r="F139" s="359"/>
      <c r="G139" s="362"/>
      <c r="H139" s="359"/>
      <c r="I139" s="362"/>
      <c r="J139" s="492"/>
      <c r="K139" s="362"/>
      <c r="L139" s="359"/>
      <c r="M139" s="362"/>
      <c r="N139" s="359"/>
      <c r="O139" s="362"/>
      <c r="P139" s="359"/>
      <c r="Q139" s="362"/>
      <c r="R139" s="359"/>
      <c r="S139" s="362"/>
      <c r="T139" s="492"/>
      <c r="U139" s="362"/>
      <c r="V139" s="492"/>
      <c r="W139" s="362"/>
      <c r="X139" s="492"/>
      <c r="Y139" s="362"/>
      <c r="Z139" s="492"/>
      <c r="AA139" s="362"/>
      <c r="AB139" s="361"/>
      <c r="AC139" s="342"/>
      <c r="AD139" s="348"/>
    </row>
    <row r="140" spans="1:30" s="349" customFormat="1">
      <c r="A140" s="359" t="s">
        <v>228</v>
      </c>
      <c r="B140" s="359">
        <v>150</v>
      </c>
      <c r="C140" s="504">
        <v>150000</v>
      </c>
      <c r="D140" s="359">
        <v>0</v>
      </c>
      <c r="E140" s="362">
        <f>D140*C140</f>
        <v>0</v>
      </c>
      <c r="F140" s="359">
        <v>0</v>
      </c>
      <c r="G140" s="362">
        <f>F140*C140</f>
        <v>0</v>
      </c>
      <c r="H140" s="359">
        <v>0</v>
      </c>
      <c r="I140" s="362">
        <f>H140*C140</f>
        <v>0</v>
      </c>
      <c r="J140" s="492">
        <v>0</v>
      </c>
      <c r="K140" s="362">
        <f>J140*C140</f>
        <v>0</v>
      </c>
      <c r="L140" s="359">
        <v>0</v>
      </c>
      <c r="M140" s="362">
        <f>L140*C140</f>
        <v>0</v>
      </c>
      <c r="N140" s="359">
        <v>0</v>
      </c>
      <c r="O140" s="362">
        <f>N140*C140</f>
        <v>0</v>
      </c>
      <c r="P140" s="359">
        <v>10</v>
      </c>
      <c r="Q140" s="362">
        <f>P140*C140</f>
        <v>1500000</v>
      </c>
      <c r="R140" s="359">
        <v>10</v>
      </c>
      <c r="S140" s="362">
        <f>R140*C140</f>
        <v>1500000</v>
      </c>
      <c r="T140" s="492">
        <v>10</v>
      </c>
      <c r="U140" s="362">
        <f>T140*C140</f>
        <v>1500000</v>
      </c>
      <c r="V140" s="492">
        <v>10</v>
      </c>
      <c r="W140" s="362">
        <f>V140*C140</f>
        <v>1500000</v>
      </c>
      <c r="X140" s="492">
        <v>10</v>
      </c>
      <c r="Y140" s="362">
        <f>X140*C140</f>
        <v>1500000</v>
      </c>
      <c r="Z140" s="492">
        <v>10</v>
      </c>
      <c r="AA140" s="362">
        <f>Z140*C140</f>
        <v>1500000</v>
      </c>
      <c r="AB140" s="361"/>
      <c r="AC140" s="342"/>
      <c r="AD140" s="348"/>
    </row>
    <row r="141" spans="1:30" s="349" customFormat="1">
      <c r="A141" s="359" t="s">
        <v>228</v>
      </c>
      <c r="B141" s="359">
        <v>250</v>
      </c>
      <c r="C141" s="504">
        <v>250000</v>
      </c>
      <c r="D141" s="359">
        <v>0</v>
      </c>
      <c r="E141" s="362">
        <f>D141*C141</f>
        <v>0</v>
      </c>
      <c r="F141" s="359">
        <v>0</v>
      </c>
      <c r="G141" s="362">
        <f>F141*C141</f>
        <v>0</v>
      </c>
      <c r="H141" s="359">
        <v>0</v>
      </c>
      <c r="I141" s="362">
        <f>H141*C141</f>
        <v>0</v>
      </c>
      <c r="J141" s="492">
        <v>0</v>
      </c>
      <c r="K141" s="362">
        <f>J141*C141</f>
        <v>0</v>
      </c>
      <c r="L141" s="359">
        <v>0</v>
      </c>
      <c r="M141" s="362">
        <f>L141*C141</f>
        <v>0</v>
      </c>
      <c r="N141" s="359">
        <v>0</v>
      </c>
      <c r="O141" s="362">
        <f>N141*C141</f>
        <v>0</v>
      </c>
      <c r="P141" s="359">
        <v>5</v>
      </c>
      <c r="Q141" s="362">
        <f>P141*C141</f>
        <v>1250000</v>
      </c>
      <c r="R141" s="359">
        <v>5</v>
      </c>
      <c r="S141" s="362">
        <f>R141*C141</f>
        <v>1250000</v>
      </c>
      <c r="T141" s="492">
        <v>5</v>
      </c>
      <c r="U141" s="362">
        <f>T141*C141</f>
        <v>1250000</v>
      </c>
      <c r="V141" s="492">
        <v>5</v>
      </c>
      <c r="W141" s="362">
        <f>V141*C141</f>
        <v>1250000</v>
      </c>
      <c r="X141" s="492">
        <v>5</v>
      </c>
      <c r="Y141" s="362">
        <f>X141*C141</f>
        <v>1250000</v>
      </c>
      <c r="Z141" s="492">
        <v>5</v>
      </c>
      <c r="AA141" s="362">
        <f>Z141*C141</f>
        <v>1250000</v>
      </c>
      <c r="AB141" s="361"/>
      <c r="AC141" s="342"/>
      <c r="AD141" s="348"/>
    </row>
    <row r="142" spans="1:30" s="349" customFormat="1">
      <c r="A142" s="359" t="s">
        <v>228</v>
      </c>
      <c r="B142" s="359">
        <v>350</v>
      </c>
      <c r="C142" s="504">
        <v>320000</v>
      </c>
      <c r="D142" s="359">
        <v>0</v>
      </c>
      <c r="E142" s="362">
        <f>D142*C142</f>
        <v>0</v>
      </c>
      <c r="F142" s="359">
        <v>0</v>
      </c>
      <c r="G142" s="362">
        <f>F142*C142</f>
        <v>0</v>
      </c>
      <c r="H142" s="359">
        <v>0</v>
      </c>
      <c r="I142" s="362">
        <f>H142*C142</f>
        <v>0</v>
      </c>
      <c r="J142" s="492">
        <v>0</v>
      </c>
      <c r="K142" s="362">
        <f>J142*C142</f>
        <v>0</v>
      </c>
      <c r="L142" s="359">
        <v>0</v>
      </c>
      <c r="M142" s="362">
        <f>L142*C142</f>
        <v>0</v>
      </c>
      <c r="N142" s="359">
        <v>0</v>
      </c>
      <c r="O142" s="362">
        <f>N142*C142</f>
        <v>0</v>
      </c>
      <c r="P142" s="359">
        <v>2</v>
      </c>
      <c r="Q142" s="362">
        <f>P142*C142</f>
        <v>640000</v>
      </c>
      <c r="R142" s="359">
        <v>2</v>
      </c>
      <c r="S142" s="362">
        <f>R142*C142</f>
        <v>640000</v>
      </c>
      <c r="T142" s="492">
        <v>2</v>
      </c>
      <c r="U142" s="362">
        <f>T142*C142</f>
        <v>640000</v>
      </c>
      <c r="V142" s="492">
        <v>2</v>
      </c>
      <c r="W142" s="362">
        <f>V142*C142</f>
        <v>640000</v>
      </c>
      <c r="X142" s="492">
        <v>2</v>
      </c>
      <c r="Y142" s="362">
        <f>X142*C142</f>
        <v>640000</v>
      </c>
      <c r="Z142" s="492">
        <v>2</v>
      </c>
      <c r="AA142" s="362">
        <f>Z142*C142</f>
        <v>640000</v>
      </c>
      <c r="AB142" s="361"/>
      <c r="AC142" s="342"/>
      <c r="AD142" s="348"/>
    </row>
    <row r="143" spans="1:30" s="349" customFormat="1">
      <c r="A143" s="359" t="s">
        <v>228</v>
      </c>
      <c r="B143" s="359">
        <v>500</v>
      </c>
      <c r="C143" s="504">
        <v>480000</v>
      </c>
      <c r="D143" s="359">
        <v>0</v>
      </c>
      <c r="E143" s="362">
        <f>D143*C143</f>
        <v>0</v>
      </c>
      <c r="F143" s="359">
        <v>0</v>
      </c>
      <c r="G143" s="362">
        <f>F143*C143</f>
        <v>0</v>
      </c>
      <c r="H143" s="359">
        <v>0</v>
      </c>
      <c r="I143" s="362">
        <f>H143*C143</f>
        <v>0</v>
      </c>
      <c r="J143" s="492">
        <v>0</v>
      </c>
      <c r="K143" s="362">
        <f>J143*C143</f>
        <v>0</v>
      </c>
      <c r="L143" s="359">
        <v>0</v>
      </c>
      <c r="M143" s="362">
        <f>L143*C143</f>
        <v>0</v>
      </c>
      <c r="N143" s="359">
        <v>0</v>
      </c>
      <c r="O143" s="362">
        <f>N143*C143</f>
        <v>0</v>
      </c>
      <c r="P143" s="359">
        <v>0</v>
      </c>
      <c r="Q143" s="362">
        <f>P143*C143</f>
        <v>0</v>
      </c>
      <c r="R143" s="359">
        <v>0</v>
      </c>
      <c r="S143" s="362">
        <f>R143*C143</f>
        <v>0</v>
      </c>
      <c r="T143" s="492">
        <v>0</v>
      </c>
      <c r="U143" s="362">
        <f>T143*C143</f>
        <v>0</v>
      </c>
      <c r="V143" s="492">
        <v>0</v>
      </c>
      <c r="W143" s="362">
        <f>V143*C143</f>
        <v>0</v>
      </c>
      <c r="X143" s="492">
        <v>0</v>
      </c>
      <c r="Y143" s="362">
        <f>X143*C143</f>
        <v>0</v>
      </c>
      <c r="Z143" s="492">
        <v>0</v>
      </c>
      <c r="AA143" s="362">
        <f>Z143*C143</f>
        <v>0</v>
      </c>
      <c r="AB143" s="361"/>
      <c r="AC143" s="342"/>
      <c r="AD143" s="348"/>
    </row>
    <row r="144" spans="1:30" s="349" customFormat="1">
      <c r="A144" s="359"/>
      <c r="B144" s="359"/>
      <c r="C144" s="504"/>
      <c r="D144" s="359"/>
      <c r="E144" s="362"/>
      <c r="F144" s="359"/>
      <c r="G144" s="362"/>
      <c r="H144" s="359"/>
      <c r="I144" s="362"/>
      <c r="J144" s="492"/>
      <c r="K144" s="362"/>
      <c r="L144" s="359"/>
      <c r="M144" s="362"/>
      <c r="N144" s="359"/>
      <c r="O144" s="362"/>
      <c r="P144" s="359"/>
      <c r="Q144" s="362"/>
      <c r="R144" s="359"/>
      <c r="S144" s="362"/>
      <c r="T144" s="492"/>
      <c r="U144" s="362"/>
      <c r="V144" s="492"/>
      <c r="W144" s="362"/>
      <c r="X144" s="492"/>
      <c r="Y144" s="362"/>
      <c r="Z144" s="492"/>
      <c r="AA144" s="362"/>
      <c r="AB144" s="361"/>
      <c r="AC144" s="342"/>
      <c r="AD144" s="348"/>
    </row>
    <row r="145" spans="1:30" s="349" customFormat="1">
      <c r="A145" s="359" t="s">
        <v>227</v>
      </c>
      <c r="B145" s="359">
        <v>100</v>
      </c>
      <c r="C145" s="504">
        <v>120000</v>
      </c>
      <c r="D145" s="359">
        <v>0</v>
      </c>
      <c r="E145" s="362">
        <f>D145*C145</f>
        <v>0</v>
      </c>
      <c r="F145" s="359">
        <v>0</v>
      </c>
      <c r="G145" s="362">
        <f>F145*C145</f>
        <v>0</v>
      </c>
      <c r="H145" s="359">
        <v>0</v>
      </c>
      <c r="I145" s="362">
        <f>H145*C145</f>
        <v>0</v>
      </c>
      <c r="J145" s="492">
        <v>0</v>
      </c>
      <c r="K145" s="362">
        <f>J145*C145</f>
        <v>0</v>
      </c>
      <c r="L145" s="359">
        <v>0</v>
      </c>
      <c r="M145" s="362">
        <f>L145*C145</f>
        <v>0</v>
      </c>
      <c r="N145" s="359">
        <v>0</v>
      </c>
      <c r="O145" s="362">
        <f>N145*C145</f>
        <v>0</v>
      </c>
      <c r="P145" s="359">
        <v>5</v>
      </c>
      <c r="Q145" s="362">
        <f>P145*C145</f>
        <v>600000</v>
      </c>
      <c r="R145" s="359">
        <v>5</v>
      </c>
      <c r="S145" s="362">
        <f>R145*C145</f>
        <v>600000</v>
      </c>
      <c r="T145" s="492">
        <v>5</v>
      </c>
      <c r="U145" s="362">
        <f>T145*C145</f>
        <v>600000</v>
      </c>
      <c r="V145" s="492">
        <v>5</v>
      </c>
      <c r="W145" s="362">
        <f>V145*C145</f>
        <v>600000</v>
      </c>
      <c r="X145" s="492">
        <v>5</v>
      </c>
      <c r="Y145" s="362">
        <f>X145*C145</f>
        <v>600000</v>
      </c>
      <c r="Z145" s="492">
        <v>5</v>
      </c>
      <c r="AA145" s="362">
        <f>Z145*C145</f>
        <v>600000</v>
      </c>
      <c r="AB145" s="361"/>
      <c r="AC145" s="342"/>
      <c r="AD145" s="348"/>
    </row>
    <row r="146" spans="1:30" s="349" customFormat="1">
      <c r="A146" s="359" t="s">
        <v>227</v>
      </c>
      <c r="B146" s="359">
        <v>150</v>
      </c>
      <c r="C146" s="504">
        <v>150000</v>
      </c>
      <c r="D146" s="359">
        <v>0</v>
      </c>
      <c r="E146" s="362">
        <f>D146*C146</f>
        <v>0</v>
      </c>
      <c r="F146" s="359">
        <v>0</v>
      </c>
      <c r="G146" s="362">
        <f>F146*C146</f>
        <v>0</v>
      </c>
      <c r="H146" s="359">
        <v>0</v>
      </c>
      <c r="I146" s="362">
        <f>H146*C146</f>
        <v>0</v>
      </c>
      <c r="J146" s="492">
        <v>0</v>
      </c>
      <c r="K146" s="362">
        <f>J146*C146</f>
        <v>0</v>
      </c>
      <c r="L146" s="359">
        <v>0</v>
      </c>
      <c r="M146" s="362">
        <f>L146*C146</f>
        <v>0</v>
      </c>
      <c r="N146" s="359">
        <v>0</v>
      </c>
      <c r="O146" s="362">
        <f>N146*C146</f>
        <v>0</v>
      </c>
      <c r="P146" s="359">
        <v>4</v>
      </c>
      <c r="Q146" s="362">
        <f>P146*C146</f>
        <v>600000</v>
      </c>
      <c r="R146" s="359">
        <v>4</v>
      </c>
      <c r="S146" s="362">
        <f>R146*C146</f>
        <v>600000</v>
      </c>
      <c r="T146" s="492">
        <v>4</v>
      </c>
      <c r="U146" s="362">
        <f>T146*C146</f>
        <v>600000</v>
      </c>
      <c r="V146" s="492">
        <v>4</v>
      </c>
      <c r="W146" s="362">
        <f>V146*C146</f>
        <v>600000</v>
      </c>
      <c r="X146" s="492">
        <v>4</v>
      </c>
      <c r="Y146" s="362">
        <f>X146*C146</f>
        <v>600000</v>
      </c>
      <c r="Z146" s="492">
        <v>4</v>
      </c>
      <c r="AA146" s="362">
        <f>Z146*C146</f>
        <v>600000</v>
      </c>
      <c r="AB146" s="361"/>
      <c r="AC146" s="342"/>
      <c r="AD146" s="348"/>
    </row>
    <row r="147" spans="1:30" s="349" customFormat="1">
      <c r="A147" s="359" t="s">
        <v>227</v>
      </c>
      <c r="B147" s="359">
        <v>250</v>
      </c>
      <c r="C147" s="504">
        <v>250000</v>
      </c>
      <c r="D147" s="359">
        <v>0</v>
      </c>
      <c r="E147" s="362">
        <f>D147*C147</f>
        <v>0</v>
      </c>
      <c r="F147" s="359">
        <v>0</v>
      </c>
      <c r="G147" s="362">
        <f>F147*C147</f>
        <v>0</v>
      </c>
      <c r="H147" s="359">
        <v>0</v>
      </c>
      <c r="I147" s="362">
        <f>H147*C147</f>
        <v>0</v>
      </c>
      <c r="J147" s="492">
        <v>0</v>
      </c>
      <c r="K147" s="362">
        <f>J147*C147</f>
        <v>0</v>
      </c>
      <c r="L147" s="359">
        <v>0</v>
      </c>
      <c r="M147" s="362">
        <f>L147*C147</f>
        <v>0</v>
      </c>
      <c r="N147" s="359">
        <v>0</v>
      </c>
      <c r="O147" s="362">
        <f>N147*C147</f>
        <v>0</v>
      </c>
      <c r="P147" s="359">
        <v>3</v>
      </c>
      <c r="Q147" s="362">
        <f>P147*C147</f>
        <v>750000</v>
      </c>
      <c r="R147" s="359">
        <v>3</v>
      </c>
      <c r="S147" s="362">
        <f>R147*C147</f>
        <v>750000</v>
      </c>
      <c r="T147" s="492">
        <v>3</v>
      </c>
      <c r="U147" s="362">
        <f>T147*C147</f>
        <v>750000</v>
      </c>
      <c r="V147" s="492">
        <v>3</v>
      </c>
      <c r="W147" s="362">
        <f>V147*C147</f>
        <v>750000</v>
      </c>
      <c r="X147" s="492">
        <v>3</v>
      </c>
      <c r="Y147" s="362">
        <f>X147*C147</f>
        <v>750000</v>
      </c>
      <c r="Z147" s="492">
        <v>3</v>
      </c>
      <c r="AA147" s="362">
        <f>Z147*C147</f>
        <v>750000</v>
      </c>
      <c r="AB147" s="361"/>
      <c r="AC147" s="342"/>
      <c r="AD147" s="348"/>
    </row>
    <row r="148" spans="1:30" s="349" customFormat="1">
      <c r="A148" s="359" t="s">
        <v>227</v>
      </c>
      <c r="B148" s="359">
        <v>350</v>
      </c>
      <c r="C148" s="504">
        <v>320000</v>
      </c>
      <c r="D148" s="359">
        <v>0</v>
      </c>
      <c r="E148" s="362">
        <f>D148*C148</f>
        <v>0</v>
      </c>
      <c r="F148" s="359">
        <v>0</v>
      </c>
      <c r="G148" s="362">
        <f>F148*C148</f>
        <v>0</v>
      </c>
      <c r="H148" s="359">
        <v>0</v>
      </c>
      <c r="I148" s="362">
        <f>H148*C148</f>
        <v>0</v>
      </c>
      <c r="J148" s="492">
        <v>0</v>
      </c>
      <c r="K148" s="362">
        <f>J148*C148</f>
        <v>0</v>
      </c>
      <c r="L148" s="359">
        <v>0</v>
      </c>
      <c r="M148" s="362">
        <f>L148*C148</f>
        <v>0</v>
      </c>
      <c r="N148" s="359">
        <v>0</v>
      </c>
      <c r="O148" s="362">
        <f>N148*C148</f>
        <v>0</v>
      </c>
      <c r="P148" s="359">
        <v>3</v>
      </c>
      <c r="Q148" s="362">
        <f>P148*C148</f>
        <v>960000</v>
      </c>
      <c r="R148" s="359">
        <v>3</v>
      </c>
      <c r="S148" s="362">
        <f>R148*C148</f>
        <v>960000</v>
      </c>
      <c r="T148" s="492">
        <v>3</v>
      </c>
      <c r="U148" s="362">
        <f>T148*C148</f>
        <v>960000</v>
      </c>
      <c r="V148" s="492">
        <v>3</v>
      </c>
      <c r="W148" s="362">
        <f>V148*C148</f>
        <v>960000</v>
      </c>
      <c r="X148" s="492">
        <v>3</v>
      </c>
      <c r="Y148" s="362">
        <f>X148*C148</f>
        <v>960000</v>
      </c>
      <c r="Z148" s="492">
        <v>3</v>
      </c>
      <c r="AA148" s="362">
        <f>Z148*C148</f>
        <v>960000</v>
      </c>
      <c r="AB148" s="361"/>
      <c r="AC148" s="342"/>
      <c r="AD148" s="348"/>
    </row>
    <row r="149" spans="1:30" s="349" customFormat="1">
      <c r="A149" s="359" t="s">
        <v>227</v>
      </c>
      <c r="B149" s="359">
        <v>500</v>
      </c>
      <c r="C149" s="504">
        <v>480000</v>
      </c>
      <c r="D149" s="359">
        <v>0</v>
      </c>
      <c r="E149" s="362">
        <f>D149*C149</f>
        <v>0</v>
      </c>
      <c r="F149" s="359">
        <v>0</v>
      </c>
      <c r="G149" s="362">
        <f>F149*C149</f>
        <v>0</v>
      </c>
      <c r="H149" s="359">
        <v>0</v>
      </c>
      <c r="I149" s="362">
        <f>H149*C149</f>
        <v>0</v>
      </c>
      <c r="J149" s="492">
        <v>0</v>
      </c>
      <c r="K149" s="362">
        <f>J149*C149</f>
        <v>0</v>
      </c>
      <c r="L149" s="359">
        <v>0</v>
      </c>
      <c r="M149" s="362">
        <f>L149*C149</f>
        <v>0</v>
      </c>
      <c r="N149" s="359">
        <v>0</v>
      </c>
      <c r="O149" s="362">
        <f>N149*C149</f>
        <v>0</v>
      </c>
      <c r="P149" s="359">
        <v>1</v>
      </c>
      <c r="Q149" s="362">
        <f>P149*C149</f>
        <v>480000</v>
      </c>
      <c r="R149" s="359">
        <v>1</v>
      </c>
      <c r="S149" s="362">
        <f>R149*C149</f>
        <v>480000</v>
      </c>
      <c r="T149" s="492">
        <v>1</v>
      </c>
      <c r="U149" s="362">
        <f>T149*C149</f>
        <v>480000</v>
      </c>
      <c r="V149" s="492">
        <v>1</v>
      </c>
      <c r="W149" s="362">
        <f>V149*C149</f>
        <v>480000</v>
      </c>
      <c r="X149" s="492">
        <v>1</v>
      </c>
      <c r="Y149" s="362">
        <f>X149*C149</f>
        <v>480000</v>
      </c>
      <c r="Z149" s="492">
        <v>1</v>
      </c>
      <c r="AA149" s="362">
        <f>Z149*C149</f>
        <v>480000</v>
      </c>
      <c r="AB149" s="361"/>
      <c r="AC149" s="342"/>
      <c r="AD149" s="348"/>
    </row>
    <row r="150" spans="1:30">
      <c r="A150" s="359"/>
      <c r="B150" s="359"/>
      <c r="C150" s="504"/>
      <c r="D150" s="359"/>
      <c r="E150" s="362"/>
      <c r="F150" s="359"/>
      <c r="G150" s="362"/>
      <c r="H150" s="359"/>
      <c r="I150" s="362"/>
      <c r="J150" s="492"/>
      <c r="K150" s="362"/>
      <c r="L150" s="359"/>
      <c r="M150" s="362"/>
      <c r="N150" s="359"/>
      <c r="O150" s="362"/>
      <c r="P150" s="359"/>
      <c r="Q150" s="362"/>
      <c r="R150" s="359"/>
      <c r="S150" s="362"/>
      <c r="T150" s="492"/>
      <c r="U150" s="362"/>
      <c r="V150" s="492"/>
      <c r="W150" s="362"/>
      <c r="X150" s="492"/>
      <c r="Y150" s="362"/>
      <c r="Z150" s="492"/>
      <c r="AA150" s="362"/>
      <c r="AB150" s="361"/>
      <c r="AD150" s="350"/>
    </row>
    <row r="151" spans="1:30" s="349" customFormat="1">
      <c r="A151" s="359" t="s">
        <v>226</v>
      </c>
      <c r="B151" s="359">
        <v>100</v>
      </c>
      <c r="C151" s="504"/>
      <c r="D151" s="359">
        <v>0</v>
      </c>
      <c r="E151" s="362">
        <f>D151*C151</f>
        <v>0</v>
      </c>
      <c r="F151" s="359">
        <v>0</v>
      </c>
      <c r="G151" s="362">
        <f>F151*C151</f>
        <v>0</v>
      </c>
      <c r="H151" s="359">
        <v>0</v>
      </c>
      <c r="I151" s="362">
        <f>H151*C151</f>
        <v>0</v>
      </c>
      <c r="J151" s="492">
        <v>0</v>
      </c>
      <c r="K151" s="362">
        <f>J151*C151</f>
        <v>0</v>
      </c>
      <c r="L151" s="359">
        <v>0</v>
      </c>
      <c r="M151" s="362">
        <f>L151*C151</f>
        <v>0</v>
      </c>
      <c r="N151" s="359">
        <v>0</v>
      </c>
      <c r="O151" s="362">
        <f>N151*C151</f>
        <v>0</v>
      </c>
      <c r="P151" s="359">
        <v>5</v>
      </c>
      <c r="Q151" s="362">
        <f>P151*C151</f>
        <v>0</v>
      </c>
      <c r="R151" s="359">
        <v>5</v>
      </c>
      <c r="S151" s="362">
        <f>R151*C151</f>
        <v>0</v>
      </c>
      <c r="T151" s="492">
        <v>5</v>
      </c>
      <c r="U151" s="362">
        <f>T151*C151</f>
        <v>0</v>
      </c>
      <c r="V151" s="492">
        <v>5</v>
      </c>
      <c r="W151" s="362">
        <f>V151*C151</f>
        <v>0</v>
      </c>
      <c r="X151" s="492">
        <v>5</v>
      </c>
      <c r="Y151" s="362">
        <f>X151*C151</f>
        <v>0</v>
      </c>
      <c r="Z151" s="492">
        <v>5</v>
      </c>
      <c r="AA151" s="362">
        <f>Z151*C151</f>
        <v>0</v>
      </c>
      <c r="AB151" s="361"/>
      <c r="AC151" s="342"/>
      <c r="AD151" s="348"/>
    </row>
    <row r="152" spans="1:30" s="349" customFormat="1">
      <c r="A152" s="359" t="s">
        <v>226</v>
      </c>
      <c r="B152" s="359">
        <v>150</v>
      </c>
      <c r="C152" s="504"/>
      <c r="D152" s="359">
        <v>0</v>
      </c>
      <c r="E152" s="362">
        <f>D152*C152</f>
        <v>0</v>
      </c>
      <c r="F152" s="359">
        <v>0</v>
      </c>
      <c r="G152" s="362">
        <f>F152*C152</f>
        <v>0</v>
      </c>
      <c r="H152" s="359">
        <v>0</v>
      </c>
      <c r="I152" s="362">
        <f>H152*C152</f>
        <v>0</v>
      </c>
      <c r="J152" s="492">
        <v>0</v>
      </c>
      <c r="K152" s="362">
        <f>J152*C152</f>
        <v>0</v>
      </c>
      <c r="L152" s="359">
        <v>0</v>
      </c>
      <c r="M152" s="362">
        <f>L152*C152</f>
        <v>0</v>
      </c>
      <c r="N152" s="359">
        <v>0</v>
      </c>
      <c r="O152" s="362">
        <f>N152*C152</f>
        <v>0</v>
      </c>
      <c r="P152" s="359">
        <v>4</v>
      </c>
      <c r="Q152" s="362">
        <f>P152*C152</f>
        <v>0</v>
      </c>
      <c r="R152" s="359">
        <v>4</v>
      </c>
      <c r="S152" s="362">
        <f>R152*C152</f>
        <v>0</v>
      </c>
      <c r="T152" s="492">
        <v>4</v>
      </c>
      <c r="U152" s="362">
        <f>T152*C152</f>
        <v>0</v>
      </c>
      <c r="V152" s="492">
        <v>4</v>
      </c>
      <c r="W152" s="362">
        <f>V152*C152</f>
        <v>0</v>
      </c>
      <c r="X152" s="492">
        <v>4</v>
      </c>
      <c r="Y152" s="362">
        <f>X152*C152</f>
        <v>0</v>
      </c>
      <c r="Z152" s="492">
        <v>4</v>
      </c>
      <c r="AA152" s="362">
        <f>Z152*C152</f>
        <v>0</v>
      </c>
      <c r="AB152" s="361"/>
      <c r="AC152" s="342"/>
      <c r="AD152" s="348"/>
    </row>
    <row r="153" spans="1:30" s="349" customFormat="1">
      <c r="A153" s="359" t="s">
        <v>226</v>
      </c>
      <c r="B153" s="359">
        <v>250</v>
      </c>
      <c r="C153" s="504"/>
      <c r="D153" s="359">
        <v>0</v>
      </c>
      <c r="E153" s="362">
        <f>D153*C153</f>
        <v>0</v>
      </c>
      <c r="F153" s="359">
        <v>0</v>
      </c>
      <c r="G153" s="362">
        <f>F153*C153</f>
        <v>0</v>
      </c>
      <c r="H153" s="359">
        <v>0</v>
      </c>
      <c r="I153" s="362">
        <f>H153*C153</f>
        <v>0</v>
      </c>
      <c r="J153" s="492">
        <v>0</v>
      </c>
      <c r="K153" s="362">
        <f>J153*C153</f>
        <v>0</v>
      </c>
      <c r="L153" s="359">
        <v>0</v>
      </c>
      <c r="M153" s="362">
        <f>L153*C153</f>
        <v>0</v>
      </c>
      <c r="N153" s="359">
        <v>0</v>
      </c>
      <c r="O153" s="362">
        <f>N153*C153</f>
        <v>0</v>
      </c>
      <c r="P153" s="359">
        <v>3</v>
      </c>
      <c r="Q153" s="362">
        <f>P153*C153</f>
        <v>0</v>
      </c>
      <c r="R153" s="359">
        <v>3</v>
      </c>
      <c r="S153" s="362">
        <f>R153*C153</f>
        <v>0</v>
      </c>
      <c r="T153" s="492">
        <v>3</v>
      </c>
      <c r="U153" s="362">
        <f>T153*C153</f>
        <v>0</v>
      </c>
      <c r="V153" s="492">
        <v>3</v>
      </c>
      <c r="W153" s="362">
        <f>V153*C153</f>
        <v>0</v>
      </c>
      <c r="X153" s="492">
        <v>3</v>
      </c>
      <c r="Y153" s="362">
        <f>X153*C153</f>
        <v>0</v>
      </c>
      <c r="Z153" s="492">
        <v>3</v>
      </c>
      <c r="AA153" s="362">
        <f>Z153*C153</f>
        <v>0</v>
      </c>
      <c r="AB153" s="361"/>
      <c r="AC153" s="342"/>
      <c r="AD153" s="348"/>
    </row>
    <row r="154" spans="1:30" s="349" customFormat="1">
      <c r="A154" s="359" t="s">
        <v>226</v>
      </c>
      <c r="B154" s="359">
        <v>350</v>
      </c>
      <c r="C154" s="504"/>
      <c r="D154" s="359">
        <v>0</v>
      </c>
      <c r="E154" s="362">
        <f>D154*C154</f>
        <v>0</v>
      </c>
      <c r="F154" s="359">
        <v>0</v>
      </c>
      <c r="G154" s="362">
        <f>F154*C154</f>
        <v>0</v>
      </c>
      <c r="H154" s="359">
        <v>0</v>
      </c>
      <c r="I154" s="362">
        <f>H154*C154</f>
        <v>0</v>
      </c>
      <c r="J154" s="492">
        <v>0</v>
      </c>
      <c r="K154" s="362">
        <f>J154*C154</f>
        <v>0</v>
      </c>
      <c r="L154" s="359">
        <v>0</v>
      </c>
      <c r="M154" s="362">
        <f>L154*C154</f>
        <v>0</v>
      </c>
      <c r="N154" s="359">
        <v>0</v>
      </c>
      <c r="O154" s="362">
        <f>N154*C154</f>
        <v>0</v>
      </c>
      <c r="P154" s="359">
        <v>3</v>
      </c>
      <c r="Q154" s="362">
        <f>P154*C154</f>
        <v>0</v>
      </c>
      <c r="R154" s="359">
        <v>3</v>
      </c>
      <c r="S154" s="362">
        <f>R154*C154</f>
        <v>0</v>
      </c>
      <c r="T154" s="492">
        <v>3</v>
      </c>
      <c r="U154" s="362">
        <f>T154*C154</f>
        <v>0</v>
      </c>
      <c r="V154" s="492">
        <v>3</v>
      </c>
      <c r="W154" s="362">
        <f>V154*C154</f>
        <v>0</v>
      </c>
      <c r="X154" s="492">
        <v>3</v>
      </c>
      <c r="Y154" s="362">
        <f>X154*C154</f>
        <v>0</v>
      </c>
      <c r="Z154" s="492">
        <v>3</v>
      </c>
      <c r="AA154" s="362">
        <f>Z154*C154</f>
        <v>0</v>
      </c>
      <c r="AB154" s="361"/>
      <c r="AC154" s="342"/>
      <c r="AD154" s="348"/>
    </row>
    <row r="155" spans="1:30" s="349" customFormat="1">
      <c r="A155" s="359" t="s">
        <v>226</v>
      </c>
      <c r="B155" s="359">
        <v>500</v>
      </c>
      <c r="C155" s="504"/>
      <c r="D155" s="359">
        <v>0</v>
      </c>
      <c r="E155" s="362">
        <f>D155*C155</f>
        <v>0</v>
      </c>
      <c r="F155" s="359">
        <v>0</v>
      </c>
      <c r="G155" s="362">
        <f>F155*C155</f>
        <v>0</v>
      </c>
      <c r="H155" s="359">
        <v>0</v>
      </c>
      <c r="I155" s="362">
        <f>H155*C155</f>
        <v>0</v>
      </c>
      <c r="J155" s="492">
        <v>0</v>
      </c>
      <c r="K155" s="362">
        <f>J155*C155</f>
        <v>0</v>
      </c>
      <c r="L155" s="359">
        <v>0</v>
      </c>
      <c r="M155" s="362">
        <f>C155</f>
        <v>0</v>
      </c>
      <c r="N155" s="359">
        <v>0</v>
      </c>
      <c r="O155" s="362">
        <f>N155*C155</f>
        <v>0</v>
      </c>
      <c r="P155" s="359">
        <v>1</v>
      </c>
      <c r="Q155" s="362">
        <f>P155*C155</f>
        <v>0</v>
      </c>
      <c r="R155" s="359">
        <v>1</v>
      </c>
      <c r="S155" s="362">
        <f>R155*C155</f>
        <v>0</v>
      </c>
      <c r="T155" s="492">
        <v>1</v>
      </c>
      <c r="U155" s="362">
        <f>T155*C155</f>
        <v>0</v>
      </c>
      <c r="V155" s="492">
        <v>1</v>
      </c>
      <c r="W155" s="362">
        <f>V155*C155</f>
        <v>0</v>
      </c>
      <c r="X155" s="492">
        <v>1</v>
      </c>
      <c r="Y155" s="362">
        <f>X155*C155</f>
        <v>0</v>
      </c>
      <c r="Z155" s="492">
        <v>1</v>
      </c>
      <c r="AA155" s="362">
        <f>Z155*C155</f>
        <v>0</v>
      </c>
      <c r="AB155" s="361"/>
      <c r="AC155" s="342"/>
      <c r="AD155" s="348"/>
    </row>
    <row r="156" spans="1:30" s="349" customFormat="1">
      <c r="A156" s="359"/>
      <c r="B156" s="359"/>
      <c r="C156" s="504"/>
      <c r="D156" s="359"/>
      <c r="E156" s="362"/>
      <c r="F156" s="359"/>
      <c r="G156" s="362"/>
      <c r="H156" s="359"/>
      <c r="I156" s="362"/>
      <c r="J156" s="359"/>
      <c r="K156" s="362"/>
      <c r="L156" s="359"/>
      <c r="M156" s="362"/>
      <c r="N156" s="359"/>
      <c r="O156" s="362"/>
      <c r="P156" s="359"/>
      <c r="Q156" s="362"/>
      <c r="R156" s="359"/>
      <c r="S156" s="362"/>
      <c r="T156" s="492"/>
      <c r="U156" s="362"/>
      <c r="V156" s="492"/>
      <c r="W156" s="362"/>
      <c r="X156" s="492"/>
      <c r="Y156" s="362"/>
      <c r="Z156" s="492"/>
      <c r="AA156" s="362"/>
      <c r="AB156" s="360"/>
      <c r="AC156" s="342"/>
      <c r="AD156" s="348"/>
    </row>
    <row r="157" spans="1:30" s="479" customFormat="1">
      <c r="A157" s="474"/>
      <c r="B157" s="474"/>
      <c r="C157" s="505"/>
      <c r="D157" s="474">
        <v>0.1</v>
      </c>
      <c r="E157" s="475">
        <f>SUM(E135:E155)</f>
        <v>0</v>
      </c>
      <c r="F157" s="474">
        <v>0.1</v>
      </c>
      <c r="G157" s="475">
        <f>SUM(G135:G155)</f>
        <v>0</v>
      </c>
      <c r="H157" s="474">
        <v>0.1</v>
      </c>
      <c r="I157" s="475">
        <f>SUM(I135:I155)</f>
        <v>0</v>
      </c>
      <c r="J157" s="474">
        <v>0.1</v>
      </c>
      <c r="K157" s="475">
        <f>SUM(K135:K155)</f>
        <v>0</v>
      </c>
      <c r="L157" s="474">
        <v>0.1</v>
      </c>
      <c r="M157" s="475">
        <f>SUM(M135:M155)</f>
        <v>0</v>
      </c>
      <c r="N157" s="474">
        <v>0.1</v>
      </c>
      <c r="O157" s="475">
        <f>SUM(O135:O155)</f>
        <v>0</v>
      </c>
      <c r="P157" s="474">
        <v>0.1</v>
      </c>
      <c r="Q157" s="475">
        <f>SUM(Q135:Q155)</f>
        <v>7425000</v>
      </c>
      <c r="R157" s="474">
        <v>0.1</v>
      </c>
      <c r="S157" s="475">
        <f>SUM(S135:S155)</f>
        <v>7425000</v>
      </c>
      <c r="T157" s="515">
        <v>0.1</v>
      </c>
      <c r="U157" s="475">
        <f>SUM(U135:U155)</f>
        <v>7425000</v>
      </c>
      <c r="V157" s="515">
        <v>0.1</v>
      </c>
      <c r="W157" s="475">
        <f>SUM(W135:W155)</f>
        <v>7425000</v>
      </c>
      <c r="X157" s="515">
        <v>0.1</v>
      </c>
      <c r="Y157" s="475">
        <f>SUM(Y135:Y155)</f>
        <v>7425000</v>
      </c>
      <c r="Z157" s="515">
        <v>0.1</v>
      </c>
      <c r="AA157" s="475">
        <f>SUM(AA135:AA155)</f>
        <v>7425000</v>
      </c>
      <c r="AB157" s="476"/>
      <c r="AC157" s="477"/>
      <c r="AD157" s="478"/>
    </row>
    <row r="158" spans="1:30" s="485" customFormat="1">
      <c r="A158" s="480"/>
      <c r="B158" s="480"/>
      <c r="C158" s="507"/>
      <c r="D158" s="480"/>
      <c r="E158" s="481">
        <f>E157*D157</f>
        <v>0</v>
      </c>
      <c r="F158" s="480"/>
      <c r="G158" s="482">
        <f>G157*F157</f>
        <v>0</v>
      </c>
      <c r="H158" s="480"/>
      <c r="I158" s="481">
        <f>I157*H157</f>
        <v>0</v>
      </c>
      <c r="J158" s="480"/>
      <c r="K158" s="481">
        <f>K157*J157</f>
        <v>0</v>
      </c>
      <c r="L158" s="480"/>
      <c r="M158" s="481">
        <f>M157*L157</f>
        <v>0</v>
      </c>
      <c r="N158" s="480"/>
      <c r="O158" s="481">
        <f>O157*N157</f>
        <v>0</v>
      </c>
      <c r="P158" s="480"/>
      <c r="Q158" s="481">
        <f>Q157*P157</f>
        <v>742500</v>
      </c>
      <c r="R158" s="480"/>
      <c r="S158" s="481">
        <f>S157*R157</f>
        <v>742500</v>
      </c>
      <c r="T158" s="516"/>
      <c r="U158" s="481">
        <f>U157*T157</f>
        <v>742500</v>
      </c>
      <c r="V158" s="516"/>
      <c r="W158" s="481">
        <f>W157*V157</f>
        <v>742500</v>
      </c>
      <c r="X158" s="516"/>
      <c r="Y158" s="481">
        <f>Y157*X157</f>
        <v>742500</v>
      </c>
      <c r="Z158" s="516"/>
      <c r="AA158" s="481">
        <f>AA157*Z157</f>
        <v>742500</v>
      </c>
      <c r="AB158" s="481">
        <f>SUM(AA158,Y158,W158,U158,S158,Q158,O158,M158,K158,I158,G158,E158)</f>
        <v>4455000</v>
      </c>
      <c r="AC158" s="483"/>
      <c r="AD158" s="484"/>
    </row>
    <row r="159" spans="1:30" s="349" customFormat="1">
      <c r="A159" s="359"/>
      <c r="B159" s="359"/>
      <c r="C159" s="504"/>
      <c r="D159" s="359"/>
      <c r="E159" s="472"/>
      <c r="F159" s="359"/>
      <c r="G159" s="471"/>
      <c r="H159" s="359"/>
      <c r="I159" s="472"/>
      <c r="J159" s="359"/>
      <c r="K159" s="472"/>
      <c r="L159" s="359"/>
      <c r="M159" s="472"/>
      <c r="N159" s="359"/>
      <c r="O159" s="472"/>
      <c r="P159" s="359"/>
      <c r="Q159" s="472"/>
      <c r="R159" s="359"/>
      <c r="S159" s="472"/>
      <c r="T159" s="492"/>
      <c r="U159" s="472"/>
      <c r="V159" s="492"/>
      <c r="W159" s="472"/>
      <c r="X159" s="492"/>
      <c r="Y159" s="472"/>
      <c r="Z159" s="492"/>
      <c r="AA159" s="472"/>
      <c r="AB159" s="472"/>
      <c r="AC159" s="342"/>
      <c r="AD159" s="473"/>
    </row>
    <row r="160" spans="1:30" s="349" customFormat="1">
      <c r="A160" s="359" t="s">
        <v>230</v>
      </c>
      <c r="B160" s="359">
        <v>26</v>
      </c>
      <c r="C160" s="504">
        <v>10000</v>
      </c>
      <c r="D160" s="359">
        <v>0</v>
      </c>
      <c r="E160" s="362">
        <f>D160*C160</f>
        <v>0</v>
      </c>
      <c r="F160" s="359">
        <v>0</v>
      </c>
      <c r="G160" s="362">
        <f>F160*C160</f>
        <v>0</v>
      </c>
      <c r="H160" s="359">
        <v>0</v>
      </c>
      <c r="I160" s="362">
        <f>H160*C160</f>
        <v>0</v>
      </c>
      <c r="J160" s="359">
        <v>0</v>
      </c>
      <c r="K160" s="362">
        <f>J160*C160</f>
        <v>0</v>
      </c>
      <c r="L160" s="359">
        <v>0</v>
      </c>
      <c r="M160" s="362">
        <f>L160*C160</f>
        <v>0</v>
      </c>
      <c r="N160" s="359">
        <v>0</v>
      </c>
      <c r="O160" s="362">
        <f>N160*C160</f>
        <v>0</v>
      </c>
      <c r="P160" s="359">
        <v>10</v>
      </c>
      <c r="Q160" s="362">
        <f>P160*C160</f>
        <v>100000</v>
      </c>
      <c r="R160" s="359">
        <v>10</v>
      </c>
      <c r="S160" s="362">
        <f>R160*C160</f>
        <v>100000</v>
      </c>
      <c r="T160" s="492">
        <v>10</v>
      </c>
      <c r="U160" s="362">
        <f>T160*C160</f>
        <v>100000</v>
      </c>
      <c r="V160" s="492">
        <v>10</v>
      </c>
      <c r="W160" s="362">
        <f>V160*C160</f>
        <v>100000</v>
      </c>
      <c r="X160" s="492">
        <v>10</v>
      </c>
      <c r="Y160" s="362">
        <f>X160*C160</f>
        <v>100000</v>
      </c>
      <c r="Z160" s="492">
        <v>10</v>
      </c>
      <c r="AA160" s="362">
        <f>Z160*C160</f>
        <v>100000</v>
      </c>
      <c r="AB160" s="361"/>
      <c r="AC160" s="342"/>
      <c r="AD160" s="348"/>
    </row>
    <row r="161" spans="1:30" s="349" customFormat="1">
      <c r="A161" s="359" t="s">
        <v>230</v>
      </c>
      <c r="B161" s="359">
        <v>33</v>
      </c>
      <c r="C161" s="504">
        <v>14000</v>
      </c>
      <c r="D161" s="359">
        <v>0</v>
      </c>
      <c r="E161" s="362">
        <f>D161*C161</f>
        <v>0</v>
      </c>
      <c r="F161" s="359">
        <v>0</v>
      </c>
      <c r="G161" s="362">
        <f>F161*C161</f>
        <v>0</v>
      </c>
      <c r="H161" s="359">
        <v>0</v>
      </c>
      <c r="I161" s="362">
        <f>H161*C161</f>
        <v>0</v>
      </c>
      <c r="J161" s="359">
        <v>0</v>
      </c>
      <c r="K161" s="362">
        <f>J161*C161</f>
        <v>0</v>
      </c>
      <c r="L161" s="359">
        <v>0</v>
      </c>
      <c r="M161" s="362">
        <f>L161*C161</f>
        <v>0</v>
      </c>
      <c r="N161" s="359">
        <v>0</v>
      </c>
      <c r="O161" s="362">
        <f>N161*C161</f>
        <v>0</v>
      </c>
      <c r="P161" s="359">
        <v>5</v>
      </c>
      <c r="Q161" s="362">
        <f>P161*C161</f>
        <v>70000</v>
      </c>
      <c r="R161" s="359">
        <v>5</v>
      </c>
      <c r="S161" s="362">
        <f>R161*C161</f>
        <v>70000</v>
      </c>
      <c r="T161" s="492">
        <v>5</v>
      </c>
      <c r="U161" s="362">
        <f>T161*C161</f>
        <v>70000</v>
      </c>
      <c r="V161" s="492">
        <v>5</v>
      </c>
      <c r="W161" s="362">
        <f>V161*C161</f>
        <v>70000</v>
      </c>
      <c r="X161" s="492">
        <v>5</v>
      </c>
      <c r="Y161" s="362">
        <f>X161*C161</f>
        <v>70000</v>
      </c>
      <c r="Z161" s="492">
        <v>5</v>
      </c>
      <c r="AA161" s="362">
        <f>Z161*C161</f>
        <v>70000</v>
      </c>
      <c r="AB161" s="361"/>
      <c r="AC161" s="342"/>
      <c r="AD161" s="348"/>
    </row>
    <row r="162" spans="1:30" s="349" customFormat="1">
      <c r="A162" s="359" t="s">
        <v>230</v>
      </c>
      <c r="B162" s="359">
        <v>64</v>
      </c>
      <c r="C162" s="504">
        <v>85000</v>
      </c>
      <c r="D162" s="359">
        <v>0</v>
      </c>
      <c r="E162" s="362">
        <f>D162*C162</f>
        <v>0</v>
      </c>
      <c r="F162" s="359">
        <v>0</v>
      </c>
      <c r="G162" s="362">
        <f>F162*C162</f>
        <v>0</v>
      </c>
      <c r="H162" s="359">
        <v>0</v>
      </c>
      <c r="I162" s="362">
        <f>H162*C162</f>
        <v>0</v>
      </c>
      <c r="J162" s="359">
        <v>0</v>
      </c>
      <c r="K162" s="362">
        <f>J162*C162</f>
        <v>0</v>
      </c>
      <c r="L162" s="359">
        <v>0</v>
      </c>
      <c r="M162" s="362">
        <f>L162*C162</f>
        <v>0</v>
      </c>
      <c r="N162" s="359">
        <v>0</v>
      </c>
      <c r="O162" s="362">
        <f>N162*C162</f>
        <v>0</v>
      </c>
      <c r="P162" s="359">
        <v>2</v>
      </c>
      <c r="Q162" s="362">
        <f>P162*C162</f>
        <v>170000</v>
      </c>
      <c r="R162" s="359">
        <v>2</v>
      </c>
      <c r="S162" s="362">
        <f>R162*C162</f>
        <v>170000</v>
      </c>
      <c r="T162" s="492">
        <v>2</v>
      </c>
      <c r="U162" s="362">
        <f>T162*C162</f>
        <v>170000</v>
      </c>
      <c r="V162" s="492">
        <v>2</v>
      </c>
      <c r="W162" s="362">
        <f>V162*C162</f>
        <v>170000</v>
      </c>
      <c r="X162" s="492">
        <v>2</v>
      </c>
      <c r="Y162" s="362">
        <f>X162*C162</f>
        <v>170000</v>
      </c>
      <c r="Z162" s="492">
        <v>2</v>
      </c>
      <c r="AA162" s="362">
        <f>Z162*C162</f>
        <v>170000</v>
      </c>
      <c r="AB162" s="361"/>
      <c r="AC162" s="342"/>
      <c r="AD162" s="348"/>
    </row>
    <row r="163" spans="1:30" s="349" customFormat="1">
      <c r="A163" s="359" t="s">
        <v>230</v>
      </c>
      <c r="B163" s="359">
        <v>100</v>
      </c>
      <c r="C163" s="504">
        <v>120000</v>
      </c>
      <c r="D163" s="359">
        <v>0</v>
      </c>
      <c r="E163" s="362">
        <f>D163*C163</f>
        <v>0</v>
      </c>
      <c r="F163" s="359">
        <v>0</v>
      </c>
      <c r="G163" s="362">
        <f>F163*C163</f>
        <v>0</v>
      </c>
      <c r="H163" s="359">
        <v>0</v>
      </c>
      <c r="I163" s="362">
        <f>H163*C163</f>
        <v>0</v>
      </c>
      <c r="J163" s="359">
        <v>0</v>
      </c>
      <c r="K163" s="362">
        <f>J163*C163</f>
        <v>0</v>
      </c>
      <c r="L163" s="359">
        <v>0</v>
      </c>
      <c r="M163" s="362">
        <f>L163*C163</f>
        <v>0</v>
      </c>
      <c r="N163" s="359">
        <v>0</v>
      </c>
      <c r="O163" s="362">
        <f>N163*C163</f>
        <v>0</v>
      </c>
      <c r="P163" s="359">
        <v>0</v>
      </c>
      <c r="Q163" s="362">
        <f>P163*C163</f>
        <v>0</v>
      </c>
      <c r="R163" s="359">
        <v>0</v>
      </c>
      <c r="S163" s="362">
        <f>R163*C163</f>
        <v>0</v>
      </c>
      <c r="T163" s="492">
        <v>0</v>
      </c>
      <c r="U163" s="362">
        <f>T163*C163</f>
        <v>0</v>
      </c>
      <c r="V163" s="492">
        <v>0</v>
      </c>
      <c r="W163" s="362">
        <f>V163*C163</f>
        <v>0</v>
      </c>
      <c r="X163" s="492">
        <v>0</v>
      </c>
      <c r="Y163" s="362">
        <f>X163*C163</f>
        <v>0</v>
      </c>
      <c r="Z163" s="492">
        <v>0</v>
      </c>
      <c r="AA163" s="362">
        <f>Z163*C163</f>
        <v>0</v>
      </c>
      <c r="AB163" s="361"/>
      <c r="AC163" s="342"/>
      <c r="AD163" s="348"/>
    </row>
    <row r="164" spans="1:30" s="349" customFormat="1">
      <c r="A164" s="359"/>
      <c r="B164" s="359"/>
      <c r="C164" s="504"/>
      <c r="D164" s="359"/>
      <c r="E164" s="362"/>
      <c r="F164" s="359"/>
      <c r="G164" s="362"/>
      <c r="H164" s="359"/>
      <c r="I164" s="362"/>
      <c r="J164" s="359"/>
      <c r="K164" s="362"/>
      <c r="L164" s="359"/>
      <c r="M164" s="362"/>
      <c r="N164" s="359"/>
      <c r="O164" s="362"/>
      <c r="P164" s="359"/>
      <c r="Q164" s="362"/>
      <c r="R164" s="359"/>
      <c r="S164" s="362"/>
      <c r="T164" s="492"/>
      <c r="U164" s="362"/>
      <c r="V164" s="492"/>
      <c r="W164" s="362"/>
      <c r="X164" s="492"/>
      <c r="Y164" s="362"/>
      <c r="Z164" s="492"/>
      <c r="AA164" s="362"/>
      <c r="AB164" s="361"/>
      <c r="AC164" s="342"/>
      <c r="AD164" s="348"/>
    </row>
    <row r="165" spans="1:30" s="349" customFormat="1">
      <c r="A165" s="359" t="s">
        <v>231</v>
      </c>
      <c r="B165" s="359">
        <v>150</v>
      </c>
      <c r="C165" s="504">
        <v>150000</v>
      </c>
      <c r="D165" s="359">
        <v>0</v>
      </c>
      <c r="E165" s="362">
        <f>D165*C165</f>
        <v>0</v>
      </c>
      <c r="F165" s="359">
        <v>0</v>
      </c>
      <c r="G165" s="362">
        <f>F165*C165</f>
        <v>0</v>
      </c>
      <c r="H165" s="359">
        <v>0</v>
      </c>
      <c r="I165" s="362">
        <f>H165*C165</f>
        <v>0</v>
      </c>
      <c r="J165" s="359">
        <v>0</v>
      </c>
      <c r="K165" s="362">
        <f>J165*C165</f>
        <v>0</v>
      </c>
      <c r="L165" s="359">
        <v>0</v>
      </c>
      <c r="M165" s="362">
        <f>L165*C165</f>
        <v>0</v>
      </c>
      <c r="N165" s="359">
        <v>0</v>
      </c>
      <c r="O165" s="362">
        <f>N165*C165</f>
        <v>0</v>
      </c>
      <c r="P165" s="359">
        <v>10</v>
      </c>
      <c r="Q165" s="362">
        <f>P165*C165</f>
        <v>1500000</v>
      </c>
      <c r="R165" s="359">
        <v>10</v>
      </c>
      <c r="S165" s="362">
        <f>R165*C165</f>
        <v>1500000</v>
      </c>
      <c r="T165" s="492">
        <v>10</v>
      </c>
      <c r="U165" s="362">
        <f>T165*C165</f>
        <v>1500000</v>
      </c>
      <c r="V165" s="492">
        <v>10</v>
      </c>
      <c r="W165" s="362">
        <f>V165*C165</f>
        <v>1500000</v>
      </c>
      <c r="X165" s="492">
        <v>10</v>
      </c>
      <c r="Y165" s="362">
        <f>X165*C165</f>
        <v>1500000</v>
      </c>
      <c r="Z165" s="492">
        <v>10</v>
      </c>
      <c r="AA165" s="362">
        <f>Z165*C165</f>
        <v>1500000</v>
      </c>
      <c r="AB165" s="361"/>
      <c r="AC165" s="342"/>
      <c r="AD165" s="348"/>
    </row>
    <row r="166" spans="1:30" s="349" customFormat="1">
      <c r="A166" s="359" t="s">
        <v>231</v>
      </c>
      <c r="B166" s="359">
        <v>250</v>
      </c>
      <c r="C166" s="504">
        <v>250000</v>
      </c>
      <c r="D166" s="359">
        <v>0</v>
      </c>
      <c r="E166" s="362">
        <f>D166*C166</f>
        <v>0</v>
      </c>
      <c r="F166" s="359">
        <v>0</v>
      </c>
      <c r="G166" s="362">
        <f>F166*C166</f>
        <v>0</v>
      </c>
      <c r="H166" s="359">
        <v>0</v>
      </c>
      <c r="I166" s="362">
        <f>H166*C166</f>
        <v>0</v>
      </c>
      <c r="J166" s="359">
        <v>0</v>
      </c>
      <c r="K166" s="362">
        <f>J166*C166</f>
        <v>0</v>
      </c>
      <c r="L166" s="359">
        <v>0</v>
      </c>
      <c r="M166" s="362">
        <f>L166*C166</f>
        <v>0</v>
      </c>
      <c r="N166" s="359">
        <v>0</v>
      </c>
      <c r="O166" s="362">
        <f>N166*C166</f>
        <v>0</v>
      </c>
      <c r="P166" s="359">
        <v>5</v>
      </c>
      <c r="Q166" s="362">
        <f>P166*C166</f>
        <v>1250000</v>
      </c>
      <c r="R166" s="359">
        <v>5</v>
      </c>
      <c r="S166" s="362">
        <f>R166*C166</f>
        <v>1250000</v>
      </c>
      <c r="T166" s="492">
        <v>5</v>
      </c>
      <c r="U166" s="362">
        <f>T166*C166</f>
        <v>1250000</v>
      </c>
      <c r="V166" s="492">
        <v>5</v>
      </c>
      <c r="W166" s="362">
        <f>V166*C166</f>
        <v>1250000</v>
      </c>
      <c r="X166" s="492">
        <v>5</v>
      </c>
      <c r="Y166" s="362">
        <f>X166*C166</f>
        <v>1250000</v>
      </c>
      <c r="Z166" s="492">
        <v>5</v>
      </c>
      <c r="AA166" s="362">
        <f>Z166*C166</f>
        <v>1250000</v>
      </c>
      <c r="AB166" s="361"/>
      <c r="AC166" s="342"/>
      <c r="AD166" s="348"/>
    </row>
    <row r="167" spans="1:30" s="349" customFormat="1">
      <c r="A167" s="359" t="s">
        <v>231</v>
      </c>
      <c r="B167" s="359">
        <v>350</v>
      </c>
      <c r="C167" s="504">
        <v>320000</v>
      </c>
      <c r="D167" s="359">
        <v>0</v>
      </c>
      <c r="E167" s="362">
        <f>D167*C167</f>
        <v>0</v>
      </c>
      <c r="F167" s="359">
        <v>0</v>
      </c>
      <c r="G167" s="362">
        <f>F167*C167</f>
        <v>0</v>
      </c>
      <c r="H167" s="359">
        <v>0</v>
      </c>
      <c r="I167" s="362">
        <f>H167*C167</f>
        <v>0</v>
      </c>
      <c r="J167" s="359">
        <v>0</v>
      </c>
      <c r="K167" s="362">
        <f>J167*C167</f>
        <v>0</v>
      </c>
      <c r="L167" s="359">
        <v>0</v>
      </c>
      <c r="M167" s="362">
        <f>L167*C167</f>
        <v>0</v>
      </c>
      <c r="N167" s="359">
        <v>0</v>
      </c>
      <c r="O167" s="362">
        <f>N167*C167</f>
        <v>0</v>
      </c>
      <c r="P167" s="359">
        <v>2</v>
      </c>
      <c r="Q167" s="362">
        <f>P167*C167</f>
        <v>640000</v>
      </c>
      <c r="R167" s="359">
        <v>2</v>
      </c>
      <c r="S167" s="362">
        <f>R167*C167</f>
        <v>640000</v>
      </c>
      <c r="T167" s="492">
        <v>2</v>
      </c>
      <c r="U167" s="362">
        <f>T167*C167</f>
        <v>640000</v>
      </c>
      <c r="V167" s="492">
        <v>2</v>
      </c>
      <c r="W167" s="362">
        <f>V167*C167</f>
        <v>640000</v>
      </c>
      <c r="X167" s="492">
        <v>2</v>
      </c>
      <c r="Y167" s="362">
        <f>X167*C167</f>
        <v>640000</v>
      </c>
      <c r="Z167" s="492">
        <v>2</v>
      </c>
      <c r="AA167" s="362">
        <f>Z167*C167</f>
        <v>640000</v>
      </c>
      <c r="AB167" s="361"/>
      <c r="AC167" s="342"/>
      <c r="AD167" s="348"/>
    </row>
    <row r="168" spans="1:30" s="349" customFormat="1">
      <c r="A168" s="359" t="s">
        <v>231</v>
      </c>
      <c r="B168" s="359">
        <v>500</v>
      </c>
      <c r="C168" s="504">
        <v>480000</v>
      </c>
      <c r="D168" s="359">
        <v>0</v>
      </c>
      <c r="E168" s="362">
        <f>D168*C168</f>
        <v>0</v>
      </c>
      <c r="F168" s="359">
        <v>0</v>
      </c>
      <c r="G168" s="362">
        <f>F168*C168</f>
        <v>0</v>
      </c>
      <c r="H168" s="359">
        <v>0</v>
      </c>
      <c r="I168" s="362">
        <f>H168*C168</f>
        <v>0</v>
      </c>
      <c r="J168" s="359">
        <v>0</v>
      </c>
      <c r="K168" s="362">
        <f>J168*C168</f>
        <v>0</v>
      </c>
      <c r="L168" s="359">
        <v>0</v>
      </c>
      <c r="M168" s="362">
        <f>L168*C168</f>
        <v>0</v>
      </c>
      <c r="N168" s="359">
        <v>0</v>
      </c>
      <c r="O168" s="362">
        <f>N168*C168</f>
        <v>0</v>
      </c>
      <c r="P168" s="359">
        <v>0</v>
      </c>
      <c r="Q168" s="362">
        <f>P168*C168</f>
        <v>0</v>
      </c>
      <c r="R168" s="359">
        <v>0</v>
      </c>
      <c r="S168" s="362">
        <f>R168*C168</f>
        <v>0</v>
      </c>
      <c r="T168" s="492">
        <v>0</v>
      </c>
      <c r="U168" s="362">
        <f>T168*C168</f>
        <v>0</v>
      </c>
      <c r="V168" s="492">
        <v>0</v>
      </c>
      <c r="W168" s="362">
        <f>V168*C168</f>
        <v>0</v>
      </c>
      <c r="X168" s="492">
        <v>0</v>
      </c>
      <c r="Y168" s="362">
        <f>X168*C168</f>
        <v>0</v>
      </c>
      <c r="Z168" s="492">
        <v>0</v>
      </c>
      <c r="AA168" s="362">
        <f>Z168*C168</f>
        <v>0</v>
      </c>
      <c r="AB168" s="361"/>
      <c r="AC168" s="342"/>
      <c r="AD168" s="348"/>
    </row>
    <row r="169" spans="1:30" s="349" customFormat="1">
      <c r="A169" s="359"/>
      <c r="B169" s="359"/>
      <c r="C169" s="504"/>
      <c r="D169" s="359"/>
      <c r="E169" s="362"/>
      <c r="F169" s="359"/>
      <c r="G169" s="362"/>
      <c r="H169" s="359"/>
      <c r="I169" s="362"/>
      <c r="J169" s="359"/>
      <c r="K169" s="362"/>
      <c r="L169" s="359"/>
      <c r="M169" s="362"/>
      <c r="N169" s="359"/>
      <c r="O169" s="362"/>
      <c r="P169" s="359"/>
      <c r="Q169" s="362"/>
      <c r="R169" s="359"/>
      <c r="S169" s="362"/>
      <c r="T169" s="492"/>
      <c r="U169" s="362"/>
      <c r="V169" s="492"/>
      <c r="W169" s="362"/>
      <c r="X169" s="492"/>
      <c r="Y169" s="362"/>
      <c r="Z169" s="492"/>
      <c r="AA169" s="362"/>
      <c r="AB169" s="361"/>
      <c r="AC169" s="342"/>
      <c r="AD169" s="348"/>
    </row>
    <row r="170" spans="1:30" s="349" customFormat="1">
      <c r="A170" s="359" t="s">
        <v>232</v>
      </c>
      <c r="B170" s="359">
        <v>100</v>
      </c>
      <c r="C170" s="504">
        <v>120000</v>
      </c>
      <c r="D170" s="359">
        <v>0</v>
      </c>
      <c r="E170" s="362">
        <f>D170*C170</f>
        <v>0</v>
      </c>
      <c r="F170" s="359">
        <v>0</v>
      </c>
      <c r="G170" s="362">
        <f>F170*C170</f>
        <v>0</v>
      </c>
      <c r="H170" s="359">
        <v>0</v>
      </c>
      <c r="I170" s="362">
        <f>H170*C170</f>
        <v>0</v>
      </c>
      <c r="J170" s="359">
        <v>0</v>
      </c>
      <c r="K170" s="362">
        <f>J170*C170</f>
        <v>0</v>
      </c>
      <c r="L170" s="359">
        <v>0</v>
      </c>
      <c r="M170" s="362">
        <f>L170*C170</f>
        <v>0</v>
      </c>
      <c r="N170" s="359">
        <v>0</v>
      </c>
      <c r="O170" s="362">
        <f>N170*C170</f>
        <v>0</v>
      </c>
      <c r="P170" s="359">
        <v>5</v>
      </c>
      <c r="Q170" s="362">
        <f>P170*C170</f>
        <v>600000</v>
      </c>
      <c r="R170" s="359">
        <v>5</v>
      </c>
      <c r="S170" s="362">
        <f>R170*C170</f>
        <v>600000</v>
      </c>
      <c r="T170" s="492">
        <v>5</v>
      </c>
      <c r="U170" s="362">
        <f>T170*C170</f>
        <v>600000</v>
      </c>
      <c r="V170" s="492">
        <v>5</v>
      </c>
      <c r="W170" s="362">
        <f>V170*C170</f>
        <v>600000</v>
      </c>
      <c r="X170" s="492">
        <v>5</v>
      </c>
      <c r="Y170" s="362">
        <f>X170*C170</f>
        <v>600000</v>
      </c>
      <c r="Z170" s="492">
        <v>5</v>
      </c>
      <c r="AA170" s="362">
        <f>Z170*C170</f>
        <v>600000</v>
      </c>
      <c r="AB170" s="361"/>
      <c r="AC170" s="342"/>
      <c r="AD170" s="348"/>
    </row>
    <row r="171" spans="1:30" s="349" customFormat="1">
      <c r="A171" s="359" t="s">
        <v>232</v>
      </c>
      <c r="B171" s="359">
        <v>150</v>
      </c>
      <c r="C171" s="504">
        <v>150000</v>
      </c>
      <c r="D171" s="359">
        <v>0</v>
      </c>
      <c r="E171" s="362">
        <f>D171*C171</f>
        <v>0</v>
      </c>
      <c r="F171" s="359">
        <v>0</v>
      </c>
      <c r="G171" s="362">
        <f>F171*C171</f>
        <v>0</v>
      </c>
      <c r="H171" s="359">
        <v>0</v>
      </c>
      <c r="I171" s="362">
        <f>H171*C171</f>
        <v>0</v>
      </c>
      <c r="J171" s="359">
        <v>0</v>
      </c>
      <c r="K171" s="362">
        <f>J171*C171</f>
        <v>0</v>
      </c>
      <c r="L171" s="359">
        <v>0</v>
      </c>
      <c r="M171" s="362">
        <f>L171*C171</f>
        <v>0</v>
      </c>
      <c r="N171" s="359">
        <v>0</v>
      </c>
      <c r="O171" s="362">
        <f>N171*C171</f>
        <v>0</v>
      </c>
      <c r="P171" s="359">
        <v>4</v>
      </c>
      <c r="Q171" s="362">
        <f>P171*C171</f>
        <v>600000</v>
      </c>
      <c r="R171" s="359">
        <v>4</v>
      </c>
      <c r="S171" s="362">
        <f>R171*C171</f>
        <v>600000</v>
      </c>
      <c r="T171" s="492">
        <v>4</v>
      </c>
      <c r="U171" s="362">
        <f>T171*C171</f>
        <v>600000</v>
      </c>
      <c r="V171" s="492">
        <v>4</v>
      </c>
      <c r="W171" s="362">
        <f>V171*C171</f>
        <v>600000</v>
      </c>
      <c r="X171" s="492">
        <v>4</v>
      </c>
      <c r="Y171" s="362">
        <f>X171*C171</f>
        <v>600000</v>
      </c>
      <c r="Z171" s="492">
        <v>4</v>
      </c>
      <c r="AA171" s="362">
        <f>Z171*C171</f>
        <v>600000</v>
      </c>
      <c r="AB171" s="361"/>
      <c r="AC171" s="342"/>
      <c r="AD171" s="348"/>
    </row>
    <row r="172" spans="1:30" s="349" customFormat="1">
      <c r="A172" s="359" t="s">
        <v>232</v>
      </c>
      <c r="B172" s="359">
        <v>250</v>
      </c>
      <c r="C172" s="504">
        <v>250000</v>
      </c>
      <c r="D172" s="359">
        <v>0</v>
      </c>
      <c r="E172" s="362">
        <f>D172*C172</f>
        <v>0</v>
      </c>
      <c r="F172" s="359">
        <v>0</v>
      </c>
      <c r="G172" s="362">
        <f>F172*C172</f>
        <v>0</v>
      </c>
      <c r="H172" s="359">
        <v>0</v>
      </c>
      <c r="I172" s="362">
        <f>H172*C172</f>
        <v>0</v>
      </c>
      <c r="J172" s="359">
        <v>0</v>
      </c>
      <c r="K172" s="362">
        <f>J172*C172</f>
        <v>0</v>
      </c>
      <c r="L172" s="359">
        <v>0</v>
      </c>
      <c r="M172" s="362">
        <f>L172*C172</f>
        <v>0</v>
      </c>
      <c r="N172" s="359">
        <v>0</v>
      </c>
      <c r="O172" s="362">
        <f>N172*C172</f>
        <v>0</v>
      </c>
      <c r="P172" s="359">
        <v>3</v>
      </c>
      <c r="Q172" s="362">
        <f>P172*C172</f>
        <v>750000</v>
      </c>
      <c r="R172" s="359">
        <v>3</v>
      </c>
      <c r="S172" s="362">
        <f>R172*C172</f>
        <v>750000</v>
      </c>
      <c r="T172" s="492">
        <v>3</v>
      </c>
      <c r="U172" s="362">
        <f>T172*C172</f>
        <v>750000</v>
      </c>
      <c r="V172" s="492">
        <v>3</v>
      </c>
      <c r="W172" s="362">
        <f>V172*C172</f>
        <v>750000</v>
      </c>
      <c r="X172" s="492">
        <v>3</v>
      </c>
      <c r="Y172" s="362">
        <f>X172*C172</f>
        <v>750000</v>
      </c>
      <c r="Z172" s="492">
        <v>3</v>
      </c>
      <c r="AA172" s="362">
        <f>Z172*C172</f>
        <v>750000</v>
      </c>
      <c r="AB172" s="361"/>
      <c r="AC172" s="342"/>
      <c r="AD172" s="348"/>
    </row>
    <row r="173" spans="1:30" s="349" customFormat="1">
      <c r="A173" s="359" t="s">
        <v>232</v>
      </c>
      <c r="B173" s="359">
        <v>350</v>
      </c>
      <c r="C173" s="504">
        <v>320000</v>
      </c>
      <c r="D173" s="359">
        <v>0</v>
      </c>
      <c r="E173" s="362">
        <f>D173*C173</f>
        <v>0</v>
      </c>
      <c r="F173" s="359">
        <v>0</v>
      </c>
      <c r="G173" s="362">
        <f>F173*C173</f>
        <v>0</v>
      </c>
      <c r="H173" s="359">
        <v>0</v>
      </c>
      <c r="I173" s="362">
        <f>H173*C173</f>
        <v>0</v>
      </c>
      <c r="J173" s="359">
        <v>0</v>
      </c>
      <c r="K173" s="362">
        <f>J173*C173</f>
        <v>0</v>
      </c>
      <c r="L173" s="359">
        <v>0</v>
      </c>
      <c r="M173" s="362">
        <f>L173*C173</f>
        <v>0</v>
      </c>
      <c r="N173" s="359">
        <v>0</v>
      </c>
      <c r="O173" s="362">
        <f>N173*C173</f>
        <v>0</v>
      </c>
      <c r="P173" s="359">
        <v>3</v>
      </c>
      <c r="Q173" s="362">
        <f>P173*C173</f>
        <v>960000</v>
      </c>
      <c r="R173" s="359">
        <v>3</v>
      </c>
      <c r="S173" s="362">
        <f>R173*C173</f>
        <v>960000</v>
      </c>
      <c r="T173" s="492">
        <v>3</v>
      </c>
      <c r="U173" s="362">
        <f>T173*C173</f>
        <v>960000</v>
      </c>
      <c r="V173" s="492">
        <v>3</v>
      </c>
      <c r="W173" s="362">
        <f>V173*C173</f>
        <v>960000</v>
      </c>
      <c r="X173" s="492">
        <v>3</v>
      </c>
      <c r="Y173" s="362">
        <f>X173*C173</f>
        <v>960000</v>
      </c>
      <c r="Z173" s="492">
        <v>3</v>
      </c>
      <c r="AA173" s="362">
        <f>Z173*C173</f>
        <v>960000</v>
      </c>
      <c r="AB173" s="361"/>
      <c r="AC173" s="342"/>
      <c r="AD173" s="348"/>
    </row>
    <row r="174" spans="1:30" s="349" customFormat="1">
      <c r="A174" s="359" t="s">
        <v>232</v>
      </c>
      <c r="B174" s="359">
        <v>500</v>
      </c>
      <c r="C174" s="504">
        <v>480000</v>
      </c>
      <c r="D174" s="359">
        <v>0</v>
      </c>
      <c r="E174" s="362">
        <f>D174*C174</f>
        <v>0</v>
      </c>
      <c r="F174" s="359">
        <v>0</v>
      </c>
      <c r="G174" s="362">
        <f>F174*C174</f>
        <v>0</v>
      </c>
      <c r="H174" s="359">
        <v>0</v>
      </c>
      <c r="I174" s="362">
        <f>H174*C174</f>
        <v>0</v>
      </c>
      <c r="J174" s="359">
        <v>0</v>
      </c>
      <c r="K174" s="362">
        <f>J174*C174</f>
        <v>0</v>
      </c>
      <c r="L174" s="359">
        <v>0</v>
      </c>
      <c r="M174" s="362">
        <f>L174*C174</f>
        <v>0</v>
      </c>
      <c r="N174" s="359">
        <v>0</v>
      </c>
      <c r="O174" s="362">
        <f>N174*C174</f>
        <v>0</v>
      </c>
      <c r="P174" s="359">
        <v>1</v>
      </c>
      <c r="Q174" s="362">
        <f>P174*C174</f>
        <v>480000</v>
      </c>
      <c r="R174" s="359">
        <v>1</v>
      </c>
      <c r="S174" s="362">
        <f>R174*C174</f>
        <v>480000</v>
      </c>
      <c r="T174" s="492">
        <v>1</v>
      </c>
      <c r="U174" s="362">
        <f>T174*C174</f>
        <v>480000</v>
      </c>
      <c r="V174" s="492">
        <v>1</v>
      </c>
      <c r="W174" s="362">
        <f>V174*C174</f>
        <v>480000</v>
      </c>
      <c r="X174" s="492">
        <v>1</v>
      </c>
      <c r="Y174" s="362">
        <f>X174*C174</f>
        <v>480000</v>
      </c>
      <c r="Z174" s="492">
        <v>1</v>
      </c>
      <c r="AA174" s="362">
        <f>Z174*C174</f>
        <v>480000</v>
      </c>
      <c r="AB174" s="361"/>
      <c r="AC174" s="342"/>
      <c r="AD174" s="348"/>
    </row>
    <row r="175" spans="1:30">
      <c r="A175" s="359"/>
      <c r="B175" s="359"/>
      <c r="C175" s="504"/>
      <c r="D175" s="359"/>
      <c r="E175" s="362"/>
      <c r="F175" s="359"/>
      <c r="G175" s="362"/>
      <c r="H175" s="359"/>
      <c r="I175" s="362"/>
      <c r="J175" s="359"/>
      <c r="K175" s="362"/>
      <c r="L175" s="359"/>
      <c r="M175" s="362"/>
      <c r="N175" s="359"/>
      <c r="O175" s="362"/>
      <c r="P175" s="359"/>
      <c r="Q175" s="362"/>
      <c r="R175" s="359"/>
      <c r="S175" s="362"/>
      <c r="T175" s="492"/>
      <c r="U175" s="362"/>
      <c r="V175" s="492"/>
      <c r="W175" s="362"/>
      <c r="X175" s="492"/>
      <c r="Y175" s="362"/>
      <c r="Z175" s="492"/>
      <c r="AA175" s="362"/>
      <c r="AB175" s="361"/>
      <c r="AD175" s="350"/>
    </row>
    <row r="176" spans="1:30" s="349" customFormat="1">
      <c r="A176" s="359" t="s">
        <v>233</v>
      </c>
      <c r="B176" s="359">
        <v>100</v>
      </c>
      <c r="C176" s="504"/>
      <c r="D176" s="359">
        <v>0</v>
      </c>
      <c r="E176" s="362">
        <f>D176*C176</f>
        <v>0</v>
      </c>
      <c r="F176" s="359">
        <v>0</v>
      </c>
      <c r="G176" s="362">
        <f>F176*C176</f>
        <v>0</v>
      </c>
      <c r="H176" s="359">
        <v>0</v>
      </c>
      <c r="I176" s="362">
        <f>H176*C176</f>
        <v>0</v>
      </c>
      <c r="J176" s="359">
        <v>0</v>
      </c>
      <c r="K176" s="362">
        <f>J176*C176</f>
        <v>0</v>
      </c>
      <c r="L176" s="359">
        <v>0</v>
      </c>
      <c r="M176" s="362">
        <f>L176*C176</f>
        <v>0</v>
      </c>
      <c r="N176" s="359">
        <v>0</v>
      </c>
      <c r="O176" s="362">
        <f>N176*C176</f>
        <v>0</v>
      </c>
      <c r="P176" s="359">
        <v>5</v>
      </c>
      <c r="Q176" s="362">
        <f>P176*C176</f>
        <v>0</v>
      </c>
      <c r="R176" s="359">
        <v>5</v>
      </c>
      <c r="S176" s="362">
        <f>R176*C176</f>
        <v>0</v>
      </c>
      <c r="T176" s="492">
        <v>5</v>
      </c>
      <c r="U176" s="362">
        <f>T176*C176</f>
        <v>0</v>
      </c>
      <c r="V176" s="492">
        <v>5</v>
      </c>
      <c r="W176" s="362">
        <f>V176*C176</f>
        <v>0</v>
      </c>
      <c r="X176" s="492">
        <v>5</v>
      </c>
      <c r="Y176" s="362">
        <f>X176*C176</f>
        <v>0</v>
      </c>
      <c r="Z176" s="492">
        <v>5</v>
      </c>
      <c r="AA176" s="362">
        <f>Z176*C176</f>
        <v>0</v>
      </c>
      <c r="AB176" s="361"/>
      <c r="AC176" s="342"/>
      <c r="AD176" s="348"/>
    </row>
    <row r="177" spans="1:30" s="349" customFormat="1">
      <c r="A177" s="359" t="s">
        <v>233</v>
      </c>
      <c r="B177" s="359">
        <v>150</v>
      </c>
      <c r="C177" s="504"/>
      <c r="D177" s="359">
        <v>0</v>
      </c>
      <c r="E177" s="362">
        <f>D177*C177</f>
        <v>0</v>
      </c>
      <c r="F177" s="359">
        <v>0</v>
      </c>
      <c r="G177" s="362">
        <f>F177*C177</f>
        <v>0</v>
      </c>
      <c r="H177" s="359">
        <v>0</v>
      </c>
      <c r="I177" s="362">
        <f>H177*C177</f>
        <v>0</v>
      </c>
      <c r="J177" s="359">
        <v>0</v>
      </c>
      <c r="K177" s="362">
        <f>J177*C177</f>
        <v>0</v>
      </c>
      <c r="L177" s="359">
        <v>0</v>
      </c>
      <c r="M177" s="362">
        <f>L177*C177</f>
        <v>0</v>
      </c>
      <c r="N177" s="359">
        <v>0</v>
      </c>
      <c r="O177" s="362">
        <f>N177*C177</f>
        <v>0</v>
      </c>
      <c r="P177" s="359">
        <v>4</v>
      </c>
      <c r="Q177" s="362">
        <f>P177*C177</f>
        <v>0</v>
      </c>
      <c r="R177" s="359">
        <v>4</v>
      </c>
      <c r="S177" s="362">
        <f>R177*C177</f>
        <v>0</v>
      </c>
      <c r="T177" s="492">
        <v>4</v>
      </c>
      <c r="U177" s="362">
        <f>T177*C177</f>
        <v>0</v>
      </c>
      <c r="V177" s="492">
        <v>4</v>
      </c>
      <c r="W177" s="362">
        <f>V177*C177</f>
        <v>0</v>
      </c>
      <c r="X177" s="492">
        <v>4</v>
      </c>
      <c r="Y177" s="362">
        <f>X177*C177</f>
        <v>0</v>
      </c>
      <c r="Z177" s="492">
        <v>4</v>
      </c>
      <c r="AA177" s="362">
        <f>Z177*C177</f>
        <v>0</v>
      </c>
      <c r="AB177" s="361"/>
      <c r="AC177" s="342"/>
      <c r="AD177" s="348"/>
    </row>
    <row r="178" spans="1:30" s="349" customFormat="1">
      <c r="A178" s="359" t="s">
        <v>233</v>
      </c>
      <c r="B178" s="359">
        <v>250</v>
      </c>
      <c r="C178" s="504"/>
      <c r="D178" s="359">
        <v>0</v>
      </c>
      <c r="E178" s="362">
        <f>D178*C178</f>
        <v>0</v>
      </c>
      <c r="F178" s="359">
        <v>0</v>
      </c>
      <c r="G178" s="362">
        <f>F178*C178</f>
        <v>0</v>
      </c>
      <c r="H178" s="359">
        <v>0</v>
      </c>
      <c r="I178" s="362">
        <f>H178*C178</f>
        <v>0</v>
      </c>
      <c r="J178" s="359">
        <v>0</v>
      </c>
      <c r="K178" s="362">
        <f>J178*C178</f>
        <v>0</v>
      </c>
      <c r="L178" s="359">
        <v>0</v>
      </c>
      <c r="M178" s="362">
        <f>L178*C178</f>
        <v>0</v>
      </c>
      <c r="N178" s="359">
        <v>0</v>
      </c>
      <c r="O178" s="362">
        <f>N178*C178</f>
        <v>0</v>
      </c>
      <c r="P178" s="359">
        <v>3</v>
      </c>
      <c r="Q178" s="362">
        <f>P178*C178</f>
        <v>0</v>
      </c>
      <c r="R178" s="359">
        <v>3</v>
      </c>
      <c r="S178" s="362">
        <f>R178*C178</f>
        <v>0</v>
      </c>
      <c r="T178" s="492">
        <v>3</v>
      </c>
      <c r="U178" s="362">
        <f>T178*C178</f>
        <v>0</v>
      </c>
      <c r="V178" s="492">
        <v>3</v>
      </c>
      <c r="W178" s="362">
        <f>V178*C178</f>
        <v>0</v>
      </c>
      <c r="X178" s="492">
        <v>3</v>
      </c>
      <c r="Y178" s="362">
        <f>X178*C178</f>
        <v>0</v>
      </c>
      <c r="Z178" s="492">
        <v>3</v>
      </c>
      <c r="AA178" s="362">
        <f>Z178*C178</f>
        <v>0</v>
      </c>
      <c r="AB178" s="361"/>
      <c r="AC178" s="342"/>
      <c r="AD178" s="348"/>
    </row>
    <row r="179" spans="1:30" s="349" customFormat="1">
      <c r="A179" s="359" t="s">
        <v>233</v>
      </c>
      <c r="B179" s="359">
        <v>350</v>
      </c>
      <c r="C179" s="504"/>
      <c r="D179" s="359">
        <v>0</v>
      </c>
      <c r="E179" s="362">
        <f>D179*C179</f>
        <v>0</v>
      </c>
      <c r="F179" s="359">
        <v>0</v>
      </c>
      <c r="G179" s="362">
        <f>F179*C179</f>
        <v>0</v>
      </c>
      <c r="H179" s="359">
        <v>0</v>
      </c>
      <c r="I179" s="362">
        <f>H179*C179</f>
        <v>0</v>
      </c>
      <c r="J179" s="359">
        <v>0</v>
      </c>
      <c r="K179" s="362">
        <f>J179*C179</f>
        <v>0</v>
      </c>
      <c r="L179" s="359">
        <v>0</v>
      </c>
      <c r="M179" s="362">
        <f>L179*C179</f>
        <v>0</v>
      </c>
      <c r="N179" s="359">
        <v>0</v>
      </c>
      <c r="O179" s="362">
        <f>N179*C179</f>
        <v>0</v>
      </c>
      <c r="P179" s="359">
        <v>3</v>
      </c>
      <c r="Q179" s="362">
        <f>P179*C179</f>
        <v>0</v>
      </c>
      <c r="R179" s="359">
        <v>3</v>
      </c>
      <c r="S179" s="362">
        <f>R179*C179</f>
        <v>0</v>
      </c>
      <c r="T179" s="492">
        <v>3</v>
      </c>
      <c r="U179" s="362">
        <f>T179*C179</f>
        <v>0</v>
      </c>
      <c r="V179" s="492">
        <v>3</v>
      </c>
      <c r="W179" s="362">
        <f>V179*C179</f>
        <v>0</v>
      </c>
      <c r="X179" s="492">
        <v>3</v>
      </c>
      <c r="Y179" s="362">
        <f>X179*C179</f>
        <v>0</v>
      </c>
      <c r="Z179" s="492">
        <v>3</v>
      </c>
      <c r="AA179" s="362">
        <f>Z179*C179</f>
        <v>0</v>
      </c>
      <c r="AB179" s="361"/>
      <c r="AC179" s="342"/>
      <c r="AD179" s="348"/>
    </row>
    <row r="180" spans="1:30" s="349" customFormat="1">
      <c r="A180" s="359" t="s">
        <v>233</v>
      </c>
      <c r="B180" s="359">
        <v>500</v>
      </c>
      <c r="C180" s="504"/>
      <c r="D180" s="359">
        <v>0</v>
      </c>
      <c r="E180" s="362">
        <f>D180*C180</f>
        <v>0</v>
      </c>
      <c r="F180" s="359">
        <v>0</v>
      </c>
      <c r="G180" s="362">
        <f>F180*C180</f>
        <v>0</v>
      </c>
      <c r="H180" s="359">
        <v>0</v>
      </c>
      <c r="I180" s="362">
        <f>H180*C180</f>
        <v>0</v>
      </c>
      <c r="J180" s="359">
        <v>0</v>
      </c>
      <c r="K180" s="362">
        <f>J180*C180</f>
        <v>0</v>
      </c>
      <c r="L180" s="359">
        <v>0</v>
      </c>
      <c r="M180" s="362">
        <f>C180</f>
        <v>0</v>
      </c>
      <c r="N180" s="359">
        <v>0</v>
      </c>
      <c r="O180" s="362">
        <f>N180*C180</f>
        <v>0</v>
      </c>
      <c r="P180" s="359">
        <v>1</v>
      </c>
      <c r="Q180" s="362">
        <f>P180*C180</f>
        <v>0</v>
      </c>
      <c r="R180" s="359">
        <v>1</v>
      </c>
      <c r="S180" s="362">
        <f>R180*C180</f>
        <v>0</v>
      </c>
      <c r="T180" s="492">
        <v>1</v>
      </c>
      <c r="U180" s="362">
        <f>T180*C180</f>
        <v>0</v>
      </c>
      <c r="V180" s="492">
        <v>1</v>
      </c>
      <c r="W180" s="362">
        <f>V180*C180</f>
        <v>0</v>
      </c>
      <c r="X180" s="492">
        <v>1</v>
      </c>
      <c r="Y180" s="362">
        <f>X180*C180</f>
        <v>0</v>
      </c>
      <c r="Z180" s="492">
        <v>1</v>
      </c>
      <c r="AA180" s="362">
        <f>Z180*C180</f>
        <v>0</v>
      </c>
      <c r="AB180" s="361"/>
      <c r="AC180" s="342"/>
      <c r="AD180" s="348"/>
    </row>
    <row r="181" spans="1:30" s="349" customFormat="1">
      <c r="A181" s="359"/>
      <c r="B181" s="359"/>
      <c r="C181" s="504"/>
      <c r="D181" s="359"/>
      <c r="E181" s="362"/>
      <c r="F181" s="359"/>
      <c r="G181" s="362"/>
      <c r="H181" s="359"/>
      <c r="I181" s="362"/>
      <c r="J181" s="359"/>
      <c r="K181" s="362"/>
      <c r="L181" s="359"/>
      <c r="M181" s="362"/>
      <c r="N181" s="359"/>
      <c r="O181" s="362"/>
      <c r="P181" s="359"/>
      <c r="Q181" s="362"/>
      <c r="R181" s="359"/>
      <c r="S181" s="362"/>
      <c r="T181" s="492"/>
      <c r="U181" s="362"/>
      <c r="V181" s="492"/>
      <c r="W181" s="362"/>
      <c r="X181" s="492"/>
      <c r="Y181" s="362"/>
      <c r="Z181" s="492"/>
      <c r="AA181" s="362"/>
      <c r="AB181" s="360"/>
      <c r="AC181" s="342"/>
      <c r="AD181" s="348"/>
    </row>
    <row r="182" spans="1:30" s="479" customFormat="1">
      <c r="A182" s="474"/>
      <c r="B182" s="474"/>
      <c r="C182" s="505"/>
      <c r="D182" s="474">
        <v>0.1</v>
      </c>
      <c r="E182" s="475">
        <f>SUM(E160:E180)</f>
        <v>0</v>
      </c>
      <c r="F182" s="474">
        <v>0.1</v>
      </c>
      <c r="G182" s="475">
        <f>SUM(G160:G180)</f>
        <v>0</v>
      </c>
      <c r="H182" s="474">
        <v>0.1</v>
      </c>
      <c r="I182" s="475">
        <f>SUM(I160:I180)</f>
        <v>0</v>
      </c>
      <c r="J182" s="474">
        <v>0.1</v>
      </c>
      <c r="K182" s="475">
        <f>SUM(K160:K180)</f>
        <v>0</v>
      </c>
      <c r="L182" s="474">
        <v>0.1</v>
      </c>
      <c r="M182" s="475">
        <f>SUM(M160:M180)</f>
        <v>0</v>
      </c>
      <c r="N182" s="474">
        <v>0.1</v>
      </c>
      <c r="O182" s="475">
        <f>SUM(O160:O180)</f>
        <v>0</v>
      </c>
      <c r="P182" s="474">
        <v>0.1</v>
      </c>
      <c r="Q182" s="475">
        <f>SUM(Q160:Q180)</f>
        <v>7120000</v>
      </c>
      <c r="R182" s="474">
        <v>0.1</v>
      </c>
      <c r="S182" s="475">
        <f>SUM(S160:S180)</f>
        <v>7120000</v>
      </c>
      <c r="T182" s="515">
        <v>0.1</v>
      </c>
      <c r="U182" s="475">
        <f>SUM(U160:U180)</f>
        <v>7120000</v>
      </c>
      <c r="V182" s="515">
        <v>0.1</v>
      </c>
      <c r="W182" s="475">
        <f>SUM(W160:W180)</f>
        <v>7120000</v>
      </c>
      <c r="X182" s="515">
        <v>0.1</v>
      </c>
      <c r="Y182" s="475">
        <f>SUM(Y160:Y180)</f>
        <v>7120000</v>
      </c>
      <c r="Z182" s="515">
        <v>0.1</v>
      </c>
      <c r="AA182" s="475">
        <f>SUM(AA160:AA180)</f>
        <v>7120000</v>
      </c>
      <c r="AB182" s="476"/>
      <c r="AC182" s="477"/>
      <c r="AD182" s="478"/>
    </row>
    <row r="183" spans="1:30" s="485" customFormat="1">
      <c r="A183" s="480"/>
      <c r="B183" s="480"/>
      <c r="C183" s="507"/>
      <c r="D183" s="480"/>
      <c r="E183" s="481">
        <f>E182*D182</f>
        <v>0</v>
      </c>
      <c r="F183" s="480"/>
      <c r="G183" s="482">
        <f>G182*F182</f>
        <v>0</v>
      </c>
      <c r="H183" s="480"/>
      <c r="I183" s="481">
        <f>I182*H182</f>
        <v>0</v>
      </c>
      <c r="J183" s="480"/>
      <c r="K183" s="481">
        <f>K182*J182</f>
        <v>0</v>
      </c>
      <c r="L183" s="480"/>
      <c r="M183" s="481">
        <f>M182*L182</f>
        <v>0</v>
      </c>
      <c r="N183" s="480"/>
      <c r="O183" s="481">
        <f>O182*N182</f>
        <v>0</v>
      </c>
      <c r="P183" s="480"/>
      <c r="Q183" s="481">
        <f>Q182*P182</f>
        <v>712000</v>
      </c>
      <c r="R183" s="480"/>
      <c r="S183" s="481">
        <f>S182*R182</f>
        <v>712000</v>
      </c>
      <c r="T183" s="516"/>
      <c r="U183" s="481">
        <f>U182*T182</f>
        <v>712000</v>
      </c>
      <c r="V183" s="516"/>
      <c r="W183" s="481">
        <f>W182*V182</f>
        <v>712000</v>
      </c>
      <c r="X183" s="516"/>
      <c r="Y183" s="481">
        <f>Y182*X182</f>
        <v>712000</v>
      </c>
      <c r="Z183" s="516"/>
      <c r="AA183" s="481">
        <f>AA182*Z182</f>
        <v>712000</v>
      </c>
      <c r="AB183" s="481">
        <f>SUM(AA183,Y183,W183,U183,S183,Q183,O183,M183,K183,I183,G183,E183)</f>
        <v>4272000</v>
      </c>
      <c r="AC183" s="483"/>
      <c r="AD183" s="484"/>
    </row>
    <row r="184" spans="1:30" s="349" customFormat="1">
      <c r="A184" s="359"/>
      <c r="B184" s="359"/>
      <c r="C184" s="504"/>
      <c r="D184" s="359"/>
      <c r="E184" s="472"/>
      <c r="F184" s="359"/>
      <c r="G184" s="471"/>
      <c r="H184" s="359"/>
      <c r="I184" s="472"/>
      <c r="J184" s="359"/>
      <c r="K184" s="472"/>
      <c r="L184" s="359"/>
      <c r="M184" s="472"/>
      <c r="N184" s="359"/>
      <c r="O184" s="472"/>
      <c r="P184" s="359"/>
      <c r="Q184" s="472"/>
      <c r="R184" s="359"/>
      <c r="S184" s="472"/>
      <c r="T184" s="492"/>
      <c r="U184" s="472"/>
      <c r="V184" s="492"/>
      <c r="W184" s="472"/>
      <c r="X184" s="492"/>
      <c r="Y184" s="472"/>
      <c r="Z184" s="492"/>
      <c r="AA184" s="472"/>
      <c r="AB184" s="472"/>
      <c r="AC184" s="342"/>
      <c r="AD184" s="473"/>
    </row>
    <row r="185" spans="1:30" s="349" customFormat="1">
      <c r="A185" s="359" t="s">
        <v>234</v>
      </c>
      <c r="B185" s="359">
        <v>26</v>
      </c>
      <c r="C185" s="504">
        <v>30000</v>
      </c>
      <c r="D185" s="359">
        <v>0</v>
      </c>
      <c r="E185" s="362">
        <f>D185*C185</f>
        <v>0</v>
      </c>
      <c r="F185" s="359">
        <v>0</v>
      </c>
      <c r="G185" s="362">
        <f>F185*C185</f>
        <v>0</v>
      </c>
      <c r="H185" s="491">
        <v>0</v>
      </c>
      <c r="I185" s="362">
        <f>H185*C185</f>
        <v>0</v>
      </c>
      <c r="J185" s="491">
        <v>0</v>
      </c>
      <c r="K185" s="362">
        <f>J185*C185</f>
        <v>0</v>
      </c>
      <c r="L185" s="491">
        <v>0</v>
      </c>
      <c r="M185" s="362">
        <f>L185*C185</f>
        <v>0</v>
      </c>
      <c r="N185" s="491">
        <v>0</v>
      </c>
      <c r="O185" s="362">
        <f>N185*C185</f>
        <v>0</v>
      </c>
      <c r="P185" s="491">
        <v>10</v>
      </c>
      <c r="Q185" s="362">
        <f>P185*C185</f>
        <v>300000</v>
      </c>
      <c r="R185" s="491">
        <v>10</v>
      </c>
      <c r="S185" s="362">
        <f>R185*C185</f>
        <v>300000</v>
      </c>
      <c r="T185" s="492">
        <v>10</v>
      </c>
      <c r="U185" s="362">
        <f>T185*C185</f>
        <v>300000</v>
      </c>
      <c r="V185" s="492">
        <v>10</v>
      </c>
      <c r="W185" s="362">
        <f>V185*C185</f>
        <v>300000</v>
      </c>
      <c r="X185" s="492">
        <v>10</v>
      </c>
      <c r="Y185" s="362">
        <f>X185*C185</f>
        <v>300000</v>
      </c>
      <c r="Z185" s="492">
        <v>10</v>
      </c>
      <c r="AA185" s="362">
        <f>Z185*C185</f>
        <v>300000</v>
      </c>
      <c r="AB185" s="361"/>
      <c r="AC185" s="342"/>
      <c r="AD185" s="348"/>
    </row>
    <row r="186" spans="1:30" s="349" customFormat="1">
      <c r="A186" s="359" t="s">
        <v>234</v>
      </c>
      <c r="B186" s="359">
        <v>33</v>
      </c>
      <c r="C186" s="504">
        <v>45000</v>
      </c>
      <c r="D186" s="359">
        <v>0</v>
      </c>
      <c r="E186" s="362">
        <f>D186*C186</f>
        <v>0</v>
      </c>
      <c r="F186" s="359">
        <v>0</v>
      </c>
      <c r="G186" s="362">
        <f>F186*C186</f>
        <v>0</v>
      </c>
      <c r="H186" s="492">
        <v>0</v>
      </c>
      <c r="I186" s="362">
        <f>H186*C186</f>
        <v>0</v>
      </c>
      <c r="J186" s="492">
        <v>0</v>
      </c>
      <c r="K186" s="362">
        <f>J186*C186</f>
        <v>0</v>
      </c>
      <c r="L186" s="492">
        <v>0</v>
      </c>
      <c r="M186" s="362">
        <f>L186*C186</f>
        <v>0</v>
      </c>
      <c r="N186" s="492">
        <v>0</v>
      </c>
      <c r="O186" s="362">
        <f>N186*C186</f>
        <v>0</v>
      </c>
      <c r="P186" s="492">
        <v>5</v>
      </c>
      <c r="Q186" s="362">
        <f>P186*C186</f>
        <v>225000</v>
      </c>
      <c r="R186" s="492">
        <v>5</v>
      </c>
      <c r="S186" s="362">
        <f>R186*C186</f>
        <v>225000</v>
      </c>
      <c r="T186" s="492">
        <v>5</v>
      </c>
      <c r="U186" s="362">
        <f>T186*C186</f>
        <v>225000</v>
      </c>
      <c r="V186" s="492">
        <v>5</v>
      </c>
      <c r="W186" s="362">
        <f>V186*C186</f>
        <v>225000</v>
      </c>
      <c r="X186" s="492">
        <v>5</v>
      </c>
      <c r="Y186" s="362">
        <f>X186*C186</f>
        <v>225000</v>
      </c>
      <c r="Z186" s="492">
        <v>5</v>
      </c>
      <c r="AA186" s="362">
        <f>Z186*C186</f>
        <v>225000</v>
      </c>
      <c r="AB186" s="361"/>
      <c r="AC186" s="342"/>
      <c r="AD186" s="348"/>
    </row>
    <row r="187" spans="1:30" s="349" customFormat="1">
      <c r="A187" s="359" t="s">
        <v>234</v>
      </c>
      <c r="B187" s="359">
        <v>64</v>
      </c>
      <c r="C187" s="504">
        <v>60000</v>
      </c>
      <c r="D187" s="359">
        <v>0</v>
      </c>
      <c r="E187" s="362">
        <f>D187*C187</f>
        <v>0</v>
      </c>
      <c r="F187" s="359">
        <v>0</v>
      </c>
      <c r="G187" s="362">
        <f>F187*C187</f>
        <v>0</v>
      </c>
      <c r="H187" s="492">
        <v>0</v>
      </c>
      <c r="I187" s="362">
        <f>H187*C187</f>
        <v>0</v>
      </c>
      <c r="J187" s="492">
        <v>0</v>
      </c>
      <c r="K187" s="362">
        <f>J187*C187</f>
        <v>0</v>
      </c>
      <c r="L187" s="492">
        <v>0</v>
      </c>
      <c r="M187" s="362">
        <f>L187*C187</f>
        <v>0</v>
      </c>
      <c r="N187" s="492">
        <v>0</v>
      </c>
      <c r="O187" s="362">
        <f>N187*C187</f>
        <v>0</v>
      </c>
      <c r="P187" s="492">
        <v>2</v>
      </c>
      <c r="Q187" s="362">
        <f>P187*C187</f>
        <v>120000</v>
      </c>
      <c r="R187" s="492">
        <v>2</v>
      </c>
      <c r="S187" s="362">
        <f>R187*C187</f>
        <v>120000</v>
      </c>
      <c r="T187" s="492">
        <v>2</v>
      </c>
      <c r="U187" s="362">
        <f>T187*C187</f>
        <v>120000</v>
      </c>
      <c r="V187" s="492">
        <v>2</v>
      </c>
      <c r="W187" s="362">
        <f>V187*C187</f>
        <v>120000</v>
      </c>
      <c r="X187" s="492">
        <v>2</v>
      </c>
      <c r="Y187" s="362">
        <f>X187*C187</f>
        <v>120000</v>
      </c>
      <c r="Z187" s="492">
        <v>2</v>
      </c>
      <c r="AA187" s="362">
        <f>Z187*C187</f>
        <v>120000</v>
      </c>
      <c r="AB187" s="361"/>
      <c r="AC187" s="342"/>
      <c r="AD187" s="348"/>
    </row>
    <row r="188" spans="1:30" s="349" customFormat="1">
      <c r="A188" s="359" t="s">
        <v>234</v>
      </c>
      <c r="B188" s="359">
        <v>100</v>
      </c>
      <c r="C188" s="504">
        <v>70000</v>
      </c>
      <c r="D188" s="359">
        <v>0</v>
      </c>
      <c r="E188" s="362">
        <f>D188*C188</f>
        <v>0</v>
      </c>
      <c r="F188" s="359">
        <v>0</v>
      </c>
      <c r="G188" s="362">
        <f>F188*C188</f>
        <v>0</v>
      </c>
      <c r="H188" s="492">
        <v>0</v>
      </c>
      <c r="I188" s="362">
        <f>H188*C188</f>
        <v>0</v>
      </c>
      <c r="J188" s="492">
        <v>0</v>
      </c>
      <c r="K188" s="362">
        <f>J188*C188</f>
        <v>0</v>
      </c>
      <c r="L188" s="492">
        <v>0</v>
      </c>
      <c r="M188" s="362">
        <f>L188*C188</f>
        <v>0</v>
      </c>
      <c r="N188" s="492">
        <v>0</v>
      </c>
      <c r="O188" s="362">
        <f>N188*C188</f>
        <v>0</v>
      </c>
      <c r="P188" s="492">
        <v>0</v>
      </c>
      <c r="Q188" s="362">
        <f>P188*C188</f>
        <v>0</v>
      </c>
      <c r="R188" s="492">
        <v>0</v>
      </c>
      <c r="S188" s="362">
        <f>R188*C188</f>
        <v>0</v>
      </c>
      <c r="T188" s="492">
        <v>0</v>
      </c>
      <c r="U188" s="362">
        <f>T188*C188</f>
        <v>0</v>
      </c>
      <c r="V188" s="492">
        <v>0</v>
      </c>
      <c r="W188" s="362">
        <f>V188*C188</f>
        <v>0</v>
      </c>
      <c r="X188" s="492">
        <v>0</v>
      </c>
      <c r="Y188" s="362">
        <f>X188*C188</f>
        <v>0</v>
      </c>
      <c r="Z188" s="492">
        <v>0</v>
      </c>
      <c r="AA188" s="362">
        <f>Z188*C188</f>
        <v>0</v>
      </c>
      <c r="AB188" s="361"/>
      <c r="AC188" s="342"/>
      <c r="AD188" s="348"/>
    </row>
    <row r="189" spans="1:30" s="349" customFormat="1">
      <c r="A189" s="359"/>
      <c r="B189" s="359"/>
      <c r="C189" s="504"/>
      <c r="D189" s="359"/>
      <c r="E189" s="362"/>
      <c r="F189" s="359"/>
      <c r="G189" s="362"/>
      <c r="H189" s="492"/>
      <c r="I189" s="362"/>
      <c r="J189" s="492"/>
      <c r="K189" s="362"/>
      <c r="L189" s="492"/>
      <c r="M189" s="362"/>
      <c r="N189" s="492"/>
      <c r="O189" s="362"/>
      <c r="P189" s="492"/>
      <c r="Q189" s="362"/>
      <c r="R189" s="492"/>
      <c r="S189" s="362"/>
      <c r="T189" s="492"/>
      <c r="U189" s="362"/>
      <c r="V189" s="492"/>
      <c r="W189" s="362"/>
      <c r="X189" s="492"/>
      <c r="Y189" s="362"/>
      <c r="Z189" s="492"/>
      <c r="AA189" s="362"/>
      <c r="AB189" s="361"/>
      <c r="AC189" s="342"/>
      <c r="AD189" s="348"/>
    </row>
    <row r="190" spans="1:30" s="349" customFormat="1">
      <c r="A190" s="359" t="s">
        <v>235</v>
      </c>
      <c r="B190" s="359">
        <v>150</v>
      </c>
      <c r="C190" s="504">
        <v>60000</v>
      </c>
      <c r="D190" s="359">
        <v>0</v>
      </c>
      <c r="E190" s="362">
        <f>D190*C190</f>
        <v>0</v>
      </c>
      <c r="F190" s="359">
        <v>0</v>
      </c>
      <c r="G190" s="362">
        <f>F190*C190</f>
        <v>0</v>
      </c>
      <c r="H190" s="492">
        <v>0</v>
      </c>
      <c r="I190" s="362">
        <f>H190*C190</f>
        <v>0</v>
      </c>
      <c r="J190" s="492">
        <v>0</v>
      </c>
      <c r="K190" s="362">
        <f>J190*C190</f>
        <v>0</v>
      </c>
      <c r="L190" s="492">
        <v>0</v>
      </c>
      <c r="M190" s="362">
        <f>L190*C190</f>
        <v>0</v>
      </c>
      <c r="N190" s="492">
        <v>0</v>
      </c>
      <c r="O190" s="362">
        <f>N190*C190</f>
        <v>0</v>
      </c>
      <c r="P190" s="491">
        <v>10</v>
      </c>
      <c r="Q190" s="362">
        <f>P190*C190</f>
        <v>600000</v>
      </c>
      <c r="R190" s="491">
        <v>10</v>
      </c>
      <c r="S190" s="362">
        <f>R190*C190</f>
        <v>600000</v>
      </c>
      <c r="T190" s="492">
        <v>10</v>
      </c>
      <c r="U190" s="362">
        <f>T190*C190</f>
        <v>600000</v>
      </c>
      <c r="V190" s="492">
        <v>10</v>
      </c>
      <c r="W190" s="362">
        <f>V190*C190</f>
        <v>600000</v>
      </c>
      <c r="X190" s="492">
        <v>10</v>
      </c>
      <c r="Y190" s="362">
        <f>X190*C190</f>
        <v>600000</v>
      </c>
      <c r="Z190" s="492">
        <v>10</v>
      </c>
      <c r="AA190" s="362">
        <f>Z190*C190</f>
        <v>600000</v>
      </c>
      <c r="AB190" s="361"/>
      <c r="AC190" s="342"/>
      <c r="AD190" s="348"/>
    </row>
    <row r="191" spans="1:30" s="349" customFormat="1">
      <c r="A191" s="359" t="s">
        <v>235</v>
      </c>
      <c r="B191" s="359">
        <v>250</v>
      </c>
      <c r="C191" s="504">
        <v>80000</v>
      </c>
      <c r="D191" s="359">
        <v>0</v>
      </c>
      <c r="E191" s="362">
        <f>D191*C191</f>
        <v>0</v>
      </c>
      <c r="F191" s="359">
        <v>0</v>
      </c>
      <c r="G191" s="362">
        <f>F191*C191</f>
        <v>0</v>
      </c>
      <c r="H191" s="492">
        <v>0</v>
      </c>
      <c r="I191" s="362">
        <f>H191*C191</f>
        <v>0</v>
      </c>
      <c r="J191" s="492">
        <v>0</v>
      </c>
      <c r="K191" s="362">
        <f>J191*C191</f>
        <v>0</v>
      </c>
      <c r="L191" s="492">
        <v>0</v>
      </c>
      <c r="M191" s="362">
        <f>L191*C191</f>
        <v>0</v>
      </c>
      <c r="N191" s="492">
        <v>0</v>
      </c>
      <c r="O191" s="362">
        <f>N191*C191</f>
        <v>0</v>
      </c>
      <c r="P191" s="492">
        <v>5</v>
      </c>
      <c r="Q191" s="362">
        <f>P191*C191</f>
        <v>400000</v>
      </c>
      <c r="R191" s="492">
        <v>5</v>
      </c>
      <c r="S191" s="362">
        <f>R191*C191</f>
        <v>400000</v>
      </c>
      <c r="T191" s="492">
        <v>5</v>
      </c>
      <c r="U191" s="362">
        <f>T191*C191</f>
        <v>400000</v>
      </c>
      <c r="V191" s="492">
        <v>5</v>
      </c>
      <c r="W191" s="362">
        <f>V191*C191</f>
        <v>400000</v>
      </c>
      <c r="X191" s="492">
        <v>5</v>
      </c>
      <c r="Y191" s="362">
        <f>X191*C191</f>
        <v>400000</v>
      </c>
      <c r="Z191" s="492">
        <v>5</v>
      </c>
      <c r="AA191" s="362">
        <f>Z191*C191</f>
        <v>400000</v>
      </c>
      <c r="AB191" s="361"/>
      <c r="AC191" s="342"/>
      <c r="AD191" s="348"/>
    </row>
    <row r="192" spans="1:30" s="349" customFormat="1">
      <c r="A192" s="359" t="s">
        <v>235</v>
      </c>
      <c r="B192" s="359">
        <v>350</v>
      </c>
      <c r="C192" s="504">
        <v>120000</v>
      </c>
      <c r="D192" s="359">
        <v>0</v>
      </c>
      <c r="E192" s="362">
        <f>D192*C192</f>
        <v>0</v>
      </c>
      <c r="F192" s="359">
        <v>0</v>
      </c>
      <c r="G192" s="362">
        <f>F192*C192</f>
        <v>0</v>
      </c>
      <c r="H192" s="492">
        <v>0</v>
      </c>
      <c r="I192" s="362">
        <f>H192*C192</f>
        <v>0</v>
      </c>
      <c r="J192" s="492">
        <v>0</v>
      </c>
      <c r="K192" s="362">
        <f>J192*C192</f>
        <v>0</v>
      </c>
      <c r="L192" s="492">
        <v>0</v>
      </c>
      <c r="M192" s="362">
        <f>L192*C192</f>
        <v>0</v>
      </c>
      <c r="N192" s="492">
        <v>0</v>
      </c>
      <c r="O192" s="362">
        <f>N192*C192</f>
        <v>0</v>
      </c>
      <c r="P192" s="492">
        <v>2</v>
      </c>
      <c r="Q192" s="362">
        <f>P192*C192</f>
        <v>240000</v>
      </c>
      <c r="R192" s="492">
        <v>2</v>
      </c>
      <c r="S192" s="362">
        <f>R192*C192</f>
        <v>240000</v>
      </c>
      <c r="T192" s="492">
        <v>2</v>
      </c>
      <c r="U192" s="362">
        <f>T192*C192</f>
        <v>240000</v>
      </c>
      <c r="V192" s="492">
        <v>2</v>
      </c>
      <c r="W192" s="362">
        <f>V192*C192</f>
        <v>240000</v>
      </c>
      <c r="X192" s="492">
        <v>2</v>
      </c>
      <c r="Y192" s="362">
        <f>X192*C192</f>
        <v>240000</v>
      </c>
      <c r="Z192" s="492">
        <v>2</v>
      </c>
      <c r="AA192" s="362">
        <f>Z192*C192</f>
        <v>240000</v>
      </c>
      <c r="AB192" s="361"/>
      <c r="AC192" s="342"/>
      <c r="AD192" s="348"/>
    </row>
    <row r="193" spans="1:30" s="349" customFormat="1">
      <c r="A193" s="359" t="s">
        <v>235</v>
      </c>
      <c r="B193" s="359">
        <v>500</v>
      </c>
      <c r="C193" s="504">
        <v>150000</v>
      </c>
      <c r="D193" s="359">
        <v>0</v>
      </c>
      <c r="E193" s="362">
        <f>D193*C193</f>
        <v>0</v>
      </c>
      <c r="F193" s="359">
        <v>0</v>
      </c>
      <c r="G193" s="362">
        <f>F193*C193</f>
        <v>0</v>
      </c>
      <c r="H193" s="492">
        <v>0</v>
      </c>
      <c r="I193" s="362">
        <f>H193*C193</f>
        <v>0</v>
      </c>
      <c r="J193" s="492">
        <v>0</v>
      </c>
      <c r="K193" s="362">
        <f>J193*C193</f>
        <v>0</v>
      </c>
      <c r="L193" s="492">
        <v>0</v>
      </c>
      <c r="M193" s="362">
        <f>L193*C193</f>
        <v>0</v>
      </c>
      <c r="N193" s="492">
        <v>0</v>
      </c>
      <c r="O193" s="362">
        <f>N193*C193</f>
        <v>0</v>
      </c>
      <c r="P193" s="492">
        <v>0</v>
      </c>
      <c r="Q193" s="362">
        <f>P193*C193</f>
        <v>0</v>
      </c>
      <c r="R193" s="492">
        <v>0</v>
      </c>
      <c r="S193" s="362">
        <f>R193*C193</f>
        <v>0</v>
      </c>
      <c r="T193" s="492">
        <v>0</v>
      </c>
      <c r="U193" s="362">
        <f>T193*C193</f>
        <v>0</v>
      </c>
      <c r="V193" s="492">
        <v>0</v>
      </c>
      <c r="W193" s="362">
        <f>V193*C193</f>
        <v>0</v>
      </c>
      <c r="X193" s="492">
        <v>0</v>
      </c>
      <c r="Y193" s="362">
        <f>X193*C193</f>
        <v>0</v>
      </c>
      <c r="Z193" s="492">
        <v>0</v>
      </c>
      <c r="AA193" s="362">
        <f>Z193*C193</f>
        <v>0</v>
      </c>
      <c r="AB193" s="361"/>
      <c r="AC193" s="342"/>
      <c r="AD193" s="348"/>
    </row>
    <row r="194" spans="1:30" s="349" customFormat="1">
      <c r="A194" s="359"/>
      <c r="B194" s="359"/>
      <c r="C194" s="504"/>
      <c r="D194" s="359"/>
      <c r="E194" s="362"/>
      <c r="F194" s="359"/>
      <c r="G194" s="362"/>
      <c r="H194" s="492"/>
      <c r="I194" s="362"/>
      <c r="J194" s="492"/>
      <c r="K194" s="362"/>
      <c r="L194" s="492"/>
      <c r="M194" s="362"/>
      <c r="N194" s="492"/>
      <c r="O194" s="362"/>
      <c r="P194" s="492"/>
      <c r="Q194" s="362"/>
      <c r="R194" s="492"/>
      <c r="S194" s="362"/>
      <c r="T194" s="492"/>
      <c r="U194" s="362"/>
      <c r="V194" s="492"/>
      <c r="W194" s="362"/>
      <c r="X194" s="492"/>
      <c r="Y194" s="362"/>
      <c r="Z194" s="492"/>
      <c r="AA194" s="362"/>
      <c r="AB194" s="361"/>
      <c r="AC194" s="342"/>
      <c r="AD194" s="348"/>
    </row>
    <row r="195" spans="1:30" s="349" customFormat="1">
      <c r="A195" s="359"/>
      <c r="B195" s="359"/>
      <c r="C195" s="504"/>
      <c r="D195" s="359"/>
      <c r="E195" s="362"/>
      <c r="F195" s="359"/>
      <c r="G195" s="362"/>
      <c r="H195" s="492"/>
      <c r="I195" s="362"/>
      <c r="J195" s="492"/>
      <c r="K195" s="362"/>
      <c r="L195" s="492"/>
      <c r="M195" s="362"/>
      <c r="N195" s="492"/>
      <c r="O195" s="362"/>
      <c r="P195" s="359"/>
      <c r="Q195" s="362"/>
      <c r="R195" s="359"/>
      <c r="S195" s="362"/>
      <c r="T195" s="492"/>
      <c r="U195" s="362"/>
      <c r="V195" s="492"/>
      <c r="W195" s="362"/>
      <c r="X195" s="492"/>
      <c r="Y195" s="362"/>
      <c r="Z195" s="492"/>
      <c r="AA195" s="362"/>
      <c r="AB195" s="360"/>
      <c r="AC195" s="342"/>
      <c r="AD195" s="348"/>
    </row>
    <row r="196" spans="1:30" s="479" customFormat="1">
      <c r="A196" s="474"/>
      <c r="B196" s="474"/>
      <c r="C196" s="505"/>
      <c r="D196" s="474">
        <v>0.1</v>
      </c>
      <c r="E196" s="475">
        <f>SUM(E185:E194)</f>
        <v>0</v>
      </c>
      <c r="F196" s="474">
        <v>0.1</v>
      </c>
      <c r="G196" s="475">
        <f>SUM(G185:G194)</f>
        <v>0</v>
      </c>
      <c r="H196" s="515">
        <v>0.1</v>
      </c>
      <c r="I196" s="475">
        <f>SUM(I185:I194)</f>
        <v>0</v>
      </c>
      <c r="J196" s="515">
        <v>0.1</v>
      </c>
      <c r="K196" s="475">
        <f>SUM(K185:K194)</f>
        <v>0</v>
      </c>
      <c r="L196" s="515">
        <v>0.1</v>
      </c>
      <c r="M196" s="475">
        <f>SUM(M185:M194)</f>
        <v>0</v>
      </c>
      <c r="N196" s="515">
        <v>0.1</v>
      </c>
      <c r="O196" s="475">
        <f>SUM(O185:O194)</f>
        <v>0</v>
      </c>
      <c r="P196" s="474">
        <v>0.1</v>
      </c>
      <c r="Q196" s="475">
        <f>SUM(Q185:Q194)</f>
        <v>1885000</v>
      </c>
      <c r="R196" s="474">
        <v>0.1</v>
      </c>
      <c r="S196" s="475">
        <f>SUM(S185:S194)</f>
        <v>1885000</v>
      </c>
      <c r="T196" s="515">
        <v>0.1</v>
      </c>
      <c r="U196" s="475">
        <f>SUM(U185:U194)</f>
        <v>1885000</v>
      </c>
      <c r="V196" s="515">
        <v>0.1</v>
      </c>
      <c r="W196" s="475">
        <f>SUM(W185:W194)</f>
        <v>1885000</v>
      </c>
      <c r="X196" s="515">
        <v>0.1</v>
      </c>
      <c r="Y196" s="475">
        <f>SUM(Y185:Y194)</f>
        <v>1885000</v>
      </c>
      <c r="Z196" s="515">
        <v>0.1</v>
      </c>
      <c r="AA196" s="475">
        <f>SUM(AA185:AA194)</f>
        <v>1885000</v>
      </c>
      <c r="AB196" s="476"/>
      <c r="AC196" s="477"/>
      <c r="AD196" s="478"/>
    </row>
    <row r="197" spans="1:30" s="485" customFormat="1">
      <c r="A197" s="480"/>
      <c r="B197" s="480"/>
      <c r="C197" s="507"/>
      <c r="D197" s="480"/>
      <c r="E197" s="481">
        <f>E196*D196</f>
        <v>0</v>
      </c>
      <c r="F197" s="480"/>
      <c r="G197" s="482">
        <f>G196*F196</f>
        <v>0</v>
      </c>
      <c r="H197" s="516"/>
      <c r="I197" s="481">
        <f>I196*H196</f>
        <v>0</v>
      </c>
      <c r="J197" s="516"/>
      <c r="K197" s="481">
        <f>K196*J196</f>
        <v>0</v>
      </c>
      <c r="L197" s="516"/>
      <c r="M197" s="481">
        <f>M196*L196</f>
        <v>0</v>
      </c>
      <c r="N197" s="516"/>
      <c r="O197" s="481">
        <f>O196*N196</f>
        <v>0</v>
      </c>
      <c r="P197" s="480"/>
      <c r="Q197" s="481">
        <f>Q196*P196</f>
        <v>188500</v>
      </c>
      <c r="R197" s="480"/>
      <c r="S197" s="481">
        <f>S196*R196</f>
        <v>188500</v>
      </c>
      <c r="T197" s="516"/>
      <c r="U197" s="481">
        <f>U196*T196</f>
        <v>188500</v>
      </c>
      <c r="V197" s="516"/>
      <c r="W197" s="481">
        <f>W196*V196</f>
        <v>188500</v>
      </c>
      <c r="X197" s="516"/>
      <c r="Y197" s="481">
        <f>Y196*X196</f>
        <v>188500</v>
      </c>
      <c r="Z197" s="516"/>
      <c r="AA197" s="481">
        <f>AA196*Z196</f>
        <v>188500</v>
      </c>
      <c r="AB197" s="481">
        <f>SUM(AA197,Y197,W197,U197,S197,Q197,O197,M197,K197,I197,G197,E197)</f>
        <v>1131000</v>
      </c>
      <c r="AC197" s="483"/>
      <c r="AD197" s="484"/>
    </row>
    <row r="198" spans="1:30" s="349" customFormat="1">
      <c r="A198" s="359"/>
      <c r="B198" s="359"/>
      <c r="C198" s="504"/>
      <c r="D198" s="359"/>
      <c r="E198" s="472"/>
      <c r="F198" s="359"/>
      <c r="G198" s="471"/>
      <c r="H198" s="492"/>
      <c r="I198" s="472"/>
      <c r="J198" s="492"/>
      <c r="K198" s="472"/>
      <c r="L198" s="492"/>
      <c r="M198" s="472"/>
      <c r="N198" s="492"/>
      <c r="O198" s="472"/>
      <c r="P198" s="359"/>
      <c r="Q198" s="472"/>
      <c r="R198" s="359"/>
      <c r="S198" s="472"/>
      <c r="T198" s="492"/>
      <c r="U198" s="472"/>
      <c r="V198" s="492"/>
      <c r="W198" s="472"/>
      <c r="X198" s="492"/>
      <c r="Y198" s="472"/>
      <c r="Z198" s="492"/>
      <c r="AA198" s="472"/>
      <c r="AB198" s="472"/>
      <c r="AC198" s="342"/>
      <c r="AD198" s="473"/>
    </row>
    <row r="199" spans="1:30" s="349" customFormat="1">
      <c r="A199" s="359" t="s">
        <v>236</v>
      </c>
      <c r="B199" s="359">
        <v>26</v>
      </c>
      <c r="C199" s="504">
        <v>10000</v>
      </c>
      <c r="D199" s="359">
        <v>0</v>
      </c>
      <c r="E199" s="362">
        <f>D199*C199</f>
        <v>0</v>
      </c>
      <c r="F199" s="359">
        <v>0</v>
      </c>
      <c r="G199" s="362">
        <f>F199*C199</f>
        <v>0</v>
      </c>
      <c r="H199" s="492">
        <v>0</v>
      </c>
      <c r="I199" s="362">
        <f>H199*C199</f>
        <v>0</v>
      </c>
      <c r="J199" s="492">
        <v>0</v>
      </c>
      <c r="K199" s="362">
        <f>J199*C199</f>
        <v>0</v>
      </c>
      <c r="L199" s="492">
        <v>0</v>
      </c>
      <c r="M199" s="362">
        <f>L199*C199</f>
        <v>0</v>
      </c>
      <c r="N199" s="492">
        <v>0</v>
      </c>
      <c r="O199" s="362">
        <f>N199*C199</f>
        <v>0</v>
      </c>
      <c r="P199" s="491">
        <v>10</v>
      </c>
      <c r="Q199" s="362">
        <f>P199*C199</f>
        <v>100000</v>
      </c>
      <c r="R199" s="491">
        <v>10</v>
      </c>
      <c r="S199" s="362">
        <f>R199*C199</f>
        <v>100000</v>
      </c>
      <c r="T199" s="492">
        <v>10</v>
      </c>
      <c r="U199" s="362">
        <f>T199*C199</f>
        <v>100000</v>
      </c>
      <c r="V199" s="492">
        <v>10</v>
      </c>
      <c r="W199" s="362">
        <f>V199*C199</f>
        <v>100000</v>
      </c>
      <c r="X199" s="492">
        <v>10</v>
      </c>
      <c r="Y199" s="362">
        <f>X199*C199</f>
        <v>100000</v>
      </c>
      <c r="Z199" s="492">
        <v>10</v>
      </c>
      <c r="AA199" s="362">
        <f>Z199*C199</f>
        <v>100000</v>
      </c>
      <c r="AB199" s="361"/>
      <c r="AC199" s="342"/>
      <c r="AD199" s="348"/>
    </row>
    <row r="200" spans="1:30" s="349" customFormat="1">
      <c r="A200" s="359" t="s">
        <v>236</v>
      </c>
      <c r="B200" s="359">
        <v>33</v>
      </c>
      <c r="C200" s="504">
        <v>14000</v>
      </c>
      <c r="D200" s="359">
        <v>0</v>
      </c>
      <c r="E200" s="362">
        <f>D200*C200</f>
        <v>0</v>
      </c>
      <c r="F200" s="359">
        <v>0</v>
      </c>
      <c r="G200" s="362">
        <f>F200*C200</f>
        <v>0</v>
      </c>
      <c r="H200" s="492">
        <v>0</v>
      </c>
      <c r="I200" s="362">
        <f>H200*C200</f>
        <v>0</v>
      </c>
      <c r="J200" s="492">
        <v>0</v>
      </c>
      <c r="K200" s="362">
        <f>J200*C200</f>
        <v>0</v>
      </c>
      <c r="L200" s="492">
        <v>0</v>
      </c>
      <c r="M200" s="362">
        <f>L200*C200</f>
        <v>0</v>
      </c>
      <c r="N200" s="492">
        <v>0</v>
      </c>
      <c r="O200" s="362">
        <f>N200*C200</f>
        <v>0</v>
      </c>
      <c r="P200" s="492">
        <v>5</v>
      </c>
      <c r="Q200" s="362">
        <f>P200*C200</f>
        <v>70000</v>
      </c>
      <c r="R200" s="492">
        <v>5</v>
      </c>
      <c r="S200" s="362">
        <f>R200*C200</f>
        <v>70000</v>
      </c>
      <c r="T200" s="492">
        <v>5</v>
      </c>
      <c r="U200" s="362">
        <f>T200*C200</f>
        <v>70000</v>
      </c>
      <c r="V200" s="492">
        <v>5</v>
      </c>
      <c r="W200" s="362">
        <f>V200*C200</f>
        <v>70000</v>
      </c>
      <c r="X200" s="492">
        <v>5</v>
      </c>
      <c r="Y200" s="362">
        <f>X200*C200</f>
        <v>70000</v>
      </c>
      <c r="Z200" s="492">
        <v>5</v>
      </c>
      <c r="AA200" s="362">
        <f>Z200*C200</f>
        <v>70000</v>
      </c>
      <c r="AB200" s="361"/>
      <c r="AC200" s="342"/>
      <c r="AD200" s="348"/>
    </row>
    <row r="201" spans="1:30" s="349" customFormat="1">
      <c r="A201" s="359" t="s">
        <v>236</v>
      </c>
      <c r="B201" s="359">
        <v>64</v>
      </c>
      <c r="C201" s="504">
        <v>85000</v>
      </c>
      <c r="D201" s="359">
        <v>0</v>
      </c>
      <c r="E201" s="362">
        <f>D201*C201</f>
        <v>0</v>
      </c>
      <c r="F201" s="359">
        <v>0</v>
      </c>
      <c r="G201" s="362">
        <f>F201*C201</f>
        <v>0</v>
      </c>
      <c r="H201" s="492">
        <v>0</v>
      </c>
      <c r="I201" s="362">
        <f>H201*C201</f>
        <v>0</v>
      </c>
      <c r="J201" s="492">
        <v>0</v>
      </c>
      <c r="K201" s="362">
        <f>J201*C201</f>
        <v>0</v>
      </c>
      <c r="L201" s="492">
        <v>0</v>
      </c>
      <c r="M201" s="362">
        <f>L201*C201</f>
        <v>0</v>
      </c>
      <c r="N201" s="492">
        <v>0</v>
      </c>
      <c r="O201" s="362">
        <f>N201*C201</f>
        <v>0</v>
      </c>
      <c r="P201" s="492">
        <v>2</v>
      </c>
      <c r="Q201" s="362">
        <f>P201*C201</f>
        <v>170000</v>
      </c>
      <c r="R201" s="492">
        <v>2</v>
      </c>
      <c r="S201" s="362">
        <f>R201*C201</f>
        <v>170000</v>
      </c>
      <c r="T201" s="492">
        <v>2</v>
      </c>
      <c r="U201" s="362">
        <f>T201*C201</f>
        <v>170000</v>
      </c>
      <c r="V201" s="492">
        <v>2</v>
      </c>
      <c r="W201" s="362">
        <f>V201*C201</f>
        <v>170000</v>
      </c>
      <c r="X201" s="492">
        <v>2</v>
      </c>
      <c r="Y201" s="362">
        <f>X201*C201</f>
        <v>170000</v>
      </c>
      <c r="Z201" s="492">
        <v>2</v>
      </c>
      <c r="AA201" s="362">
        <f>Z201*C201</f>
        <v>170000</v>
      </c>
      <c r="AB201" s="361"/>
      <c r="AC201" s="342"/>
      <c r="AD201" s="348"/>
    </row>
    <row r="202" spans="1:30" s="349" customFormat="1">
      <c r="A202" s="359" t="s">
        <v>236</v>
      </c>
      <c r="B202" s="359">
        <v>100</v>
      </c>
      <c r="C202" s="504">
        <v>85000</v>
      </c>
      <c r="D202" s="359">
        <v>0</v>
      </c>
      <c r="E202" s="362">
        <f>D202*C202</f>
        <v>0</v>
      </c>
      <c r="F202" s="359">
        <v>0</v>
      </c>
      <c r="G202" s="362">
        <f>F202*C202</f>
        <v>0</v>
      </c>
      <c r="H202" s="492">
        <v>0</v>
      </c>
      <c r="I202" s="362">
        <f>H202*C202</f>
        <v>0</v>
      </c>
      <c r="J202" s="492">
        <v>0</v>
      </c>
      <c r="K202" s="362">
        <f>J202*C202</f>
        <v>0</v>
      </c>
      <c r="L202" s="492">
        <v>0</v>
      </c>
      <c r="M202" s="362">
        <f>L202*C202</f>
        <v>0</v>
      </c>
      <c r="N202" s="492">
        <v>0</v>
      </c>
      <c r="O202" s="362">
        <f>N202*C202</f>
        <v>0</v>
      </c>
      <c r="P202" s="492">
        <v>0</v>
      </c>
      <c r="Q202" s="362">
        <f>P202*C202</f>
        <v>0</v>
      </c>
      <c r="R202" s="492">
        <v>0</v>
      </c>
      <c r="S202" s="362">
        <f>R202*C202</f>
        <v>0</v>
      </c>
      <c r="T202" s="492">
        <v>0</v>
      </c>
      <c r="U202" s="362">
        <f>T202*C202</f>
        <v>0</v>
      </c>
      <c r="V202" s="492">
        <v>0</v>
      </c>
      <c r="W202" s="362">
        <f>V202*C202</f>
        <v>0</v>
      </c>
      <c r="X202" s="492">
        <v>0</v>
      </c>
      <c r="Y202" s="362">
        <f>X202*C202</f>
        <v>0</v>
      </c>
      <c r="Z202" s="492">
        <v>0</v>
      </c>
      <c r="AA202" s="362">
        <f>Z202*C202</f>
        <v>0</v>
      </c>
      <c r="AB202" s="361"/>
      <c r="AC202" s="342"/>
      <c r="AD202" s="348"/>
    </row>
    <row r="203" spans="1:30" s="349" customFormat="1">
      <c r="A203" s="359"/>
      <c r="B203" s="359"/>
      <c r="C203" s="504"/>
      <c r="D203" s="359"/>
      <c r="E203" s="362"/>
      <c r="F203" s="359"/>
      <c r="G203" s="362"/>
      <c r="H203" s="492"/>
      <c r="I203" s="362"/>
      <c r="J203" s="492"/>
      <c r="K203" s="362"/>
      <c r="L203" s="492"/>
      <c r="M203" s="362"/>
      <c r="N203" s="492"/>
      <c r="O203" s="362"/>
      <c r="P203" s="492"/>
      <c r="Q203" s="362"/>
      <c r="R203" s="492"/>
      <c r="S203" s="362"/>
      <c r="T203" s="492"/>
      <c r="U203" s="362"/>
      <c r="V203" s="492"/>
      <c r="W203" s="362"/>
      <c r="X203" s="492"/>
      <c r="Y203" s="362"/>
      <c r="Z203" s="492"/>
      <c r="AA203" s="362"/>
      <c r="AB203" s="361"/>
      <c r="AC203" s="342"/>
      <c r="AD203" s="348"/>
    </row>
    <row r="204" spans="1:30" s="349" customFormat="1">
      <c r="A204" s="359" t="s">
        <v>237</v>
      </c>
      <c r="B204" s="359">
        <v>150</v>
      </c>
      <c r="C204" s="504">
        <v>85000</v>
      </c>
      <c r="D204" s="359">
        <v>0</v>
      </c>
      <c r="E204" s="362">
        <f>D204*C204</f>
        <v>0</v>
      </c>
      <c r="F204" s="359">
        <v>0</v>
      </c>
      <c r="G204" s="362">
        <f>F204*C204</f>
        <v>0</v>
      </c>
      <c r="H204" s="492">
        <v>0</v>
      </c>
      <c r="I204" s="362">
        <f>H204*C204</f>
        <v>0</v>
      </c>
      <c r="J204" s="492">
        <v>0</v>
      </c>
      <c r="K204" s="362">
        <f>J204*C204</f>
        <v>0</v>
      </c>
      <c r="L204" s="492">
        <v>0</v>
      </c>
      <c r="M204" s="362">
        <f>L204*C204</f>
        <v>0</v>
      </c>
      <c r="N204" s="492">
        <v>0</v>
      </c>
      <c r="O204" s="362">
        <f>N204*C204</f>
        <v>0</v>
      </c>
      <c r="P204" s="491">
        <v>10</v>
      </c>
      <c r="Q204" s="362">
        <f>P204*C204</f>
        <v>850000</v>
      </c>
      <c r="R204" s="491">
        <v>10</v>
      </c>
      <c r="S204" s="362">
        <f>R204*C204</f>
        <v>850000</v>
      </c>
      <c r="T204" s="492">
        <v>10</v>
      </c>
      <c r="U204" s="362">
        <f>T204*C204</f>
        <v>850000</v>
      </c>
      <c r="V204" s="492">
        <v>10</v>
      </c>
      <c r="W204" s="362">
        <f>V204*C204</f>
        <v>850000</v>
      </c>
      <c r="X204" s="492">
        <v>10</v>
      </c>
      <c r="Y204" s="362">
        <f>X204*C204</f>
        <v>850000</v>
      </c>
      <c r="Z204" s="492">
        <v>10</v>
      </c>
      <c r="AA204" s="362">
        <f>Z204*C204</f>
        <v>850000</v>
      </c>
      <c r="AB204" s="361"/>
      <c r="AC204" s="342"/>
      <c r="AD204" s="348"/>
    </row>
    <row r="205" spans="1:30" s="349" customFormat="1">
      <c r="A205" s="359" t="s">
        <v>237</v>
      </c>
      <c r="B205" s="359">
        <v>250</v>
      </c>
      <c r="C205" s="504">
        <v>85000</v>
      </c>
      <c r="D205" s="359">
        <v>0</v>
      </c>
      <c r="E205" s="362">
        <f>D205*C205</f>
        <v>0</v>
      </c>
      <c r="F205" s="359">
        <v>0</v>
      </c>
      <c r="G205" s="362">
        <f>F205*C205</f>
        <v>0</v>
      </c>
      <c r="H205" s="492">
        <v>0</v>
      </c>
      <c r="I205" s="362">
        <f>H205*C205</f>
        <v>0</v>
      </c>
      <c r="J205" s="492">
        <v>0</v>
      </c>
      <c r="K205" s="362">
        <f>J205*C205</f>
        <v>0</v>
      </c>
      <c r="L205" s="492">
        <v>0</v>
      </c>
      <c r="M205" s="362">
        <f>L205*C205</f>
        <v>0</v>
      </c>
      <c r="N205" s="492">
        <v>0</v>
      </c>
      <c r="O205" s="362">
        <f>N205*C205</f>
        <v>0</v>
      </c>
      <c r="P205" s="492">
        <v>5</v>
      </c>
      <c r="Q205" s="362">
        <f>P205*C205</f>
        <v>425000</v>
      </c>
      <c r="R205" s="492">
        <v>5</v>
      </c>
      <c r="S205" s="362">
        <f>R205*C205</f>
        <v>425000</v>
      </c>
      <c r="T205" s="492">
        <v>5</v>
      </c>
      <c r="U205" s="362">
        <f>T205*C205</f>
        <v>425000</v>
      </c>
      <c r="V205" s="492">
        <v>5</v>
      </c>
      <c r="W205" s="362">
        <f>V205*C205</f>
        <v>425000</v>
      </c>
      <c r="X205" s="492">
        <v>5</v>
      </c>
      <c r="Y205" s="362">
        <f>X205*C205</f>
        <v>425000</v>
      </c>
      <c r="Z205" s="492">
        <v>5</v>
      </c>
      <c r="AA205" s="362">
        <f>Z205*C205</f>
        <v>425000</v>
      </c>
      <c r="AB205" s="361"/>
      <c r="AC205" s="342"/>
      <c r="AD205" s="348"/>
    </row>
    <row r="206" spans="1:30" s="349" customFormat="1">
      <c r="A206" s="359" t="s">
        <v>237</v>
      </c>
      <c r="B206" s="359">
        <v>350</v>
      </c>
      <c r="C206" s="504">
        <v>120000</v>
      </c>
      <c r="D206" s="359">
        <v>0</v>
      </c>
      <c r="E206" s="362">
        <f>D206*C206</f>
        <v>0</v>
      </c>
      <c r="F206" s="359">
        <v>0</v>
      </c>
      <c r="G206" s="362">
        <f>F206*C206</f>
        <v>0</v>
      </c>
      <c r="H206" s="492">
        <v>0</v>
      </c>
      <c r="I206" s="362">
        <f>H206*C206</f>
        <v>0</v>
      </c>
      <c r="J206" s="492">
        <v>0</v>
      </c>
      <c r="K206" s="362">
        <f>J206*C206</f>
        <v>0</v>
      </c>
      <c r="L206" s="492">
        <v>0</v>
      </c>
      <c r="M206" s="362">
        <f>L206*C206</f>
        <v>0</v>
      </c>
      <c r="N206" s="492">
        <v>0</v>
      </c>
      <c r="O206" s="362">
        <f>N206*C206</f>
        <v>0</v>
      </c>
      <c r="P206" s="492">
        <v>2</v>
      </c>
      <c r="Q206" s="362">
        <f>P206*C206</f>
        <v>240000</v>
      </c>
      <c r="R206" s="492">
        <v>2</v>
      </c>
      <c r="S206" s="362">
        <f>R206*C206</f>
        <v>240000</v>
      </c>
      <c r="T206" s="492">
        <v>2</v>
      </c>
      <c r="U206" s="362">
        <f>T206*C206</f>
        <v>240000</v>
      </c>
      <c r="V206" s="492">
        <v>2</v>
      </c>
      <c r="W206" s="362">
        <f>V206*C206</f>
        <v>240000</v>
      </c>
      <c r="X206" s="492">
        <v>2</v>
      </c>
      <c r="Y206" s="362">
        <f>X206*C206</f>
        <v>240000</v>
      </c>
      <c r="Z206" s="492">
        <v>2</v>
      </c>
      <c r="AA206" s="362">
        <f>Z206*C206</f>
        <v>240000</v>
      </c>
      <c r="AB206" s="361"/>
      <c r="AC206" s="342"/>
      <c r="AD206" s="348"/>
    </row>
    <row r="207" spans="1:30" s="349" customFormat="1">
      <c r="A207" s="359" t="s">
        <v>237</v>
      </c>
      <c r="B207" s="359">
        <v>500</v>
      </c>
      <c r="C207" s="504">
        <v>250000</v>
      </c>
      <c r="D207" s="359">
        <v>0</v>
      </c>
      <c r="E207" s="362">
        <f>D207*C207</f>
        <v>0</v>
      </c>
      <c r="F207" s="359">
        <v>0</v>
      </c>
      <c r="G207" s="362">
        <f>F207*C207</f>
        <v>0</v>
      </c>
      <c r="H207" s="492">
        <v>0</v>
      </c>
      <c r="I207" s="362">
        <f>H207*C207</f>
        <v>0</v>
      </c>
      <c r="J207" s="492">
        <v>0</v>
      </c>
      <c r="K207" s="362">
        <f>J207*C207</f>
        <v>0</v>
      </c>
      <c r="L207" s="492">
        <v>0</v>
      </c>
      <c r="M207" s="362">
        <f>L207*C207</f>
        <v>0</v>
      </c>
      <c r="N207" s="492">
        <v>0</v>
      </c>
      <c r="O207" s="362">
        <f>N207*C207</f>
        <v>0</v>
      </c>
      <c r="P207" s="492">
        <v>0</v>
      </c>
      <c r="Q207" s="362">
        <f>P207*C207</f>
        <v>0</v>
      </c>
      <c r="R207" s="492">
        <v>0</v>
      </c>
      <c r="S207" s="362">
        <f>R207*C207</f>
        <v>0</v>
      </c>
      <c r="T207" s="492">
        <v>0</v>
      </c>
      <c r="U207" s="362">
        <f>T207*C207</f>
        <v>0</v>
      </c>
      <c r="V207" s="492">
        <v>0</v>
      </c>
      <c r="W207" s="362">
        <f>V207*C207</f>
        <v>0</v>
      </c>
      <c r="X207" s="492">
        <v>0</v>
      </c>
      <c r="Y207" s="362">
        <f>X207*C207</f>
        <v>0</v>
      </c>
      <c r="Z207" s="492">
        <v>0</v>
      </c>
      <c r="AA207" s="362">
        <f>Z207*C207</f>
        <v>0</v>
      </c>
      <c r="AB207" s="361"/>
      <c r="AC207" s="342"/>
      <c r="AD207" s="348"/>
    </row>
    <row r="208" spans="1:30" s="349" customFormat="1">
      <c r="A208" s="359"/>
      <c r="B208" s="359"/>
      <c r="C208" s="504"/>
      <c r="D208" s="359"/>
      <c r="E208" s="362"/>
      <c r="F208" s="359"/>
      <c r="G208" s="362"/>
      <c r="H208" s="492"/>
      <c r="I208" s="362"/>
      <c r="J208" s="492"/>
      <c r="K208" s="362"/>
      <c r="L208" s="492"/>
      <c r="M208" s="362"/>
      <c r="N208" s="492"/>
      <c r="O208" s="362"/>
      <c r="P208" s="492"/>
      <c r="Q208" s="362"/>
      <c r="R208" s="492"/>
      <c r="S208" s="362"/>
      <c r="T208" s="492"/>
      <c r="U208" s="362"/>
      <c r="V208" s="492"/>
      <c r="W208" s="362"/>
      <c r="X208" s="492"/>
      <c r="Y208" s="362"/>
      <c r="Z208" s="492"/>
      <c r="AA208" s="362"/>
      <c r="AB208" s="361"/>
      <c r="AC208" s="342"/>
      <c r="AD208" s="348"/>
    </row>
    <row r="209" spans="1:30" s="349" customFormat="1">
      <c r="A209" s="359" t="s">
        <v>238</v>
      </c>
      <c r="B209" s="359">
        <v>100</v>
      </c>
      <c r="C209" s="504">
        <v>85000</v>
      </c>
      <c r="D209" s="359">
        <v>0</v>
      </c>
      <c r="E209" s="362">
        <f>D209*C209</f>
        <v>0</v>
      </c>
      <c r="F209" s="359">
        <v>0</v>
      </c>
      <c r="G209" s="362">
        <f>F209*C209</f>
        <v>0</v>
      </c>
      <c r="H209" s="492">
        <v>0</v>
      </c>
      <c r="I209" s="362">
        <f>H209*C209</f>
        <v>0</v>
      </c>
      <c r="J209" s="492">
        <v>0</v>
      </c>
      <c r="K209" s="362">
        <f>J209*C209</f>
        <v>0</v>
      </c>
      <c r="L209" s="492">
        <v>0</v>
      </c>
      <c r="M209" s="362">
        <f>L209*C209</f>
        <v>0</v>
      </c>
      <c r="N209" s="492">
        <v>0</v>
      </c>
      <c r="O209" s="362">
        <f>N209*C209</f>
        <v>0</v>
      </c>
      <c r="P209" s="491">
        <v>10</v>
      </c>
      <c r="Q209" s="362">
        <f>P209*C209</f>
        <v>850000</v>
      </c>
      <c r="R209" s="491">
        <v>10</v>
      </c>
      <c r="S209" s="362">
        <f>R209*C209</f>
        <v>850000</v>
      </c>
      <c r="T209" s="492">
        <v>10</v>
      </c>
      <c r="U209" s="362">
        <f>T209*C209</f>
        <v>850000</v>
      </c>
      <c r="V209" s="492">
        <v>10</v>
      </c>
      <c r="W209" s="362">
        <f>V209*C209</f>
        <v>850000</v>
      </c>
      <c r="X209" s="492">
        <v>10</v>
      </c>
      <c r="Y209" s="362">
        <f>X209*C209</f>
        <v>850000</v>
      </c>
      <c r="Z209" s="492">
        <v>10</v>
      </c>
      <c r="AA209" s="362">
        <f>Z209*C209</f>
        <v>850000</v>
      </c>
      <c r="AB209" s="361"/>
      <c r="AC209" s="342"/>
      <c r="AD209" s="348"/>
    </row>
    <row r="210" spans="1:30" s="349" customFormat="1">
      <c r="A210" s="359" t="s">
        <v>238</v>
      </c>
      <c r="B210" s="359">
        <v>150</v>
      </c>
      <c r="C210" s="504">
        <v>85000</v>
      </c>
      <c r="D210" s="359">
        <v>0</v>
      </c>
      <c r="E210" s="362">
        <f>D210*C210</f>
        <v>0</v>
      </c>
      <c r="F210" s="359">
        <v>0</v>
      </c>
      <c r="G210" s="362">
        <f>F210*C210</f>
        <v>0</v>
      </c>
      <c r="H210" s="492">
        <v>0</v>
      </c>
      <c r="I210" s="362">
        <f>H210*C210</f>
        <v>0</v>
      </c>
      <c r="J210" s="492">
        <v>0</v>
      </c>
      <c r="K210" s="362">
        <f>J210*C210</f>
        <v>0</v>
      </c>
      <c r="L210" s="492">
        <v>0</v>
      </c>
      <c r="M210" s="362">
        <f>L210*C210</f>
        <v>0</v>
      </c>
      <c r="N210" s="492">
        <v>0</v>
      </c>
      <c r="O210" s="362">
        <f>N210*C210</f>
        <v>0</v>
      </c>
      <c r="P210" s="492">
        <v>5</v>
      </c>
      <c r="Q210" s="362">
        <f>P210*C210</f>
        <v>425000</v>
      </c>
      <c r="R210" s="492">
        <v>5</v>
      </c>
      <c r="S210" s="362">
        <f>R210*C210</f>
        <v>425000</v>
      </c>
      <c r="T210" s="492">
        <v>5</v>
      </c>
      <c r="U210" s="362">
        <f>T210*C210</f>
        <v>425000</v>
      </c>
      <c r="V210" s="492">
        <v>5</v>
      </c>
      <c r="W210" s="362">
        <f>V210*C210</f>
        <v>425000</v>
      </c>
      <c r="X210" s="492">
        <v>5</v>
      </c>
      <c r="Y210" s="362">
        <f>X210*C210</f>
        <v>425000</v>
      </c>
      <c r="Z210" s="492">
        <v>5</v>
      </c>
      <c r="AA210" s="362">
        <f>Z210*C210</f>
        <v>425000</v>
      </c>
      <c r="AB210" s="361"/>
      <c r="AC210" s="342"/>
      <c r="AD210" s="348"/>
    </row>
    <row r="211" spans="1:30" s="349" customFormat="1">
      <c r="A211" s="359" t="s">
        <v>238</v>
      </c>
      <c r="B211" s="359">
        <v>250</v>
      </c>
      <c r="C211" s="504">
        <v>85000</v>
      </c>
      <c r="D211" s="359">
        <v>0</v>
      </c>
      <c r="E211" s="362">
        <f>D211*C211</f>
        <v>0</v>
      </c>
      <c r="F211" s="359">
        <v>0</v>
      </c>
      <c r="G211" s="362">
        <f>F211*C211</f>
        <v>0</v>
      </c>
      <c r="H211" s="492">
        <v>0</v>
      </c>
      <c r="I211" s="362">
        <f>H211*C211</f>
        <v>0</v>
      </c>
      <c r="J211" s="492">
        <v>0</v>
      </c>
      <c r="K211" s="362">
        <f>J211*C211</f>
        <v>0</v>
      </c>
      <c r="L211" s="492">
        <v>0</v>
      </c>
      <c r="M211" s="362">
        <f>L211*C211</f>
        <v>0</v>
      </c>
      <c r="N211" s="492">
        <v>0</v>
      </c>
      <c r="O211" s="362">
        <f>N211*C211</f>
        <v>0</v>
      </c>
      <c r="P211" s="492">
        <v>2</v>
      </c>
      <c r="Q211" s="362">
        <f>P211*C211</f>
        <v>170000</v>
      </c>
      <c r="R211" s="492">
        <v>2</v>
      </c>
      <c r="S211" s="362">
        <f>R211*C211</f>
        <v>170000</v>
      </c>
      <c r="T211" s="492">
        <v>2</v>
      </c>
      <c r="U211" s="362">
        <f>T211*C211</f>
        <v>170000</v>
      </c>
      <c r="V211" s="492">
        <v>2</v>
      </c>
      <c r="W211" s="362">
        <f>V211*C211</f>
        <v>170000</v>
      </c>
      <c r="X211" s="492">
        <v>2</v>
      </c>
      <c r="Y211" s="362">
        <f>X211*C211</f>
        <v>170000</v>
      </c>
      <c r="Z211" s="492">
        <v>2</v>
      </c>
      <c r="AA211" s="362">
        <f>Z211*C211</f>
        <v>170000</v>
      </c>
      <c r="AB211" s="361"/>
      <c r="AC211" s="342"/>
      <c r="AD211" s="348"/>
    </row>
    <row r="212" spans="1:30" s="349" customFormat="1">
      <c r="A212" s="359" t="s">
        <v>238</v>
      </c>
      <c r="B212" s="359">
        <v>350</v>
      </c>
      <c r="C212" s="504">
        <v>120000</v>
      </c>
      <c r="D212" s="359">
        <v>0</v>
      </c>
      <c r="E212" s="362">
        <f>D212*C212</f>
        <v>0</v>
      </c>
      <c r="F212" s="359">
        <v>0</v>
      </c>
      <c r="G212" s="362">
        <f>F212*C212</f>
        <v>0</v>
      </c>
      <c r="H212" s="492">
        <v>0</v>
      </c>
      <c r="I212" s="362">
        <f>H212*C212</f>
        <v>0</v>
      </c>
      <c r="J212" s="492">
        <v>0</v>
      </c>
      <c r="K212" s="362">
        <f>J212*C212</f>
        <v>0</v>
      </c>
      <c r="L212" s="492">
        <v>0</v>
      </c>
      <c r="M212" s="362">
        <f>L212*C212</f>
        <v>0</v>
      </c>
      <c r="N212" s="492">
        <v>0</v>
      </c>
      <c r="O212" s="362">
        <f>N212*C212</f>
        <v>0</v>
      </c>
      <c r="P212" s="492">
        <v>0</v>
      </c>
      <c r="Q212" s="362">
        <f>P212*C212</f>
        <v>0</v>
      </c>
      <c r="R212" s="492">
        <v>0</v>
      </c>
      <c r="S212" s="362">
        <f>R212*C212</f>
        <v>0</v>
      </c>
      <c r="T212" s="492">
        <v>0</v>
      </c>
      <c r="U212" s="362">
        <f>T212*C212</f>
        <v>0</v>
      </c>
      <c r="V212" s="492">
        <v>0</v>
      </c>
      <c r="W212" s="362">
        <f>V212*C212</f>
        <v>0</v>
      </c>
      <c r="X212" s="492">
        <v>0</v>
      </c>
      <c r="Y212" s="362">
        <f>X212*C212</f>
        <v>0</v>
      </c>
      <c r="Z212" s="492">
        <v>0</v>
      </c>
      <c r="AA212" s="362">
        <f>Z212*C212</f>
        <v>0</v>
      </c>
      <c r="AB212" s="361"/>
      <c r="AC212" s="342"/>
      <c r="AD212" s="348"/>
    </row>
    <row r="213" spans="1:30" s="349" customFormat="1">
      <c r="A213" s="359" t="s">
        <v>238</v>
      </c>
      <c r="B213" s="359">
        <v>500</v>
      </c>
      <c r="C213" s="504">
        <v>250000</v>
      </c>
      <c r="D213" s="359">
        <v>0</v>
      </c>
      <c r="E213" s="362">
        <f>D213*C213</f>
        <v>0</v>
      </c>
      <c r="F213" s="359">
        <v>0</v>
      </c>
      <c r="G213" s="362">
        <f>F213*C213</f>
        <v>0</v>
      </c>
      <c r="H213" s="492">
        <v>0</v>
      </c>
      <c r="I213" s="362">
        <f>H213*C213</f>
        <v>0</v>
      </c>
      <c r="J213" s="492">
        <v>0</v>
      </c>
      <c r="K213" s="362">
        <f>J213*C213</f>
        <v>0</v>
      </c>
      <c r="L213" s="492">
        <v>0</v>
      </c>
      <c r="M213" s="362">
        <f>L213*C213</f>
        <v>0</v>
      </c>
      <c r="N213" s="492">
        <v>0</v>
      </c>
      <c r="O213" s="362">
        <f>N213*C213</f>
        <v>0</v>
      </c>
      <c r="P213" s="359">
        <v>0</v>
      </c>
      <c r="Q213" s="362">
        <f>P213*C213</f>
        <v>0</v>
      </c>
      <c r="R213" s="359">
        <v>0</v>
      </c>
      <c r="S213" s="362">
        <f>R213*C213</f>
        <v>0</v>
      </c>
      <c r="T213" s="492">
        <v>0</v>
      </c>
      <c r="U213" s="362">
        <f>T213*C213</f>
        <v>0</v>
      </c>
      <c r="V213" s="492">
        <v>0</v>
      </c>
      <c r="W213" s="362">
        <f>V213*C213</f>
        <v>0</v>
      </c>
      <c r="X213" s="492">
        <v>0</v>
      </c>
      <c r="Y213" s="362">
        <f>X213*C213</f>
        <v>0</v>
      </c>
      <c r="Z213" s="492">
        <v>0</v>
      </c>
      <c r="AA213" s="362">
        <f>Z213*C213</f>
        <v>0</v>
      </c>
      <c r="AB213" s="361"/>
      <c r="AC213" s="342"/>
      <c r="AD213" s="348"/>
    </row>
    <row r="214" spans="1:30" s="349" customFormat="1">
      <c r="A214" s="359"/>
      <c r="B214" s="359"/>
      <c r="C214" s="504"/>
      <c r="D214" s="359"/>
      <c r="E214" s="362"/>
      <c r="F214" s="359"/>
      <c r="G214" s="362"/>
      <c r="H214" s="492"/>
      <c r="I214" s="362"/>
      <c r="J214" s="492"/>
      <c r="K214" s="362"/>
      <c r="L214" s="492"/>
      <c r="M214" s="362"/>
      <c r="N214" s="492"/>
      <c r="O214" s="362"/>
      <c r="P214" s="359"/>
      <c r="Q214" s="362"/>
      <c r="R214" s="359"/>
      <c r="S214" s="362"/>
      <c r="T214" s="492"/>
      <c r="U214" s="362"/>
      <c r="V214" s="492"/>
      <c r="W214" s="362"/>
      <c r="X214" s="492"/>
      <c r="Y214" s="362"/>
      <c r="Z214" s="492"/>
      <c r="AA214" s="362"/>
      <c r="AB214" s="360"/>
      <c r="AC214" s="342"/>
      <c r="AD214" s="348"/>
    </row>
    <row r="215" spans="1:30" s="479" customFormat="1">
      <c r="A215" s="474"/>
      <c r="B215" s="474"/>
      <c r="C215" s="505"/>
      <c r="D215" s="474">
        <v>0.1</v>
      </c>
      <c r="E215" s="475">
        <f>SUM(E199:E213)</f>
        <v>0</v>
      </c>
      <c r="F215" s="474">
        <v>0.1</v>
      </c>
      <c r="G215" s="475">
        <f>SUM(G199:G213)</f>
        <v>0</v>
      </c>
      <c r="H215" s="515">
        <v>0.1</v>
      </c>
      <c r="I215" s="475">
        <f>SUM(I199:I213)</f>
        <v>0</v>
      </c>
      <c r="J215" s="515">
        <v>0.1</v>
      </c>
      <c r="K215" s="475">
        <f>SUM(K199:K213)</f>
        <v>0</v>
      </c>
      <c r="L215" s="515">
        <v>0.1</v>
      </c>
      <c r="M215" s="475">
        <f>SUM(M199:M213)</f>
        <v>0</v>
      </c>
      <c r="N215" s="515">
        <v>0.1</v>
      </c>
      <c r="O215" s="475">
        <f>SUM(O199:O213)</f>
        <v>0</v>
      </c>
      <c r="P215" s="474">
        <v>0.1</v>
      </c>
      <c r="Q215" s="475">
        <f>SUM(Q199:Q213)</f>
        <v>3300000</v>
      </c>
      <c r="R215" s="474">
        <v>0.1</v>
      </c>
      <c r="S215" s="475">
        <f>SUM(S199:S213)</f>
        <v>3300000</v>
      </c>
      <c r="T215" s="515">
        <v>0.1</v>
      </c>
      <c r="U215" s="475">
        <f>SUM(U199:U213)</f>
        <v>3300000</v>
      </c>
      <c r="V215" s="515">
        <v>0.1</v>
      </c>
      <c r="W215" s="475">
        <f>SUM(W199:W213)</f>
        <v>3300000</v>
      </c>
      <c r="X215" s="515">
        <v>0.1</v>
      </c>
      <c r="Y215" s="475">
        <f>SUM(Y199:Y213)</f>
        <v>3300000</v>
      </c>
      <c r="Z215" s="515">
        <v>0.1</v>
      </c>
      <c r="AA215" s="475">
        <f>SUM(AA199:AA213)</f>
        <v>3300000</v>
      </c>
      <c r="AB215" s="476"/>
      <c r="AC215" s="477"/>
      <c r="AD215" s="478"/>
    </row>
    <row r="216" spans="1:30" s="485" customFormat="1">
      <c r="A216" s="480"/>
      <c r="B216" s="480"/>
      <c r="C216" s="507"/>
      <c r="D216" s="480"/>
      <c r="E216" s="481">
        <f>E215*D215</f>
        <v>0</v>
      </c>
      <c r="F216" s="480"/>
      <c r="G216" s="482">
        <f>G215*F215</f>
        <v>0</v>
      </c>
      <c r="H216" s="516"/>
      <c r="I216" s="481">
        <f>I215*H215</f>
        <v>0</v>
      </c>
      <c r="J216" s="516"/>
      <c r="K216" s="481">
        <f>K215*J215</f>
        <v>0</v>
      </c>
      <c r="L216" s="516"/>
      <c r="M216" s="481">
        <f>M215*L215</f>
        <v>0</v>
      </c>
      <c r="N216" s="516"/>
      <c r="O216" s="481">
        <f>O215*N215</f>
        <v>0</v>
      </c>
      <c r="P216" s="480"/>
      <c r="Q216" s="481">
        <f>Q215*P215</f>
        <v>330000</v>
      </c>
      <c r="R216" s="480"/>
      <c r="S216" s="481">
        <f>S215*R215</f>
        <v>330000</v>
      </c>
      <c r="T216" s="516"/>
      <c r="U216" s="481">
        <f>U215*T215</f>
        <v>330000</v>
      </c>
      <c r="V216" s="516"/>
      <c r="W216" s="481">
        <f>W215*V215</f>
        <v>330000</v>
      </c>
      <c r="X216" s="516"/>
      <c r="Y216" s="481">
        <f>Y215*X215</f>
        <v>330000</v>
      </c>
      <c r="Z216" s="516"/>
      <c r="AA216" s="481">
        <f>AA215*Z215</f>
        <v>330000</v>
      </c>
      <c r="AB216" s="481">
        <f>SUM(AA216,Y216,W216,U216,S216,Q216,O216,M216,K216,I216,G216,E216)</f>
        <v>1980000</v>
      </c>
      <c r="AC216" s="483"/>
      <c r="AD216" s="484"/>
    </row>
    <row r="217" spans="1:30" s="349" customFormat="1">
      <c r="A217" s="364"/>
      <c r="B217" s="359"/>
      <c r="C217" s="504"/>
      <c r="D217" s="359"/>
      <c r="E217" s="472"/>
      <c r="F217" s="359"/>
      <c r="G217" s="471"/>
      <c r="H217" s="492"/>
      <c r="I217" s="472"/>
      <c r="J217" s="492"/>
      <c r="K217" s="472"/>
      <c r="L217" s="492"/>
      <c r="M217" s="472"/>
      <c r="N217" s="492"/>
      <c r="O217" s="472"/>
      <c r="P217" s="359"/>
      <c r="Q217" s="472"/>
      <c r="R217" s="359"/>
      <c r="S217" s="472"/>
      <c r="T217" s="492"/>
      <c r="U217" s="472"/>
      <c r="V217" s="492"/>
      <c r="W217" s="472"/>
      <c r="X217" s="492"/>
      <c r="Y217" s="472"/>
      <c r="Z217" s="492"/>
      <c r="AA217" s="472"/>
      <c r="AB217" s="472"/>
      <c r="AC217" s="342"/>
      <c r="AD217" s="473"/>
    </row>
    <row r="218" spans="1:30" s="349" customFormat="1" ht="14.6">
      <c r="A218" s="514" t="s">
        <v>239</v>
      </c>
      <c r="B218" s="359"/>
      <c r="C218" s="504"/>
      <c r="D218" s="359"/>
      <c r="E218" s="472"/>
      <c r="F218" s="359"/>
      <c r="G218" s="471"/>
      <c r="H218" s="492"/>
      <c r="I218" s="472"/>
      <c r="J218" s="492"/>
      <c r="K218" s="472"/>
      <c r="L218" s="492"/>
      <c r="M218" s="472"/>
      <c r="N218" s="492"/>
      <c r="O218" s="472"/>
      <c r="P218" s="359"/>
      <c r="Q218" s="472"/>
      <c r="R218" s="359"/>
      <c r="S218" s="472"/>
      <c r="T218" s="492"/>
      <c r="U218" s="472"/>
      <c r="V218" s="492"/>
      <c r="W218" s="472"/>
      <c r="X218" s="492"/>
      <c r="Y218" s="472"/>
      <c r="Z218" s="492"/>
      <c r="AA218" s="472"/>
      <c r="AB218" s="472"/>
      <c r="AC218" s="342"/>
      <c r="AD218" s="473"/>
    </row>
    <row r="219" spans="1:30" s="349" customFormat="1" ht="128.6">
      <c r="A219" s="469" t="s">
        <v>240</v>
      </c>
      <c r="B219" s="359"/>
      <c r="C219" s="504">
        <v>15000</v>
      </c>
      <c r="D219" s="359">
        <v>0</v>
      </c>
      <c r="E219" s="362">
        <f>D219*C219</f>
        <v>0</v>
      </c>
      <c r="F219" s="359">
        <v>0</v>
      </c>
      <c r="G219" s="362">
        <f>F219*C219</f>
        <v>0</v>
      </c>
      <c r="H219" s="492">
        <v>0</v>
      </c>
      <c r="I219" s="362">
        <f>H219*C219</f>
        <v>0</v>
      </c>
      <c r="J219" s="492">
        <v>0</v>
      </c>
      <c r="K219" s="362">
        <f>J219*C219</f>
        <v>0</v>
      </c>
      <c r="L219" s="492">
        <v>0</v>
      </c>
      <c r="M219" s="362">
        <f>L219*C219</f>
        <v>0</v>
      </c>
      <c r="N219" s="492">
        <v>0</v>
      </c>
      <c r="O219" s="362">
        <f>N219*C219</f>
        <v>0</v>
      </c>
      <c r="P219" s="491">
        <v>30</v>
      </c>
      <c r="Q219" s="362">
        <f>P219*C219</f>
        <v>450000</v>
      </c>
      <c r="R219" s="491">
        <v>30</v>
      </c>
      <c r="S219" s="362">
        <f>R219*C219</f>
        <v>450000</v>
      </c>
      <c r="T219" s="492">
        <v>30</v>
      </c>
      <c r="U219" s="362">
        <f>T219*C219</f>
        <v>450000</v>
      </c>
      <c r="V219" s="492">
        <v>30</v>
      </c>
      <c r="W219" s="362">
        <f>V219*C219</f>
        <v>450000</v>
      </c>
      <c r="X219" s="492">
        <v>30</v>
      </c>
      <c r="Y219" s="362">
        <f>X219*C219</f>
        <v>450000</v>
      </c>
      <c r="Z219" s="492">
        <v>30</v>
      </c>
      <c r="AA219" s="362">
        <f>Z219*C219</f>
        <v>450000</v>
      </c>
      <c r="AB219" s="361"/>
      <c r="AC219" s="342"/>
      <c r="AD219" s="348"/>
    </row>
    <row r="220" spans="1:30" s="349" customFormat="1">
      <c r="A220" s="469"/>
      <c r="B220" s="359"/>
      <c r="C220" s="504"/>
      <c r="D220" s="359"/>
      <c r="E220" s="362"/>
      <c r="F220" s="359"/>
      <c r="G220" s="362"/>
      <c r="H220" s="492"/>
      <c r="I220" s="362"/>
      <c r="J220" s="492"/>
      <c r="K220" s="362"/>
      <c r="L220" s="492"/>
      <c r="M220" s="362"/>
      <c r="N220" s="492"/>
      <c r="O220" s="362"/>
      <c r="P220" s="492"/>
      <c r="Q220" s="362"/>
      <c r="R220" s="492"/>
      <c r="S220" s="362"/>
      <c r="T220" s="492"/>
      <c r="U220" s="362"/>
      <c r="V220" s="492"/>
      <c r="W220" s="362"/>
      <c r="X220" s="492"/>
      <c r="Y220" s="362"/>
      <c r="Z220" s="492"/>
      <c r="AA220" s="362"/>
      <c r="AB220" s="361"/>
      <c r="AC220" s="342"/>
      <c r="AD220" s="348"/>
    </row>
    <row r="221" spans="1:30" s="479" customFormat="1">
      <c r="A221" s="474"/>
      <c r="B221" s="474"/>
      <c r="C221" s="505"/>
      <c r="D221" s="474">
        <v>7.0000000000000007E-2</v>
      </c>
      <c r="E221" s="475">
        <f>SUM(E219:E220)</f>
        <v>0</v>
      </c>
      <c r="F221" s="474">
        <v>7.0000000000000007E-2</v>
      </c>
      <c r="G221" s="475">
        <f>G219</f>
        <v>0</v>
      </c>
      <c r="H221" s="515">
        <v>7.0000000000000007E-2</v>
      </c>
      <c r="I221" s="475">
        <f>I219</f>
        <v>0</v>
      </c>
      <c r="J221" s="515">
        <v>7.0000000000000007E-2</v>
      </c>
      <c r="K221" s="475">
        <f>K219</f>
        <v>0</v>
      </c>
      <c r="L221" s="515">
        <v>7.0000000000000007E-2</v>
      </c>
      <c r="M221" s="475">
        <f>M219</f>
        <v>0</v>
      </c>
      <c r="N221" s="515">
        <v>7.0000000000000007E-2</v>
      </c>
      <c r="O221" s="475">
        <f>O219</f>
        <v>0</v>
      </c>
      <c r="P221" s="515">
        <v>7.0000000000000007E-2</v>
      </c>
      <c r="Q221" s="475">
        <f>Q219</f>
        <v>450000</v>
      </c>
      <c r="R221" s="515">
        <v>7.0000000000000007E-2</v>
      </c>
      <c r="S221" s="475">
        <f>S219</f>
        <v>450000</v>
      </c>
      <c r="T221" s="515">
        <v>7.0000000000000007E-2</v>
      </c>
      <c r="U221" s="475">
        <f>U219</f>
        <v>450000</v>
      </c>
      <c r="V221" s="515">
        <v>7.0000000000000007E-2</v>
      </c>
      <c r="W221" s="475">
        <f>W219</f>
        <v>450000</v>
      </c>
      <c r="X221" s="515">
        <v>7.0000000000000007E-2</v>
      </c>
      <c r="Y221" s="475">
        <f>Y219</f>
        <v>450000</v>
      </c>
      <c r="Z221" s="515">
        <v>7.0000000000000007E-2</v>
      </c>
      <c r="AA221" s="475">
        <f>AA219</f>
        <v>450000</v>
      </c>
      <c r="AB221" s="476"/>
      <c r="AC221" s="477"/>
      <c r="AD221" s="478"/>
    </row>
    <row r="222" spans="1:30" s="485" customFormat="1">
      <c r="A222" s="480"/>
      <c r="B222" s="480"/>
      <c r="C222" s="507"/>
      <c r="D222" s="480"/>
      <c r="E222" s="481">
        <f>E221*D221</f>
        <v>0</v>
      </c>
      <c r="F222" s="480"/>
      <c r="G222" s="482">
        <f>G221*F221</f>
        <v>0</v>
      </c>
      <c r="H222" s="516"/>
      <c r="I222" s="481">
        <f>I221*H221</f>
        <v>0</v>
      </c>
      <c r="J222" s="516"/>
      <c r="K222" s="481">
        <f>K221*J221</f>
        <v>0</v>
      </c>
      <c r="L222" s="516"/>
      <c r="M222" s="481">
        <f>M221*L221</f>
        <v>0</v>
      </c>
      <c r="N222" s="516"/>
      <c r="O222" s="481">
        <f>O221*N221</f>
        <v>0</v>
      </c>
      <c r="P222" s="516"/>
      <c r="Q222" s="481">
        <f>Q221*P221</f>
        <v>31500.000000000004</v>
      </c>
      <c r="R222" s="516"/>
      <c r="S222" s="481">
        <f>S221*R221</f>
        <v>31500.000000000004</v>
      </c>
      <c r="T222" s="516"/>
      <c r="U222" s="481">
        <f>U221*T221</f>
        <v>31500.000000000004</v>
      </c>
      <c r="V222" s="516"/>
      <c r="W222" s="481">
        <f>W221*V221</f>
        <v>31500.000000000004</v>
      </c>
      <c r="X222" s="516"/>
      <c r="Y222" s="481">
        <f>Y221*X221</f>
        <v>31500.000000000004</v>
      </c>
      <c r="Z222" s="516"/>
      <c r="AA222" s="481">
        <f>AA221*Z221</f>
        <v>31500.000000000004</v>
      </c>
      <c r="AB222" s="481">
        <f>SUM(AA222,Y222,W222,U222,S222,Q222,O222,M222,K222,I222,G222,E222)</f>
        <v>189000.00000000003</v>
      </c>
      <c r="AC222" s="483"/>
      <c r="AD222" s="484"/>
    </row>
    <row r="223" spans="1:30" s="349" customFormat="1" ht="14.6">
      <c r="A223" s="514" t="s">
        <v>246</v>
      </c>
      <c r="B223" s="359"/>
      <c r="C223" s="504"/>
      <c r="D223" s="359"/>
      <c r="E223" s="472"/>
      <c r="F223" s="359"/>
      <c r="G223" s="471"/>
      <c r="H223" s="492"/>
      <c r="I223" s="472"/>
      <c r="J223" s="492"/>
      <c r="K223" s="472"/>
      <c r="L223" s="492"/>
      <c r="M223" s="472"/>
      <c r="N223" s="492"/>
      <c r="O223" s="472"/>
      <c r="P223" s="492"/>
      <c r="Q223" s="472"/>
      <c r="R223" s="492"/>
      <c r="S223" s="472"/>
      <c r="T223" s="492"/>
      <c r="U223" s="472"/>
      <c r="V223" s="492"/>
      <c r="W223" s="472"/>
      <c r="X223" s="492"/>
      <c r="Y223" s="472"/>
      <c r="Z223" s="492"/>
      <c r="AA223" s="472"/>
      <c r="AB223" s="472"/>
      <c r="AC223" s="342"/>
      <c r="AD223" s="473"/>
    </row>
    <row r="224" spans="1:30" s="349" customFormat="1" ht="77.150000000000006">
      <c r="A224" s="469" t="s">
        <v>247</v>
      </c>
      <c r="B224" s="359"/>
      <c r="C224" s="504">
        <v>15000</v>
      </c>
      <c r="D224" s="359">
        <v>0</v>
      </c>
      <c r="E224" s="362">
        <f>D224*C224</f>
        <v>0</v>
      </c>
      <c r="F224" s="359">
        <v>0</v>
      </c>
      <c r="G224" s="362">
        <f>F224*C224</f>
        <v>0</v>
      </c>
      <c r="H224" s="492">
        <v>0</v>
      </c>
      <c r="I224" s="362">
        <f>H224*C224</f>
        <v>0</v>
      </c>
      <c r="J224" s="492">
        <v>0</v>
      </c>
      <c r="K224" s="362">
        <f>J224*C224</f>
        <v>0</v>
      </c>
      <c r="L224" s="492">
        <v>0</v>
      </c>
      <c r="M224" s="362">
        <f>L224*C224</f>
        <v>0</v>
      </c>
      <c r="N224" s="492">
        <v>0</v>
      </c>
      <c r="O224" s="362">
        <f>N224*C224</f>
        <v>0</v>
      </c>
      <c r="P224" s="492">
        <v>30</v>
      </c>
      <c r="Q224" s="362">
        <f>P224*C224</f>
        <v>450000</v>
      </c>
      <c r="R224" s="492">
        <v>30</v>
      </c>
      <c r="S224" s="362">
        <f>R224*C224</f>
        <v>450000</v>
      </c>
      <c r="T224" s="492">
        <v>30</v>
      </c>
      <c r="U224" s="362">
        <f>T224*C224</f>
        <v>450000</v>
      </c>
      <c r="V224" s="492">
        <v>30</v>
      </c>
      <c r="W224" s="362">
        <f>V224*C224</f>
        <v>450000</v>
      </c>
      <c r="X224" s="492">
        <v>30</v>
      </c>
      <c r="Y224" s="362">
        <f>X224*C224</f>
        <v>450000</v>
      </c>
      <c r="Z224" s="492">
        <v>30</v>
      </c>
      <c r="AA224" s="362">
        <f>Z224*C224</f>
        <v>450000</v>
      </c>
      <c r="AB224" s="361"/>
      <c r="AC224" s="342"/>
      <c r="AD224" s="348"/>
    </row>
    <row r="225" spans="1:30" s="349" customFormat="1">
      <c r="A225" s="469"/>
      <c r="B225" s="359"/>
      <c r="C225" s="504"/>
      <c r="D225" s="359"/>
      <c r="E225" s="362"/>
      <c r="F225" s="359"/>
      <c r="G225" s="362"/>
      <c r="H225" s="492"/>
      <c r="I225" s="362"/>
      <c r="J225" s="492"/>
      <c r="K225" s="362"/>
      <c r="L225" s="492"/>
      <c r="M225" s="362"/>
      <c r="N225" s="492"/>
      <c r="O225" s="362"/>
      <c r="P225" s="492"/>
      <c r="Q225" s="362"/>
      <c r="R225" s="492"/>
      <c r="S225" s="362"/>
      <c r="T225" s="492"/>
      <c r="U225" s="362"/>
      <c r="V225" s="492"/>
      <c r="W225" s="362"/>
      <c r="X225" s="492"/>
      <c r="Y225" s="362"/>
      <c r="Z225" s="492"/>
      <c r="AA225" s="362"/>
      <c r="AB225" s="361"/>
      <c r="AC225" s="342"/>
      <c r="AD225" s="348"/>
    </row>
    <row r="226" spans="1:30" s="349" customFormat="1">
      <c r="A226" s="469"/>
      <c r="B226" s="359"/>
      <c r="C226" s="504"/>
      <c r="D226" s="359"/>
      <c r="E226" s="362"/>
      <c r="F226" s="359"/>
      <c r="G226" s="362"/>
      <c r="H226" s="492"/>
      <c r="I226" s="362"/>
      <c r="J226" s="492"/>
      <c r="K226" s="362"/>
      <c r="L226" s="492"/>
      <c r="M226" s="362"/>
      <c r="N226" s="492"/>
      <c r="O226" s="362"/>
      <c r="P226" s="492"/>
      <c r="Q226" s="362"/>
      <c r="R226" s="492"/>
      <c r="S226" s="362"/>
      <c r="T226" s="492"/>
      <c r="U226" s="362"/>
      <c r="V226" s="492"/>
      <c r="W226" s="362"/>
      <c r="X226" s="492"/>
      <c r="Y226" s="362"/>
      <c r="Z226" s="492"/>
      <c r="AA226" s="362"/>
      <c r="AB226" s="361"/>
      <c r="AC226" s="342"/>
      <c r="AD226" s="348"/>
    </row>
    <row r="227" spans="1:30" s="479" customFormat="1">
      <c r="A227" s="474"/>
      <c r="B227" s="474"/>
      <c r="C227" s="505"/>
      <c r="D227" s="474">
        <v>7.0000000000000007E-2</v>
      </c>
      <c r="E227" s="475">
        <f>E224</f>
        <v>0</v>
      </c>
      <c r="F227" s="474">
        <v>7.0000000000000007E-2</v>
      </c>
      <c r="G227" s="475">
        <f>G224</f>
        <v>0</v>
      </c>
      <c r="H227" s="515">
        <v>7.0000000000000007E-2</v>
      </c>
      <c r="I227" s="475">
        <f>I224</f>
        <v>0</v>
      </c>
      <c r="J227" s="515">
        <v>7.0000000000000007E-2</v>
      </c>
      <c r="K227" s="475">
        <f>K224</f>
        <v>0</v>
      </c>
      <c r="L227" s="515">
        <v>7.0000000000000007E-2</v>
      </c>
      <c r="M227" s="475">
        <f>M224</f>
        <v>0</v>
      </c>
      <c r="N227" s="515">
        <v>7.0000000000000007E-2</v>
      </c>
      <c r="O227" s="475">
        <f>O224</f>
        <v>0</v>
      </c>
      <c r="P227" s="515">
        <v>7.0000000000000007E-2</v>
      </c>
      <c r="Q227" s="475">
        <f>Q224</f>
        <v>450000</v>
      </c>
      <c r="R227" s="515">
        <v>7.0000000000000007E-2</v>
      </c>
      <c r="S227" s="475">
        <f>S224</f>
        <v>450000</v>
      </c>
      <c r="T227" s="515">
        <v>7.0000000000000007E-2</v>
      </c>
      <c r="U227" s="475">
        <f>U224</f>
        <v>450000</v>
      </c>
      <c r="V227" s="515">
        <v>7.0000000000000007E-2</v>
      </c>
      <c r="W227" s="475">
        <f>W224</f>
        <v>450000</v>
      </c>
      <c r="X227" s="515">
        <v>7.0000000000000007E-2</v>
      </c>
      <c r="Y227" s="475">
        <f>Y224</f>
        <v>450000</v>
      </c>
      <c r="Z227" s="515">
        <v>7.0000000000000007E-2</v>
      </c>
      <c r="AA227" s="475">
        <f>AA224</f>
        <v>450000</v>
      </c>
      <c r="AB227" s="476"/>
      <c r="AC227" s="477"/>
      <c r="AD227" s="478"/>
    </row>
    <row r="228" spans="1:30" s="485" customFormat="1">
      <c r="A228" s="480"/>
      <c r="B228" s="480"/>
      <c r="C228" s="507"/>
      <c r="D228" s="480"/>
      <c r="E228" s="481">
        <f>E227*D227</f>
        <v>0</v>
      </c>
      <c r="F228" s="480"/>
      <c r="G228" s="482">
        <f>G227*F227</f>
        <v>0</v>
      </c>
      <c r="H228" s="516"/>
      <c r="I228" s="481">
        <f>I227*H227</f>
        <v>0</v>
      </c>
      <c r="J228" s="516"/>
      <c r="K228" s="481">
        <f>K227*J227</f>
        <v>0</v>
      </c>
      <c r="L228" s="516"/>
      <c r="M228" s="481">
        <f>M227*L227</f>
        <v>0</v>
      </c>
      <c r="N228" s="516"/>
      <c r="O228" s="481">
        <f>O227*N227</f>
        <v>0</v>
      </c>
      <c r="P228" s="516"/>
      <c r="Q228" s="481">
        <f>Q227*P227</f>
        <v>31500.000000000004</v>
      </c>
      <c r="R228" s="516"/>
      <c r="S228" s="481">
        <f>S227*R227</f>
        <v>31500.000000000004</v>
      </c>
      <c r="T228" s="516"/>
      <c r="U228" s="481">
        <f>U227*T227</f>
        <v>31500.000000000004</v>
      </c>
      <c r="V228" s="516"/>
      <c r="W228" s="481">
        <f>W227*V227</f>
        <v>31500.000000000004</v>
      </c>
      <c r="X228" s="516"/>
      <c r="Y228" s="481">
        <f>Y227*X227</f>
        <v>31500.000000000004</v>
      </c>
      <c r="Z228" s="516"/>
      <c r="AA228" s="481">
        <f>AA227*Z227</f>
        <v>31500.000000000004</v>
      </c>
      <c r="AB228" s="481">
        <f>SUM(AA228,Y228,W228,U228,S228,Q228,O228,M228,K228,I228,G228,E228)</f>
        <v>189000.00000000003</v>
      </c>
      <c r="AC228" s="483"/>
      <c r="AD228" s="484"/>
    </row>
    <row r="229" spans="1:30" s="349" customFormat="1" ht="14.6">
      <c r="A229" s="514" t="s">
        <v>248</v>
      </c>
      <c r="B229" s="359"/>
      <c r="C229" s="504"/>
      <c r="D229" s="359"/>
      <c r="E229" s="472"/>
      <c r="F229" s="359"/>
      <c r="G229" s="471"/>
      <c r="H229" s="492"/>
      <c r="I229" s="472"/>
      <c r="J229" s="492"/>
      <c r="K229" s="472"/>
      <c r="L229" s="492"/>
      <c r="M229" s="472"/>
      <c r="N229" s="492"/>
      <c r="O229" s="472"/>
      <c r="P229" s="492"/>
      <c r="Q229" s="472"/>
      <c r="R229" s="492"/>
      <c r="S229" s="472"/>
      <c r="T229" s="492"/>
      <c r="U229" s="472"/>
      <c r="V229" s="492"/>
      <c r="W229" s="472"/>
      <c r="X229" s="492"/>
      <c r="Y229" s="472"/>
      <c r="Z229" s="492"/>
      <c r="AA229" s="472"/>
      <c r="AB229" s="472"/>
      <c r="AC229" s="342"/>
      <c r="AD229" s="473"/>
    </row>
    <row r="230" spans="1:30" s="349" customFormat="1" ht="90">
      <c r="A230" s="469" t="s">
        <v>249</v>
      </c>
      <c r="B230" s="359"/>
      <c r="C230" s="504">
        <v>15000</v>
      </c>
      <c r="D230" s="359">
        <v>0</v>
      </c>
      <c r="E230" s="362">
        <f>D230*C230</f>
        <v>0</v>
      </c>
      <c r="F230" s="359">
        <v>0</v>
      </c>
      <c r="G230" s="362">
        <f>F230*C230</f>
        <v>0</v>
      </c>
      <c r="H230" s="492">
        <v>0</v>
      </c>
      <c r="I230" s="362">
        <f>H230*C230</f>
        <v>0</v>
      </c>
      <c r="J230" s="492">
        <v>0</v>
      </c>
      <c r="K230" s="362">
        <f>J230*C230</f>
        <v>0</v>
      </c>
      <c r="L230" s="492">
        <v>0</v>
      </c>
      <c r="M230" s="362">
        <f>L230*C230</f>
        <v>0</v>
      </c>
      <c r="N230" s="492">
        <v>0</v>
      </c>
      <c r="O230" s="362">
        <f>N230*C230</f>
        <v>0</v>
      </c>
      <c r="P230" s="492">
        <v>30</v>
      </c>
      <c r="Q230" s="362">
        <f>P230*C230</f>
        <v>450000</v>
      </c>
      <c r="R230" s="492">
        <v>30</v>
      </c>
      <c r="S230" s="362">
        <f>R230*C230</f>
        <v>450000</v>
      </c>
      <c r="T230" s="492">
        <v>30</v>
      </c>
      <c r="U230" s="362">
        <f>T230*C230</f>
        <v>450000</v>
      </c>
      <c r="V230" s="492">
        <v>30</v>
      </c>
      <c r="W230" s="362">
        <f>V230*C230</f>
        <v>450000</v>
      </c>
      <c r="X230" s="492">
        <v>30</v>
      </c>
      <c r="Y230" s="362">
        <f>X230*C230</f>
        <v>450000</v>
      </c>
      <c r="Z230" s="492">
        <v>30</v>
      </c>
      <c r="AA230" s="362">
        <f>Z230*C230</f>
        <v>450000</v>
      </c>
      <c r="AB230" s="361"/>
      <c r="AC230" s="342"/>
      <c r="AD230" s="348"/>
    </row>
    <row r="231" spans="1:30" s="349" customFormat="1">
      <c r="A231" s="469"/>
      <c r="B231" s="359"/>
      <c r="C231" s="504"/>
      <c r="D231" s="359"/>
      <c r="E231" s="362"/>
      <c r="F231" s="359"/>
      <c r="G231" s="362"/>
      <c r="H231" s="492"/>
      <c r="I231" s="362"/>
      <c r="J231" s="492"/>
      <c r="K231" s="362"/>
      <c r="L231" s="492"/>
      <c r="M231" s="362"/>
      <c r="N231" s="492"/>
      <c r="O231" s="362"/>
      <c r="P231" s="492"/>
      <c r="Q231" s="362"/>
      <c r="R231" s="492"/>
      <c r="S231" s="362"/>
      <c r="T231" s="492"/>
      <c r="U231" s="362"/>
      <c r="V231" s="492"/>
      <c r="W231" s="362"/>
      <c r="X231" s="492"/>
      <c r="Y231" s="362"/>
      <c r="Z231" s="492"/>
      <c r="AA231" s="362"/>
      <c r="AB231" s="361"/>
      <c r="AC231" s="342"/>
      <c r="AD231" s="348"/>
    </row>
    <row r="232" spans="1:30" s="479" customFormat="1">
      <c r="A232" s="474"/>
      <c r="B232" s="474"/>
      <c r="C232" s="505"/>
      <c r="D232" s="474">
        <v>7.0000000000000007E-2</v>
      </c>
      <c r="E232" s="475">
        <f>E230</f>
        <v>0</v>
      </c>
      <c r="F232" s="474">
        <v>7.0000000000000007E-2</v>
      </c>
      <c r="G232" s="475">
        <f>G230</f>
        <v>0</v>
      </c>
      <c r="H232" s="515">
        <v>7.0000000000000007E-2</v>
      </c>
      <c r="I232" s="475">
        <f>I230</f>
        <v>0</v>
      </c>
      <c r="J232" s="515">
        <v>7.0000000000000007E-2</v>
      </c>
      <c r="K232" s="475">
        <f>K230</f>
        <v>0</v>
      </c>
      <c r="L232" s="515">
        <v>7.0000000000000007E-2</v>
      </c>
      <c r="M232" s="475">
        <f>M230</f>
        <v>0</v>
      </c>
      <c r="N232" s="515">
        <v>7.0000000000000007E-2</v>
      </c>
      <c r="O232" s="475">
        <f>O230</f>
        <v>0</v>
      </c>
      <c r="P232" s="515">
        <v>7.0000000000000007E-2</v>
      </c>
      <c r="Q232" s="475">
        <f>Q230</f>
        <v>450000</v>
      </c>
      <c r="R232" s="515">
        <v>7.0000000000000007E-2</v>
      </c>
      <c r="S232" s="475">
        <f>S230</f>
        <v>450000</v>
      </c>
      <c r="T232" s="515">
        <v>7.0000000000000007E-2</v>
      </c>
      <c r="U232" s="475">
        <f>U230</f>
        <v>450000</v>
      </c>
      <c r="V232" s="515">
        <v>7.0000000000000007E-2</v>
      </c>
      <c r="W232" s="475">
        <f>W230</f>
        <v>450000</v>
      </c>
      <c r="X232" s="515">
        <v>7.0000000000000007E-2</v>
      </c>
      <c r="Y232" s="475">
        <f>Y230</f>
        <v>450000</v>
      </c>
      <c r="Z232" s="515">
        <v>7.0000000000000007E-2</v>
      </c>
      <c r="AA232" s="475">
        <f>AA230</f>
        <v>450000</v>
      </c>
      <c r="AB232" s="476"/>
      <c r="AC232" s="477"/>
      <c r="AD232" s="478"/>
    </row>
    <row r="233" spans="1:30" s="485" customFormat="1">
      <c r="A233" s="480"/>
      <c r="B233" s="480"/>
      <c r="C233" s="507"/>
      <c r="D233" s="480"/>
      <c r="E233" s="481">
        <f>E232*D232</f>
        <v>0</v>
      </c>
      <c r="F233" s="480"/>
      <c r="G233" s="482">
        <f>G232*F232</f>
        <v>0</v>
      </c>
      <c r="H233" s="516"/>
      <c r="I233" s="481">
        <f>I232*H232</f>
        <v>0</v>
      </c>
      <c r="J233" s="516"/>
      <c r="K233" s="481">
        <f>K232*J232</f>
        <v>0</v>
      </c>
      <c r="L233" s="516"/>
      <c r="M233" s="481">
        <f>M232*L232</f>
        <v>0</v>
      </c>
      <c r="N233" s="516"/>
      <c r="O233" s="481">
        <f>O232*N232</f>
        <v>0</v>
      </c>
      <c r="P233" s="516"/>
      <c r="Q233" s="481">
        <f>Q232*P232</f>
        <v>31500.000000000004</v>
      </c>
      <c r="R233" s="516"/>
      <c r="S233" s="481">
        <f>S232*R232</f>
        <v>31500.000000000004</v>
      </c>
      <c r="T233" s="516"/>
      <c r="U233" s="481">
        <f>U232*T232</f>
        <v>31500.000000000004</v>
      </c>
      <c r="V233" s="516"/>
      <c r="W233" s="481">
        <f>W232*V232</f>
        <v>31500.000000000004</v>
      </c>
      <c r="X233" s="516"/>
      <c r="Y233" s="481">
        <f>Y232*X232</f>
        <v>31500.000000000004</v>
      </c>
      <c r="Z233" s="516"/>
      <c r="AA233" s="481">
        <f>AA232*Z232</f>
        <v>31500.000000000004</v>
      </c>
      <c r="AB233" s="481">
        <f>SUM(AA233,Y233,W233,U233,S233,Q233,O233,M233,K233,I233,G233,E233)</f>
        <v>189000.00000000003</v>
      </c>
      <c r="AC233" s="483"/>
      <c r="AD233" s="484"/>
    </row>
    <row r="234" spans="1:30" s="349" customFormat="1">
      <c r="A234" s="469"/>
      <c r="B234" s="359"/>
      <c r="C234" s="504"/>
      <c r="D234" s="359"/>
      <c r="E234" s="362"/>
      <c r="F234" s="359"/>
      <c r="G234" s="362"/>
      <c r="H234" s="492"/>
      <c r="I234" s="362"/>
      <c r="J234" s="492"/>
      <c r="K234" s="362"/>
      <c r="L234" s="492"/>
      <c r="M234" s="362"/>
      <c r="N234" s="492"/>
      <c r="O234" s="362"/>
      <c r="P234" s="492"/>
      <c r="Q234" s="362"/>
      <c r="R234" s="492"/>
      <c r="S234" s="362"/>
      <c r="T234" s="492"/>
      <c r="U234" s="362"/>
      <c r="V234" s="492"/>
      <c r="W234" s="362"/>
      <c r="X234" s="492"/>
      <c r="Y234" s="362"/>
      <c r="Z234" s="492"/>
      <c r="AA234" s="362"/>
      <c r="AB234" s="361"/>
      <c r="AC234" s="342"/>
      <c r="AD234" s="348"/>
    </row>
    <row r="235" spans="1:30" s="349" customFormat="1" ht="14.6">
      <c r="A235" s="514" t="s">
        <v>250</v>
      </c>
      <c r="B235" s="359"/>
      <c r="C235" s="504"/>
      <c r="D235" s="359"/>
      <c r="E235" s="472"/>
      <c r="F235" s="359"/>
      <c r="G235" s="471"/>
      <c r="H235" s="492"/>
      <c r="I235" s="472"/>
      <c r="J235" s="492"/>
      <c r="K235" s="472"/>
      <c r="L235" s="492"/>
      <c r="M235" s="472"/>
      <c r="N235" s="492"/>
      <c r="O235" s="472"/>
      <c r="P235" s="492"/>
      <c r="Q235" s="472"/>
      <c r="R235" s="492"/>
      <c r="S235" s="472"/>
      <c r="T235" s="492"/>
      <c r="U235" s="472"/>
      <c r="V235" s="492"/>
      <c r="W235" s="472"/>
      <c r="X235" s="492"/>
      <c r="Y235" s="472"/>
      <c r="Z235" s="492"/>
      <c r="AA235" s="472"/>
      <c r="AB235" s="472"/>
      <c r="AC235" s="342"/>
      <c r="AD235" s="473"/>
    </row>
    <row r="236" spans="1:30" s="349" customFormat="1" ht="64.3">
      <c r="A236" s="469" t="s">
        <v>251</v>
      </c>
      <c r="B236" s="359"/>
      <c r="C236" s="504">
        <v>15000</v>
      </c>
      <c r="D236" s="359">
        <v>0</v>
      </c>
      <c r="E236" s="362">
        <f>D236*C236</f>
        <v>0</v>
      </c>
      <c r="F236" s="359">
        <v>0</v>
      </c>
      <c r="G236" s="362">
        <f>F236*C236</f>
        <v>0</v>
      </c>
      <c r="H236" s="492">
        <v>0</v>
      </c>
      <c r="I236" s="362">
        <f>H236*C236</f>
        <v>0</v>
      </c>
      <c r="J236" s="492">
        <v>0</v>
      </c>
      <c r="K236" s="362">
        <f>J236*C236</f>
        <v>0</v>
      </c>
      <c r="L236" s="492">
        <v>0</v>
      </c>
      <c r="M236" s="362">
        <f>L236*C236</f>
        <v>0</v>
      </c>
      <c r="N236" s="492">
        <v>0</v>
      </c>
      <c r="O236" s="362">
        <f>N236*C236</f>
        <v>0</v>
      </c>
      <c r="P236" s="492">
        <v>30</v>
      </c>
      <c r="Q236" s="362">
        <f>P236*C236</f>
        <v>450000</v>
      </c>
      <c r="R236" s="492">
        <v>30</v>
      </c>
      <c r="S236" s="362">
        <f>R236*C236</f>
        <v>450000</v>
      </c>
      <c r="T236" s="492">
        <v>30</v>
      </c>
      <c r="U236" s="362">
        <f>T236*C236</f>
        <v>450000</v>
      </c>
      <c r="V236" s="492">
        <v>30</v>
      </c>
      <c r="W236" s="362">
        <f>V236*C236</f>
        <v>450000</v>
      </c>
      <c r="X236" s="492">
        <v>30</v>
      </c>
      <c r="Y236" s="362">
        <f>X236*C236</f>
        <v>450000</v>
      </c>
      <c r="Z236" s="492">
        <v>30</v>
      </c>
      <c r="AA236" s="362">
        <f>Z236*C236</f>
        <v>450000</v>
      </c>
      <c r="AB236" s="361"/>
      <c r="AC236" s="342"/>
      <c r="AD236" s="348"/>
    </row>
    <row r="237" spans="1:30" s="349" customFormat="1">
      <c r="A237" s="469"/>
      <c r="B237" s="359"/>
      <c r="C237" s="504"/>
      <c r="D237" s="359"/>
      <c r="E237" s="362"/>
      <c r="F237" s="359"/>
      <c r="G237" s="362"/>
      <c r="H237" s="492"/>
      <c r="I237" s="362"/>
      <c r="J237" s="492"/>
      <c r="K237" s="362"/>
      <c r="L237" s="492"/>
      <c r="M237" s="362"/>
      <c r="N237" s="492"/>
      <c r="O237" s="362"/>
      <c r="P237" s="492"/>
      <c r="Q237" s="362"/>
      <c r="R237" s="492"/>
      <c r="S237" s="362"/>
      <c r="T237" s="492"/>
      <c r="U237" s="362"/>
      <c r="V237" s="492"/>
      <c r="W237" s="362"/>
      <c r="X237" s="492"/>
      <c r="Y237" s="362"/>
      <c r="Z237" s="492"/>
      <c r="AA237" s="362"/>
      <c r="AB237" s="361"/>
      <c r="AC237" s="342"/>
      <c r="AD237" s="348"/>
    </row>
    <row r="238" spans="1:30" s="349" customFormat="1">
      <c r="A238" s="469"/>
      <c r="B238" s="359"/>
      <c r="C238" s="504"/>
      <c r="D238" s="359"/>
      <c r="E238" s="362"/>
      <c r="F238" s="359"/>
      <c r="G238" s="362"/>
      <c r="H238" s="492"/>
      <c r="I238" s="362"/>
      <c r="J238" s="492"/>
      <c r="K238" s="362"/>
      <c r="L238" s="492"/>
      <c r="M238" s="362"/>
      <c r="N238" s="492"/>
      <c r="O238" s="362"/>
      <c r="P238" s="492"/>
      <c r="Q238" s="362"/>
      <c r="R238" s="492"/>
      <c r="S238" s="362"/>
      <c r="T238" s="492"/>
      <c r="U238" s="362"/>
      <c r="V238" s="492"/>
      <c r="W238" s="362"/>
      <c r="X238" s="492"/>
      <c r="Y238" s="362"/>
      <c r="Z238" s="492"/>
      <c r="AA238" s="362"/>
      <c r="AB238" s="361"/>
      <c r="AC238" s="342"/>
      <c r="AD238" s="348"/>
    </row>
    <row r="239" spans="1:30" s="479" customFormat="1">
      <c r="A239" s="474"/>
      <c r="B239" s="474"/>
      <c r="C239" s="505"/>
      <c r="D239" s="474">
        <v>7.0000000000000007E-2</v>
      </c>
      <c r="E239" s="475">
        <f>E236</f>
        <v>0</v>
      </c>
      <c r="F239" s="474">
        <v>7.0000000000000007E-2</v>
      </c>
      <c r="G239" s="475">
        <f>G236</f>
        <v>0</v>
      </c>
      <c r="H239" s="515">
        <v>7.0000000000000007E-2</v>
      </c>
      <c r="I239" s="475">
        <f>I236</f>
        <v>0</v>
      </c>
      <c r="J239" s="515">
        <v>7.0000000000000007E-2</v>
      </c>
      <c r="K239" s="475">
        <f>K236</f>
        <v>0</v>
      </c>
      <c r="L239" s="515">
        <v>7.0000000000000007E-2</v>
      </c>
      <c r="M239" s="475">
        <f>M236</f>
        <v>0</v>
      </c>
      <c r="N239" s="515">
        <v>7.0000000000000007E-2</v>
      </c>
      <c r="O239" s="475">
        <f>O236</f>
        <v>0</v>
      </c>
      <c r="P239" s="515">
        <v>7.0000000000000007E-2</v>
      </c>
      <c r="Q239" s="475">
        <f>Q236</f>
        <v>450000</v>
      </c>
      <c r="R239" s="515">
        <v>7.0000000000000007E-2</v>
      </c>
      <c r="S239" s="475">
        <f>S236</f>
        <v>450000</v>
      </c>
      <c r="T239" s="515">
        <v>7.0000000000000007E-2</v>
      </c>
      <c r="U239" s="475">
        <f>U236</f>
        <v>450000</v>
      </c>
      <c r="V239" s="515">
        <v>7.0000000000000007E-2</v>
      </c>
      <c r="W239" s="475">
        <f>W236</f>
        <v>450000</v>
      </c>
      <c r="X239" s="515">
        <v>7.0000000000000007E-2</v>
      </c>
      <c r="Y239" s="475">
        <f>Y236</f>
        <v>450000</v>
      </c>
      <c r="Z239" s="515">
        <v>7.0000000000000007E-2</v>
      </c>
      <c r="AA239" s="475">
        <f>AA236</f>
        <v>450000</v>
      </c>
      <c r="AB239" s="476"/>
      <c r="AC239" s="477"/>
      <c r="AD239" s="478"/>
    </row>
    <row r="240" spans="1:30" s="485" customFormat="1">
      <c r="A240" s="480"/>
      <c r="B240" s="480"/>
      <c r="C240" s="507"/>
      <c r="D240" s="480"/>
      <c r="E240" s="481">
        <f>E239*D239</f>
        <v>0</v>
      </c>
      <c r="F240" s="480"/>
      <c r="G240" s="482">
        <f>G239*F239</f>
        <v>0</v>
      </c>
      <c r="H240" s="516"/>
      <c r="I240" s="481">
        <f>I239*H239</f>
        <v>0</v>
      </c>
      <c r="J240" s="516"/>
      <c r="K240" s="481">
        <f>K239*J239</f>
        <v>0</v>
      </c>
      <c r="L240" s="516"/>
      <c r="M240" s="481">
        <f>M239*L239</f>
        <v>0</v>
      </c>
      <c r="N240" s="516"/>
      <c r="O240" s="481">
        <f>O239*N239</f>
        <v>0</v>
      </c>
      <c r="P240" s="516"/>
      <c r="Q240" s="481">
        <f>Q239*P239</f>
        <v>31500.000000000004</v>
      </c>
      <c r="R240" s="516"/>
      <c r="S240" s="481">
        <f>S239*R239</f>
        <v>31500.000000000004</v>
      </c>
      <c r="T240" s="516"/>
      <c r="U240" s="481">
        <f>U239*T239</f>
        <v>31500.000000000004</v>
      </c>
      <c r="V240" s="516"/>
      <c r="W240" s="481">
        <f>W239*V239</f>
        <v>31500.000000000004</v>
      </c>
      <c r="X240" s="516"/>
      <c r="Y240" s="481">
        <f>Y239*X239</f>
        <v>31500.000000000004</v>
      </c>
      <c r="Z240" s="516"/>
      <c r="AA240" s="481">
        <f>AA239*Z239</f>
        <v>31500.000000000004</v>
      </c>
      <c r="AB240" s="481">
        <f>SUM(AA240,Y240,W240,U240,S240,Q240,O240,M240,K240,I240,G240,E240)</f>
        <v>189000.00000000003</v>
      </c>
      <c r="AC240" s="483"/>
      <c r="AD240" s="484"/>
    </row>
    <row r="241" spans="1:30" s="349" customFormat="1" ht="14.6">
      <c r="A241" s="514" t="s">
        <v>252</v>
      </c>
      <c r="B241" s="359"/>
      <c r="C241" s="504"/>
      <c r="D241" s="359"/>
      <c r="E241" s="472"/>
      <c r="F241" s="359"/>
      <c r="G241" s="471"/>
      <c r="H241" s="492"/>
      <c r="I241" s="472"/>
      <c r="J241" s="492"/>
      <c r="K241" s="472"/>
      <c r="L241" s="492"/>
      <c r="M241" s="472"/>
      <c r="N241" s="492"/>
      <c r="O241" s="472"/>
      <c r="P241" s="492"/>
      <c r="Q241" s="472"/>
      <c r="R241" s="492"/>
      <c r="S241" s="472"/>
      <c r="T241" s="492"/>
      <c r="U241" s="472"/>
      <c r="V241" s="492"/>
      <c r="W241" s="472"/>
      <c r="X241" s="492"/>
      <c r="Y241" s="472"/>
      <c r="Z241" s="492"/>
      <c r="AA241" s="472"/>
      <c r="AB241" s="472"/>
      <c r="AC241" s="342"/>
      <c r="AD241" s="473"/>
    </row>
    <row r="242" spans="1:30" s="349" customFormat="1" ht="192.9">
      <c r="A242" s="469" t="s">
        <v>253</v>
      </c>
      <c r="B242" s="359"/>
      <c r="C242" s="504">
        <v>15000</v>
      </c>
      <c r="D242" s="359">
        <v>0</v>
      </c>
      <c r="E242" s="362">
        <f>D242*C242</f>
        <v>0</v>
      </c>
      <c r="F242" s="359">
        <v>0</v>
      </c>
      <c r="G242" s="362">
        <f>F242*C242</f>
        <v>0</v>
      </c>
      <c r="H242" s="492">
        <v>0</v>
      </c>
      <c r="I242" s="362">
        <f>H242*C242</f>
        <v>0</v>
      </c>
      <c r="J242" s="492">
        <v>0</v>
      </c>
      <c r="K242" s="362">
        <f>J242*C242</f>
        <v>0</v>
      </c>
      <c r="L242" s="492">
        <v>0</v>
      </c>
      <c r="M242" s="362">
        <f>L242*C242</f>
        <v>0</v>
      </c>
      <c r="N242" s="492">
        <v>0</v>
      </c>
      <c r="O242" s="362">
        <f>N242*C242</f>
        <v>0</v>
      </c>
      <c r="P242" s="492">
        <v>30</v>
      </c>
      <c r="Q242" s="362">
        <f>P242*C242</f>
        <v>450000</v>
      </c>
      <c r="R242" s="492">
        <v>30</v>
      </c>
      <c r="S242" s="362">
        <f>R242*C242</f>
        <v>450000</v>
      </c>
      <c r="T242" s="492">
        <v>30</v>
      </c>
      <c r="U242" s="362">
        <f>T242*C242</f>
        <v>450000</v>
      </c>
      <c r="V242" s="492">
        <v>30</v>
      </c>
      <c r="W242" s="362">
        <f>V242*C242</f>
        <v>450000</v>
      </c>
      <c r="X242" s="492">
        <v>30</v>
      </c>
      <c r="Y242" s="362">
        <f>X242*C242</f>
        <v>450000</v>
      </c>
      <c r="Z242" s="492">
        <v>30</v>
      </c>
      <c r="AA242" s="362">
        <f>Z242*C242</f>
        <v>450000</v>
      </c>
      <c r="AB242" s="361"/>
      <c r="AC242" s="342"/>
      <c r="AD242" s="348"/>
    </row>
    <row r="243" spans="1:30" s="349" customFormat="1">
      <c r="A243" s="469"/>
      <c r="B243" s="359"/>
      <c r="C243" s="504"/>
      <c r="D243" s="359"/>
      <c r="E243" s="362"/>
      <c r="F243" s="359"/>
      <c r="G243" s="362"/>
      <c r="H243" s="492"/>
      <c r="I243" s="362"/>
      <c r="J243" s="492"/>
      <c r="K243" s="362"/>
      <c r="L243" s="492"/>
      <c r="M243" s="362"/>
      <c r="N243" s="492"/>
      <c r="O243" s="362"/>
      <c r="P243" s="492"/>
      <c r="Q243" s="362"/>
      <c r="R243" s="492"/>
      <c r="S243" s="362"/>
      <c r="T243" s="492"/>
      <c r="U243" s="362"/>
      <c r="V243" s="492"/>
      <c r="W243" s="362"/>
      <c r="X243" s="492"/>
      <c r="Y243" s="362"/>
      <c r="Z243" s="492"/>
      <c r="AA243" s="362"/>
      <c r="AB243" s="361"/>
      <c r="AC243" s="342"/>
      <c r="AD243" s="348"/>
    </row>
    <row r="244" spans="1:30" s="479" customFormat="1">
      <c r="A244" s="474"/>
      <c r="B244" s="474"/>
      <c r="C244" s="505"/>
      <c r="D244" s="474">
        <v>7.0000000000000007E-2</v>
      </c>
      <c r="E244" s="475">
        <f>E242</f>
        <v>0</v>
      </c>
      <c r="F244" s="474">
        <v>7.0000000000000007E-2</v>
      </c>
      <c r="G244" s="475">
        <f>G242</f>
        <v>0</v>
      </c>
      <c r="H244" s="515">
        <v>7.0000000000000007E-2</v>
      </c>
      <c r="I244" s="475">
        <f>I242</f>
        <v>0</v>
      </c>
      <c r="J244" s="515">
        <v>7.0000000000000007E-2</v>
      </c>
      <c r="K244" s="475">
        <f>K242</f>
        <v>0</v>
      </c>
      <c r="L244" s="515">
        <v>7.0000000000000007E-2</v>
      </c>
      <c r="M244" s="475">
        <f>M242</f>
        <v>0</v>
      </c>
      <c r="N244" s="515">
        <v>7.0000000000000007E-2</v>
      </c>
      <c r="O244" s="475">
        <f>O242</f>
        <v>0</v>
      </c>
      <c r="P244" s="515">
        <v>7.0000000000000007E-2</v>
      </c>
      <c r="Q244" s="475">
        <f>Q242</f>
        <v>450000</v>
      </c>
      <c r="R244" s="515">
        <v>7.0000000000000007E-2</v>
      </c>
      <c r="S244" s="475">
        <f>S242</f>
        <v>450000</v>
      </c>
      <c r="T244" s="515">
        <v>7.0000000000000007E-2</v>
      </c>
      <c r="U244" s="475">
        <f>U242</f>
        <v>450000</v>
      </c>
      <c r="V244" s="515">
        <v>7.0000000000000007E-2</v>
      </c>
      <c r="W244" s="475">
        <f>W242</f>
        <v>450000</v>
      </c>
      <c r="X244" s="515">
        <v>7.0000000000000007E-2</v>
      </c>
      <c r="Y244" s="475">
        <f>Y242</f>
        <v>450000</v>
      </c>
      <c r="Z244" s="515">
        <v>7.0000000000000007E-2</v>
      </c>
      <c r="AA244" s="475">
        <f>AA242</f>
        <v>450000</v>
      </c>
      <c r="AB244" s="476"/>
      <c r="AC244" s="477"/>
      <c r="AD244" s="478"/>
    </row>
    <row r="245" spans="1:30" s="485" customFormat="1">
      <c r="A245" s="480"/>
      <c r="B245" s="480"/>
      <c r="C245" s="507"/>
      <c r="D245" s="480"/>
      <c r="E245" s="481">
        <f>E244*D244</f>
        <v>0</v>
      </c>
      <c r="F245" s="480"/>
      <c r="G245" s="482">
        <f>G244*F244</f>
        <v>0</v>
      </c>
      <c r="H245" s="516"/>
      <c r="I245" s="481">
        <f>I244*H244</f>
        <v>0</v>
      </c>
      <c r="J245" s="516"/>
      <c r="K245" s="481">
        <f>K244*J244</f>
        <v>0</v>
      </c>
      <c r="L245" s="516"/>
      <c r="M245" s="481">
        <f>M244*L244</f>
        <v>0</v>
      </c>
      <c r="N245" s="516"/>
      <c r="O245" s="481">
        <f>O244*N244</f>
        <v>0</v>
      </c>
      <c r="P245" s="516"/>
      <c r="Q245" s="481">
        <f>Q244*P244</f>
        <v>31500.000000000004</v>
      </c>
      <c r="R245" s="516"/>
      <c r="S245" s="481">
        <f>S244*R244</f>
        <v>31500.000000000004</v>
      </c>
      <c r="T245" s="516"/>
      <c r="U245" s="481">
        <f>U244*T244</f>
        <v>31500.000000000004</v>
      </c>
      <c r="V245" s="516"/>
      <c r="W245" s="481">
        <f>W244*V244</f>
        <v>31500.000000000004</v>
      </c>
      <c r="X245" s="516"/>
      <c r="Y245" s="481">
        <f>Y244*X244</f>
        <v>31500.000000000004</v>
      </c>
      <c r="Z245" s="516"/>
      <c r="AA245" s="481">
        <f>AA244*Z244</f>
        <v>31500.000000000004</v>
      </c>
      <c r="AB245" s="481">
        <f>SUM(AA245,Y245,W245,U245,S245,Q245,O245,M245,K245,I245,G245,E245)</f>
        <v>189000.00000000003</v>
      </c>
      <c r="AC245" s="483"/>
      <c r="AD245" s="484"/>
    </row>
    <row r="246" spans="1:30" s="349" customFormat="1" ht="14.6">
      <c r="A246" s="514" t="s">
        <v>241</v>
      </c>
      <c r="B246" s="359"/>
      <c r="C246" s="504"/>
      <c r="D246" s="359"/>
      <c r="E246" s="362"/>
      <c r="F246" s="359"/>
      <c r="G246" s="362"/>
      <c r="H246" s="492"/>
      <c r="I246" s="362"/>
      <c r="J246" s="492"/>
      <c r="K246" s="362"/>
      <c r="L246" s="492"/>
      <c r="M246" s="362"/>
      <c r="N246" s="492"/>
      <c r="O246" s="362"/>
      <c r="P246" s="492"/>
      <c r="Q246" s="362"/>
      <c r="R246" s="492"/>
      <c r="S246" s="362"/>
      <c r="T246" s="492"/>
      <c r="U246" s="362"/>
      <c r="V246" s="492"/>
      <c r="W246" s="362"/>
      <c r="X246" s="492"/>
      <c r="Y246" s="362"/>
      <c r="Z246" s="492"/>
      <c r="AA246" s="362"/>
      <c r="AB246" s="361"/>
      <c r="AC246" s="342"/>
      <c r="AD246" s="348"/>
    </row>
    <row r="247" spans="1:30" s="349" customFormat="1" ht="180">
      <c r="A247" s="469" t="s">
        <v>242</v>
      </c>
      <c r="B247" s="359"/>
      <c r="C247" s="504">
        <v>4000</v>
      </c>
      <c r="D247" s="359">
        <v>0</v>
      </c>
      <c r="E247" s="362">
        <f>D247*C247</f>
        <v>0</v>
      </c>
      <c r="F247" s="359">
        <v>0</v>
      </c>
      <c r="G247" s="362">
        <f>F247*C247</f>
        <v>0</v>
      </c>
      <c r="H247" s="492">
        <v>0</v>
      </c>
      <c r="I247" s="362">
        <f>H247*C247</f>
        <v>0</v>
      </c>
      <c r="J247" s="492">
        <v>0</v>
      </c>
      <c r="K247" s="362">
        <f>J247*C247</f>
        <v>0</v>
      </c>
      <c r="L247" s="492">
        <v>0</v>
      </c>
      <c r="M247" s="362">
        <f>L247*C247</f>
        <v>0</v>
      </c>
      <c r="N247" s="492">
        <v>0</v>
      </c>
      <c r="O247" s="362">
        <f>N247*C247</f>
        <v>0</v>
      </c>
      <c r="P247" s="492">
        <v>30</v>
      </c>
      <c r="Q247" s="362">
        <f>P247*C247</f>
        <v>120000</v>
      </c>
      <c r="R247" s="492">
        <v>30</v>
      </c>
      <c r="S247" s="362">
        <f>R247*C247</f>
        <v>120000</v>
      </c>
      <c r="T247" s="492">
        <v>30</v>
      </c>
      <c r="U247" s="362">
        <f>T247*C247</f>
        <v>120000</v>
      </c>
      <c r="V247" s="492">
        <v>30</v>
      </c>
      <c r="W247" s="362">
        <f>V247*C247</f>
        <v>120000</v>
      </c>
      <c r="X247" s="492">
        <v>30</v>
      </c>
      <c r="Y247" s="362">
        <f>X247*C247</f>
        <v>120000</v>
      </c>
      <c r="Z247" s="492">
        <v>30</v>
      </c>
      <c r="AA247" s="362">
        <f>Z247*C247</f>
        <v>120000</v>
      </c>
      <c r="AB247" s="361"/>
      <c r="AC247" s="342"/>
      <c r="AD247" s="348"/>
    </row>
    <row r="248" spans="1:30" s="349" customFormat="1">
      <c r="A248" s="469"/>
      <c r="B248" s="359"/>
      <c r="C248" s="504"/>
      <c r="D248" s="359"/>
      <c r="E248" s="362"/>
      <c r="F248" s="359"/>
      <c r="G248" s="362"/>
      <c r="H248" s="492"/>
      <c r="I248" s="362"/>
      <c r="J248" s="492"/>
      <c r="K248" s="362"/>
      <c r="L248" s="492"/>
      <c r="M248" s="362"/>
      <c r="N248" s="492"/>
      <c r="O248" s="362"/>
      <c r="P248" s="492"/>
      <c r="Q248" s="362"/>
      <c r="R248" s="492"/>
      <c r="S248" s="362"/>
      <c r="T248" s="492"/>
      <c r="U248" s="362"/>
      <c r="V248" s="492"/>
      <c r="W248" s="362"/>
      <c r="X248" s="492"/>
      <c r="Y248" s="362"/>
      <c r="Z248" s="492"/>
      <c r="AA248" s="362"/>
      <c r="AB248" s="361"/>
      <c r="AC248" s="342"/>
      <c r="AD248" s="348"/>
    </row>
    <row r="249" spans="1:30" s="479" customFormat="1">
      <c r="A249" s="474"/>
      <c r="B249" s="474"/>
      <c r="C249" s="505"/>
      <c r="D249" s="474">
        <v>7.0000000000000007E-2</v>
      </c>
      <c r="E249" s="475">
        <f>E247</f>
        <v>0</v>
      </c>
      <c r="F249" s="474">
        <v>7.0000000000000007E-2</v>
      </c>
      <c r="G249" s="475">
        <f>G247</f>
        <v>0</v>
      </c>
      <c r="H249" s="515">
        <v>7.0000000000000007E-2</v>
      </c>
      <c r="I249" s="475">
        <f>I247</f>
        <v>0</v>
      </c>
      <c r="J249" s="515">
        <v>7.0000000000000007E-2</v>
      </c>
      <c r="K249" s="475">
        <f>K247</f>
        <v>0</v>
      </c>
      <c r="L249" s="515">
        <v>7.0000000000000007E-2</v>
      </c>
      <c r="M249" s="475">
        <f>M247</f>
        <v>0</v>
      </c>
      <c r="N249" s="515">
        <v>7.0000000000000007E-2</v>
      </c>
      <c r="O249" s="475">
        <f>O247</f>
        <v>0</v>
      </c>
      <c r="P249" s="515">
        <v>7.0000000000000007E-2</v>
      </c>
      <c r="Q249" s="475">
        <f>Q247</f>
        <v>120000</v>
      </c>
      <c r="R249" s="515">
        <v>7.0000000000000007E-2</v>
      </c>
      <c r="S249" s="475">
        <f>S247</f>
        <v>120000</v>
      </c>
      <c r="T249" s="515">
        <v>7.0000000000000007E-2</v>
      </c>
      <c r="U249" s="475">
        <f>U247</f>
        <v>120000</v>
      </c>
      <c r="V249" s="515">
        <v>7.0000000000000007E-2</v>
      </c>
      <c r="W249" s="475">
        <f>W247</f>
        <v>120000</v>
      </c>
      <c r="X249" s="515">
        <v>7.0000000000000007E-2</v>
      </c>
      <c r="Y249" s="475">
        <f>Y247</f>
        <v>120000</v>
      </c>
      <c r="Z249" s="515">
        <v>7.0000000000000007E-2</v>
      </c>
      <c r="AA249" s="475">
        <f>AA247</f>
        <v>120000</v>
      </c>
      <c r="AB249" s="476"/>
      <c r="AC249" s="477"/>
      <c r="AD249" s="478"/>
    </row>
    <row r="250" spans="1:30" s="485" customFormat="1">
      <c r="A250" s="480"/>
      <c r="B250" s="480"/>
      <c r="C250" s="507"/>
      <c r="D250" s="480"/>
      <c r="E250" s="481">
        <f>E249*D249</f>
        <v>0</v>
      </c>
      <c r="F250" s="480"/>
      <c r="G250" s="482">
        <f>G249*F249</f>
        <v>0</v>
      </c>
      <c r="H250" s="516"/>
      <c r="I250" s="481">
        <f>I249*H249</f>
        <v>0</v>
      </c>
      <c r="J250" s="516"/>
      <c r="K250" s="481">
        <f>K249*J249</f>
        <v>0</v>
      </c>
      <c r="L250" s="516"/>
      <c r="M250" s="481">
        <f>M249*L249</f>
        <v>0</v>
      </c>
      <c r="N250" s="516"/>
      <c r="O250" s="481">
        <f>O249*N249</f>
        <v>0</v>
      </c>
      <c r="P250" s="516"/>
      <c r="Q250" s="481">
        <f>Q249*P249</f>
        <v>8400</v>
      </c>
      <c r="R250" s="516"/>
      <c r="S250" s="481">
        <f>S249*R249</f>
        <v>8400</v>
      </c>
      <c r="T250" s="516"/>
      <c r="U250" s="481">
        <f>U249*T249</f>
        <v>8400</v>
      </c>
      <c r="V250" s="516"/>
      <c r="W250" s="481">
        <f>W249*V249</f>
        <v>8400</v>
      </c>
      <c r="X250" s="516"/>
      <c r="Y250" s="481">
        <f>Y249*X249</f>
        <v>8400</v>
      </c>
      <c r="Z250" s="516"/>
      <c r="AA250" s="481">
        <f>AA249*Z249</f>
        <v>8400</v>
      </c>
      <c r="AB250" s="481">
        <f>SUM(AA250,Y250,W250,U250,S250,Q250,O250,M250,K250,I250,G250,E250)</f>
        <v>50400</v>
      </c>
      <c r="AC250" s="483"/>
      <c r="AD250" s="484"/>
    </row>
    <row r="251" spans="1:30" s="349" customFormat="1">
      <c r="A251" s="364"/>
      <c r="B251" s="359"/>
      <c r="C251" s="504"/>
      <c r="D251" s="359"/>
      <c r="E251" s="472"/>
      <c r="F251" s="359"/>
      <c r="G251" s="471"/>
      <c r="H251" s="492"/>
      <c r="I251" s="472"/>
      <c r="J251" s="492"/>
      <c r="K251" s="472"/>
      <c r="L251" s="492"/>
      <c r="M251" s="472"/>
      <c r="N251" s="492"/>
      <c r="O251" s="472"/>
      <c r="P251" s="492"/>
      <c r="Q251" s="472"/>
      <c r="R251" s="492"/>
      <c r="S251" s="472"/>
      <c r="T251" s="492"/>
      <c r="U251" s="472"/>
      <c r="V251" s="492"/>
      <c r="W251" s="472"/>
      <c r="X251" s="492"/>
      <c r="Y251" s="472"/>
      <c r="Z251" s="492"/>
      <c r="AA251" s="472"/>
      <c r="AB251" s="472"/>
      <c r="AC251" s="342"/>
      <c r="AD251" s="473"/>
    </row>
    <row r="252" spans="1:30" s="349" customFormat="1" ht="14.6">
      <c r="A252" s="514" t="s">
        <v>212</v>
      </c>
      <c r="B252" s="359"/>
      <c r="C252" s="504"/>
      <c r="D252" s="359"/>
      <c r="E252" s="362"/>
      <c r="F252" s="359"/>
      <c r="G252" s="362"/>
      <c r="H252" s="492"/>
      <c r="I252" s="362"/>
      <c r="J252" s="492"/>
      <c r="K252" s="362"/>
      <c r="L252" s="492"/>
      <c r="M252" s="362"/>
      <c r="N252" s="492"/>
      <c r="O252" s="362"/>
      <c r="P252" s="492"/>
      <c r="Q252" s="362"/>
      <c r="R252" s="492"/>
      <c r="S252" s="362"/>
      <c r="T252" s="492"/>
      <c r="U252" s="362"/>
      <c r="V252" s="492"/>
      <c r="W252" s="362"/>
      <c r="X252" s="492"/>
      <c r="Y252" s="362"/>
      <c r="Z252" s="492"/>
      <c r="AA252" s="362"/>
      <c r="AB252" s="361"/>
      <c r="AC252" s="342"/>
      <c r="AD252" s="348"/>
    </row>
    <row r="253" spans="1:30" s="349" customFormat="1" ht="90">
      <c r="A253" s="469" t="s">
        <v>243</v>
      </c>
      <c r="B253" s="359">
        <v>100</v>
      </c>
      <c r="C253" s="504">
        <v>12000</v>
      </c>
      <c r="D253" s="359">
        <v>0</v>
      </c>
      <c r="E253" s="362">
        <f>D253*C253</f>
        <v>0</v>
      </c>
      <c r="F253" s="359">
        <v>0</v>
      </c>
      <c r="G253" s="362">
        <f>F253*C253</f>
        <v>0</v>
      </c>
      <c r="H253" s="492">
        <v>0</v>
      </c>
      <c r="I253" s="362">
        <f>H253*C253</f>
        <v>0</v>
      </c>
      <c r="J253" s="492">
        <v>0</v>
      </c>
      <c r="K253" s="362">
        <f>J253*C253</f>
        <v>0</v>
      </c>
      <c r="L253" s="492">
        <v>0</v>
      </c>
      <c r="M253" s="362">
        <f>L253*C253</f>
        <v>0</v>
      </c>
      <c r="N253" s="492">
        <v>0</v>
      </c>
      <c r="O253" s="362">
        <f>N253*C253</f>
        <v>0</v>
      </c>
      <c r="P253" s="492">
        <v>5</v>
      </c>
      <c r="Q253" s="362">
        <f>P253*C253</f>
        <v>60000</v>
      </c>
      <c r="R253" s="492">
        <v>5</v>
      </c>
      <c r="S253" s="362">
        <f>R253*C253</f>
        <v>60000</v>
      </c>
      <c r="T253" s="492">
        <v>5</v>
      </c>
      <c r="U253" s="362">
        <f>T253*C253</f>
        <v>60000</v>
      </c>
      <c r="V253" s="492">
        <v>5</v>
      </c>
      <c r="W253" s="362">
        <f>V253*C253</f>
        <v>60000</v>
      </c>
      <c r="X253" s="492">
        <v>5</v>
      </c>
      <c r="Y253" s="362">
        <f>X253*C253</f>
        <v>60000</v>
      </c>
      <c r="Z253" s="492">
        <v>5</v>
      </c>
      <c r="AA253" s="362">
        <f>Z253*C253</f>
        <v>60000</v>
      </c>
      <c r="AB253" s="361"/>
      <c r="AC253" s="342"/>
      <c r="AD253" s="348"/>
    </row>
    <row r="254" spans="1:30" s="349" customFormat="1">
      <c r="A254" s="359"/>
      <c r="B254" s="359"/>
      <c r="C254" s="504"/>
      <c r="D254" s="359"/>
      <c r="E254" s="362"/>
      <c r="F254" s="359"/>
      <c r="G254" s="362"/>
      <c r="H254" s="492"/>
      <c r="I254" s="362"/>
      <c r="J254" s="492"/>
      <c r="K254" s="362"/>
      <c r="L254" s="492"/>
      <c r="M254" s="362"/>
      <c r="N254" s="492"/>
      <c r="O254" s="362"/>
      <c r="P254" s="492"/>
      <c r="Q254" s="362"/>
      <c r="R254" s="492"/>
      <c r="S254" s="362"/>
      <c r="T254" s="492"/>
      <c r="U254" s="362"/>
      <c r="V254" s="492"/>
      <c r="W254" s="362"/>
      <c r="X254" s="492"/>
      <c r="Y254" s="362"/>
      <c r="Z254" s="492"/>
      <c r="AA254" s="362"/>
      <c r="AB254" s="360"/>
      <c r="AC254" s="342"/>
      <c r="AD254" s="348"/>
    </row>
    <row r="255" spans="1:30" s="479" customFormat="1">
      <c r="A255" s="474"/>
      <c r="B255" s="474"/>
      <c r="C255" s="505"/>
      <c r="D255" s="474">
        <v>7.0000000000000007E-2</v>
      </c>
      <c r="E255" s="475">
        <f>E253</f>
        <v>0</v>
      </c>
      <c r="F255" s="474">
        <v>7.0000000000000007E-2</v>
      </c>
      <c r="G255" s="475">
        <f>G253</f>
        <v>0</v>
      </c>
      <c r="H255" s="515">
        <v>7.0000000000000007E-2</v>
      </c>
      <c r="I255" s="475">
        <f>I253</f>
        <v>0</v>
      </c>
      <c r="J255" s="515">
        <v>7.0000000000000007E-2</v>
      </c>
      <c r="K255" s="475">
        <f>K253</f>
        <v>0</v>
      </c>
      <c r="L255" s="515">
        <v>7.0000000000000007E-2</v>
      </c>
      <c r="M255" s="475">
        <f>M253</f>
        <v>0</v>
      </c>
      <c r="N255" s="515">
        <v>7.0000000000000007E-2</v>
      </c>
      <c r="O255" s="475">
        <f>O253</f>
        <v>0</v>
      </c>
      <c r="P255" s="515">
        <v>7.0000000000000007E-2</v>
      </c>
      <c r="Q255" s="475">
        <f>Q253</f>
        <v>60000</v>
      </c>
      <c r="R255" s="515">
        <v>7.0000000000000007E-2</v>
      </c>
      <c r="S255" s="475">
        <f>S253</f>
        <v>60000</v>
      </c>
      <c r="T255" s="515">
        <v>7.0000000000000007E-2</v>
      </c>
      <c r="U255" s="475">
        <f>U253</f>
        <v>60000</v>
      </c>
      <c r="V255" s="515">
        <v>7.0000000000000007E-2</v>
      </c>
      <c r="W255" s="475">
        <f>W253</f>
        <v>60000</v>
      </c>
      <c r="X255" s="515">
        <v>7.0000000000000007E-2</v>
      </c>
      <c r="Y255" s="475">
        <f>Y253</f>
        <v>60000</v>
      </c>
      <c r="Z255" s="515">
        <v>7.0000000000000007E-2</v>
      </c>
      <c r="AA255" s="475">
        <f>AA253</f>
        <v>60000</v>
      </c>
      <c r="AB255" s="476"/>
      <c r="AC255" s="477"/>
      <c r="AD255" s="478"/>
    </row>
    <row r="256" spans="1:30" s="485" customFormat="1">
      <c r="A256" s="480"/>
      <c r="B256" s="480"/>
      <c r="C256" s="507"/>
      <c r="D256" s="480"/>
      <c r="E256" s="481">
        <f>E255*D255</f>
        <v>0</v>
      </c>
      <c r="F256" s="480"/>
      <c r="G256" s="482">
        <f>G255*F255</f>
        <v>0</v>
      </c>
      <c r="H256" s="516"/>
      <c r="I256" s="481">
        <f>I255*H255</f>
        <v>0</v>
      </c>
      <c r="J256" s="516"/>
      <c r="K256" s="481">
        <f>K255*J255</f>
        <v>0</v>
      </c>
      <c r="L256" s="516"/>
      <c r="M256" s="481">
        <f>M255*L255</f>
        <v>0</v>
      </c>
      <c r="N256" s="516"/>
      <c r="O256" s="481">
        <f>O255*N255</f>
        <v>0</v>
      </c>
      <c r="P256" s="516"/>
      <c r="Q256" s="481">
        <f>Q255*P255</f>
        <v>4200</v>
      </c>
      <c r="R256" s="516"/>
      <c r="S256" s="481">
        <f>S255*R255</f>
        <v>4200</v>
      </c>
      <c r="T256" s="516"/>
      <c r="U256" s="481">
        <f>U255*T255</f>
        <v>4200</v>
      </c>
      <c r="V256" s="516"/>
      <c r="W256" s="481">
        <f>W255*V255</f>
        <v>4200</v>
      </c>
      <c r="X256" s="516"/>
      <c r="Y256" s="481">
        <f>Y255*X255</f>
        <v>4200</v>
      </c>
      <c r="Z256" s="516"/>
      <c r="AA256" s="481">
        <f>AA255*Z255</f>
        <v>4200</v>
      </c>
      <c r="AB256" s="481">
        <f>SUM(AA256,Y256,W256,U256,S256,Q256,O256,M256,K256,I256,G256,E256)</f>
        <v>25200</v>
      </c>
      <c r="AC256" s="483"/>
      <c r="AD256" s="484"/>
    </row>
    <row r="257" spans="1:30" s="349" customFormat="1">
      <c r="A257" s="359"/>
      <c r="B257" s="359"/>
      <c r="C257" s="504"/>
      <c r="D257" s="359"/>
      <c r="E257" s="472"/>
      <c r="F257" s="359"/>
      <c r="G257" s="471"/>
      <c r="H257" s="492"/>
      <c r="I257" s="472"/>
      <c r="J257" s="492"/>
      <c r="K257" s="472"/>
      <c r="L257" s="492"/>
      <c r="M257" s="472"/>
      <c r="N257" s="492"/>
      <c r="O257" s="472"/>
      <c r="P257" s="492"/>
      <c r="Q257" s="472"/>
      <c r="R257" s="492"/>
      <c r="S257" s="472"/>
      <c r="T257" s="492"/>
      <c r="U257" s="472"/>
      <c r="V257" s="492"/>
      <c r="W257" s="472"/>
      <c r="X257" s="492"/>
      <c r="Y257" s="472"/>
      <c r="Z257" s="492"/>
      <c r="AA257" s="472"/>
      <c r="AB257" s="472"/>
      <c r="AC257" s="342"/>
      <c r="AD257" s="473"/>
    </row>
    <row r="258" spans="1:30" ht="14.6">
      <c r="A258" s="514" t="s">
        <v>244</v>
      </c>
      <c r="B258" s="359"/>
      <c r="C258" s="504"/>
      <c r="D258" s="359"/>
      <c r="E258" s="362"/>
      <c r="F258" s="359"/>
      <c r="G258" s="362"/>
      <c r="H258" s="492"/>
      <c r="I258" s="362"/>
      <c r="J258" s="492"/>
      <c r="K258" s="362"/>
      <c r="L258" s="492"/>
      <c r="M258" s="362"/>
      <c r="N258" s="492"/>
      <c r="O258" s="362"/>
      <c r="P258" s="492"/>
      <c r="Q258" s="362"/>
      <c r="R258" s="492"/>
      <c r="S258" s="362"/>
      <c r="T258" s="492"/>
      <c r="U258" s="362"/>
      <c r="V258" s="492"/>
      <c r="W258" s="362"/>
      <c r="X258" s="492"/>
      <c r="Y258" s="362"/>
      <c r="Z258" s="492"/>
      <c r="AA258" s="362"/>
      <c r="AB258" s="361"/>
      <c r="AD258" s="350"/>
    </row>
    <row r="259" spans="1:30" s="349" customFormat="1" ht="102.9">
      <c r="A259" s="469" t="s">
        <v>245</v>
      </c>
      <c r="B259" s="359"/>
      <c r="C259" s="504">
        <v>5000</v>
      </c>
      <c r="D259" s="359">
        <v>0</v>
      </c>
      <c r="E259" s="362">
        <f>D259*C259</f>
        <v>0</v>
      </c>
      <c r="F259" s="359">
        <v>0</v>
      </c>
      <c r="G259" s="362">
        <f>F259*C259</f>
        <v>0</v>
      </c>
      <c r="H259" s="492">
        <v>0</v>
      </c>
      <c r="I259" s="362">
        <f>H259*C259</f>
        <v>0</v>
      </c>
      <c r="J259" s="492">
        <v>0</v>
      </c>
      <c r="K259" s="362">
        <f>J259*C259</f>
        <v>0</v>
      </c>
      <c r="L259" s="492">
        <v>0</v>
      </c>
      <c r="M259" s="362">
        <f>L259*C259</f>
        <v>0</v>
      </c>
      <c r="N259" s="492">
        <v>0</v>
      </c>
      <c r="O259" s="362">
        <f>N259*C259</f>
        <v>0</v>
      </c>
      <c r="P259" s="492">
        <v>5</v>
      </c>
      <c r="Q259" s="362">
        <f>P259*C259</f>
        <v>25000</v>
      </c>
      <c r="R259" s="492">
        <v>5</v>
      </c>
      <c r="S259" s="362">
        <f>R259*C259</f>
        <v>25000</v>
      </c>
      <c r="T259" s="492">
        <v>5</v>
      </c>
      <c r="U259" s="362">
        <f>T259*C259</f>
        <v>25000</v>
      </c>
      <c r="V259" s="492">
        <v>5</v>
      </c>
      <c r="W259" s="362">
        <f>V259*C259</f>
        <v>25000</v>
      </c>
      <c r="X259" s="492">
        <v>5</v>
      </c>
      <c r="Y259" s="362">
        <f>X259*C259</f>
        <v>25000</v>
      </c>
      <c r="Z259" s="492">
        <v>5</v>
      </c>
      <c r="AA259" s="362">
        <f>Z259*C259</f>
        <v>25000</v>
      </c>
      <c r="AB259" s="361"/>
      <c r="AC259" s="342"/>
      <c r="AD259" s="348"/>
    </row>
    <row r="260" spans="1:30" s="349" customFormat="1">
      <c r="A260" s="359"/>
      <c r="B260" s="359"/>
      <c r="C260" s="504"/>
      <c r="D260" s="359"/>
      <c r="E260" s="362"/>
      <c r="F260" s="359"/>
      <c r="G260" s="362"/>
      <c r="H260" s="492"/>
      <c r="I260" s="362"/>
      <c r="J260" s="492"/>
      <c r="K260" s="362"/>
      <c r="L260" s="492"/>
      <c r="M260" s="362"/>
      <c r="N260" s="492"/>
      <c r="O260" s="362"/>
      <c r="P260" s="492"/>
      <c r="Q260" s="362"/>
      <c r="R260" s="492"/>
      <c r="S260" s="362"/>
      <c r="T260" s="492"/>
      <c r="U260" s="362"/>
      <c r="V260" s="492"/>
      <c r="W260" s="362"/>
      <c r="X260" s="492"/>
      <c r="Y260" s="362"/>
      <c r="Z260" s="492"/>
      <c r="AA260" s="362"/>
      <c r="AB260" s="360"/>
      <c r="AC260" s="342"/>
      <c r="AD260" s="348"/>
    </row>
    <row r="261" spans="1:30" s="479" customFormat="1">
      <c r="A261" s="474"/>
      <c r="B261" s="474"/>
      <c r="C261" s="505"/>
      <c r="D261" s="474">
        <v>7.0000000000000007E-2</v>
      </c>
      <c r="E261" s="475">
        <f>E259</f>
        <v>0</v>
      </c>
      <c r="F261" s="474">
        <v>7.0000000000000007E-2</v>
      </c>
      <c r="G261" s="475">
        <f>G259</f>
        <v>0</v>
      </c>
      <c r="H261" s="515">
        <v>7.0000000000000007E-2</v>
      </c>
      <c r="I261" s="475">
        <f>I259</f>
        <v>0</v>
      </c>
      <c r="J261" s="515">
        <v>7.0000000000000007E-2</v>
      </c>
      <c r="K261" s="475">
        <f>K259</f>
        <v>0</v>
      </c>
      <c r="L261" s="515">
        <v>7.0000000000000007E-2</v>
      </c>
      <c r="M261" s="475">
        <f>M259</f>
        <v>0</v>
      </c>
      <c r="N261" s="515">
        <v>7.0000000000000007E-2</v>
      </c>
      <c r="O261" s="475">
        <f>O259</f>
        <v>0</v>
      </c>
      <c r="P261" s="515">
        <v>7.0000000000000007E-2</v>
      </c>
      <c r="Q261" s="475">
        <f>Q259</f>
        <v>25000</v>
      </c>
      <c r="R261" s="515">
        <v>7.0000000000000007E-2</v>
      </c>
      <c r="S261" s="475">
        <f>S259</f>
        <v>25000</v>
      </c>
      <c r="T261" s="515">
        <v>7.0000000000000007E-2</v>
      </c>
      <c r="U261" s="475">
        <f>U259</f>
        <v>25000</v>
      </c>
      <c r="V261" s="515">
        <v>7.0000000000000007E-2</v>
      </c>
      <c r="W261" s="475">
        <f>W259</f>
        <v>25000</v>
      </c>
      <c r="X261" s="515">
        <v>7.0000000000000007E-2</v>
      </c>
      <c r="Y261" s="475">
        <f>Y259</f>
        <v>25000</v>
      </c>
      <c r="Z261" s="515">
        <v>7.0000000000000007E-2</v>
      </c>
      <c r="AA261" s="475">
        <f>AA259</f>
        <v>25000</v>
      </c>
      <c r="AB261" s="476"/>
      <c r="AC261" s="477"/>
      <c r="AD261" s="478"/>
    </row>
    <row r="262" spans="1:30" s="485" customFormat="1">
      <c r="A262" s="480"/>
      <c r="B262" s="480"/>
      <c r="C262" s="507"/>
      <c r="D262" s="480"/>
      <c r="E262" s="481">
        <f>E261*D261</f>
        <v>0</v>
      </c>
      <c r="F262" s="480"/>
      <c r="G262" s="482">
        <f>G261*F261</f>
        <v>0</v>
      </c>
      <c r="H262" s="516"/>
      <c r="I262" s="481">
        <f>I261*H261</f>
        <v>0</v>
      </c>
      <c r="J262" s="516"/>
      <c r="K262" s="481">
        <f>K261*J261</f>
        <v>0</v>
      </c>
      <c r="L262" s="516"/>
      <c r="M262" s="481">
        <f>M261*L261</f>
        <v>0</v>
      </c>
      <c r="N262" s="516"/>
      <c r="O262" s="481">
        <f>O261*N261</f>
        <v>0</v>
      </c>
      <c r="P262" s="516"/>
      <c r="Q262" s="481">
        <f>Q261*P261</f>
        <v>1750.0000000000002</v>
      </c>
      <c r="R262" s="516"/>
      <c r="S262" s="481">
        <f>S261*R261</f>
        <v>1750.0000000000002</v>
      </c>
      <c r="T262" s="516"/>
      <c r="U262" s="481">
        <f>U261*T261</f>
        <v>1750.0000000000002</v>
      </c>
      <c r="V262" s="516"/>
      <c r="W262" s="481">
        <f>W261*V261</f>
        <v>1750.0000000000002</v>
      </c>
      <c r="X262" s="516"/>
      <c r="Y262" s="481">
        <f>Y261*X261</f>
        <v>1750.0000000000002</v>
      </c>
      <c r="Z262" s="516"/>
      <c r="AA262" s="481">
        <f>AA261*Z261</f>
        <v>1750.0000000000002</v>
      </c>
      <c r="AB262" s="481">
        <f>SUM(AA262,Y262,W262,U262,S262,Q262,O262,M262,K262,I262,G262,E262)</f>
        <v>10500.000000000002</v>
      </c>
      <c r="AC262" s="483"/>
      <c r="AD262" s="484"/>
    </row>
    <row r="263" spans="1:30" s="349" customFormat="1">
      <c r="A263" s="364"/>
      <c r="B263" s="359"/>
      <c r="C263" s="504"/>
      <c r="D263" s="359"/>
      <c r="E263" s="472"/>
      <c r="F263" s="359"/>
      <c r="G263" s="471"/>
      <c r="H263" s="492"/>
      <c r="I263" s="472"/>
      <c r="J263" s="492"/>
      <c r="K263" s="472"/>
      <c r="L263" s="492"/>
      <c r="M263" s="472"/>
      <c r="N263" s="492"/>
      <c r="O263" s="472"/>
      <c r="P263" s="492"/>
      <c r="Q263" s="472"/>
      <c r="R263" s="492"/>
      <c r="S263" s="472"/>
      <c r="T263" s="492"/>
      <c r="U263" s="472"/>
      <c r="V263" s="492"/>
      <c r="W263" s="472"/>
      <c r="X263" s="492"/>
      <c r="Y263" s="472"/>
      <c r="Z263" s="492"/>
      <c r="AA263" s="472"/>
      <c r="AB263" s="472"/>
      <c r="AC263" s="342"/>
      <c r="AD263" s="473"/>
    </row>
    <row r="264" spans="1:30" s="349" customFormat="1" ht="14.6">
      <c r="A264" s="470" t="s">
        <v>254</v>
      </c>
      <c r="B264" s="359"/>
      <c r="C264" s="504"/>
      <c r="D264" s="359"/>
      <c r="E264" s="362"/>
      <c r="F264" s="359"/>
      <c r="G264" s="362"/>
      <c r="H264" s="492"/>
      <c r="I264" s="362"/>
      <c r="J264" s="492"/>
      <c r="K264" s="362"/>
      <c r="L264" s="492"/>
      <c r="M264" s="362"/>
      <c r="N264" s="492"/>
      <c r="O264" s="362"/>
      <c r="P264" s="492"/>
      <c r="Q264" s="362"/>
      <c r="R264" s="492"/>
      <c r="S264" s="362"/>
      <c r="T264" s="492"/>
      <c r="U264" s="362"/>
      <c r="V264" s="492"/>
      <c r="W264" s="362"/>
      <c r="X264" s="492"/>
      <c r="Y264" s="362"/>
      <c r="Z264" s="492"/>
      <c r="AA264" s="362"/>
      <c r="AB264" s="361"/>
      <c r="AC264" s="342"/>
      <c r="AD264" s="348"/>
    </row>
    <row r="265" spans="1:30" s="349" customFormat="1" ht="180">
      <c r="A265" s="469" t="s">
        <v>255</v>
      </c>
      <c r="B265" s="359"/>
      <c r="C265" s="504">
        <v>15000</v>
      </c>
      <c r="D265" s="359">
        <v>0</v>
      </c>
      <c r="E265" s="362">
        <f>D265*C265</f>
        <v>0</v>
      </c>
      <c r="F265" s="359">
        <v>0</v>
      </c>
      <c r="G265" s="362">
        <f>F265*C265</f>
        <v>0</v>
      </c>
      <c r="H265" s="492">
        <v>0</v>
      </c>
      <c r="I265" s="362">
        <f>H265*C265</f>
        <v>0</v>
      </c>
      <c r="J265" s="492">
        <v>0</v>
      </c>
      <c r="K265" s="362">
        <f>J265*C265</f>
        <v>0</v>
      </c>
      <c r="L265" s="492">
        <v>0</v>
      </c>
      <c r="M265" s="362">
        <f>L265*C265</f>
        <v>0</v>
      </c>
      <c r="N265" s="492">
        <v>0</v>
      </c>
      <c r="O265" s="362">
        <f>N265*C265</f>
        <v>0</v>
      </c>
      <c r="P265" s="492">
        <v>5</v>
      </c>
      <c r="Q265" s="362">
        <f>P265*C265</f>
        <v>75000</v>
      </c>
      <c r="R265" s="492">
        <v>5</v>
      </c>
      <c r="S265" s="362">
        <f>R265*C265</f>
        <v>75000</v>
      </c>
      <c r="T265" s="492">
        <v>5</v>
      </c>
      <c r="U265" s="362">
        <f>T265*C265</f>
        <v>75000</v>
      </c>
      <c r="V265" s="492">
        <v>5</v>
      </c>
      <c r="W265" s="362">
        <f>V265*C265</f>
        <v>75000</v>
      </c>
      <c r="X265" s="492">
        <v>5</v>
      </c>
      <c r="Y265" s="362">
        <f>X265*C265</f>
        <v>75000</v>
      </c>
      <c r="Z265" s="492">
        <v>5</v>
      </c>
      <c r="AA265" s="362">
        <f>Z265*C265</f>
        <v>75000</v>
      </c>
      <c r="AB265" s="361"/>
      <c r="AC265" s="342"/>
      <c r="AD265" s="348"/>
    </row>
    <row r="266" spans="1:30" s="349" customFormat="1">
      <c r="A266" s="359"/>
      <c r="B266" s="359"/>
      <c r="C266" s="504"/>
      <c r="D266" s="359"/>
      <c r="E266" s="362"/>
      <c r="F266" s="359"/>
      <c r="G266" s="362"/>
      <c r="H266" s="359"/>
      <c r="I266" s="362"/>
      <c r="J266" s="359"/>
      <c r="K266" s="362"/>
      <c r="L266" s="359"/>
      <c r="M266" s="362"/>
      <c r="N266" s="359"/>
      <c r="O266" s="362"/>
      <c r="P266" s="492"/>
      <c r="Q266" s="362"/>
      <c r="R266" s="492"/>
      <c r="S266" s="362"/>
      <c r="T266" s="492"/>
      <c r="U266" s="362"/>
      <c r="V266" s="492"/>
      <c r="W266" s="362"/>
      <c r="X266" s="492"/>
      <c r="Y266" s="362"/>
      <c r="Z266" s="492"/>
      <c r="AA266" s="362"/>
      <c r="AB266" s="360"/>
      <c r="AC266" s="342"/>
      <c r="AD266" s="348"/>
    </row>
    <row r="267" spans="1:30" s="479" customFormat="1">
      <c r="A267" s="474"/>
      <c r="B267" s="474"/>
      <c r="C267" s="505"/>
      <c r="D267" s="474">
        <v>7.0000000000000007E-2</v>
      </c>
      <c r="E267" s="475">
        <f>E265</f>
        <v>0</v>
      </c>
      <c r="F267" s="474">
        <v>7.0000000000000007E-2</v>
      </c>
      <c r="G267" s="475">
        <f>G265</f>
        <v>0</v>
      </c>
      <c r="H267" s="474">
        <v>7.0000000000000007E-2</v>
      </c>
      <c r="I267" s="475">
        <f>I265</f>
        <v>0</v>
      </c>
      <c r="J267" s="474">
        <v>7.0000000000000007E-2</v>
      </c>
      <c r="K267" s="475">
        <f>K265</f>
        <v>0</v>
      </c>
      <c r="L267" s="474">
        <v>7.0000000000000007E-2</v>
      </c>
      <c r="M267" s="475">
        <f>M265</f>
        <v>0</v>
      </c>
      <c r="N267" s="474">
        <v>7.0000000000000007E-2</v>
      </c>
      <c r="O267" s="475">
        <f>O265</f>
        <v>0</v>
      </c>
      <c r="P267" s="515">
        <v>7.0000000000000007E-2</v>
      </c>
      <c r="Q267" s="475">
        <f>Q265</f>
        <v>75000</v>
      </c>
      <c r="R267" s="515">
        <v>7.0000000000000007E-2</v>
      </c>
      <c r="S267" s="475">
        <f>S265</f>
        <v>75000</v>
      </c>
      <c r="T267" s="515">
        <v>7.0000000000000007E-2</v>
      </c>
      <c r="U267" s="475">
        <f>U265</f>
        <v>75000</v>
      </c>
      <c r="V267" s="515">
        <v>7.0000000000000007E-2</v>
      </c>
      <c r="W267" s="475">
        <f>W265</f>
        <v>75000</v>
      </c>
      <c r="X267" s="515">
        <v>7.0000000000000007E-2</v>
      </c>
      <c r="Y267" s="475">
        <f>SUM(Y221:Y222)</f>
        <v>481500</v>
      </c>
      <c r="Z267" s="515">
        <v>7.0000000000000007E-2</v>
      </c>
      <c r="AA267" s="475">
        <f>SUM(AA221:AA222)</f>
        <v>481500</v>
      </c>
      <c r="AB267" s="476"/>
      <c r="AC267" s="477"/>
      <c r="AD267" s="478"/>
    </row>
    <row r="268" spans="1:30" s="485" customFormat="1">
      <c r="A268" s="480"/>
      <c r="B268" s="480"/>
      <c r="C268" s="507"/>
      <c r="D268" s="480"/>
      <c r="E268" s="481">
        <f>E267*D267</f>
        <v>0</v>
      </c>
      <c r="F268" s="480"/>
      <c r="G268" s="482">
        <f>G267*F267</f>
        <v>0</v>
      </c>
      <c r="H268" s="480"/>
      <c r="I268" s="481">
        <f>I267*H267</f>
        <v>0</v>
      </c>
      <c r="J268" s="480"/>
      <c r="K268" s="481">
        <f>K267*J267</f>
        <v>0</v>
      </c>
      <c r="L268" s="480"/>
      <c r="M268" s="481">
        <f>M267*L267</f>
        <v>0</v>
      </c>
      <c r="N268" s="480"/>
      <c r="O268" s="481">
        <f>O267*N267</f>
        <v>0</v>
      </c>
      <c r="P268" s="480"/>
      <c r="Q268" s="481">
        <f>Q267*P267</f>
        <v>5250.0000000000009</v>
      </c>
      <c r="R268" s="480"/>
      <c r="S268" s="481">
        <f>S267*R267</f>
        <v>5250.0000000000009</v>
      </c>
      <c r="T268" s="516"/>
      <c r="U268" s="481">
        <f>U267*T267</f>
        <v>5250.0000000000009</v>
      </c>
      <c r="V268" s="516"/>
      <c r="W268" s="481">
        <f>W267*V267</f>
        <v>5250.0000000000009</v>
      </c>
      <c r="X268" s="516"/>
      <c r="Y268" s="481">
        <f>Y267*X267</f>
        <v>33705</v>
      </c>
      <c r="Z268" s="516"/>
      <c r="AA268" s="481">
        <f>AA267*Z267</f>
        <v>33705</v>
      </c>
      <c r="AB268" s="481">
        <f>SUM(AA268,Y268,W268,U268,S268,Q268,O268,M268,K268,I268,G268,E268)</f>
        <v>88410</v>
      </c>
      <c r="AC268" s="483"/>
      <c r="AD268" s="484"/>
    </row>
    <row r="269" spans="1:30" s="396" customFormat="1">
      <c r="A269" s="397" t="s">
        <v>213</v>
      </c>
      <c r="B269" s="397"/>
      <c r="C269" s="502"/>
      <c r="D269" s="397"/>
      <c r="E269" s="399"/>
      <c r="F269" s="397"/>
      <c r="G269" s="399"/>
      <c r="H269" s="397"/>
      <c r="I269" s="399"/>
      <c r="J269" s="397"/>
      <c r="K269" s="399"/>
      <c r="L269" s="397"/>
      <c r="M269" s="399"/>
      <c r="N269" s="397"/>
      <c r="O269" s="399"/>
      <c r="P269" s="397"/>
      <c r="Q269" s="399"/>
      <c r="R269" s="397"/>
      <c r="S269" s="399"/>
      <c r="T269" s="519"/>
      <c r="U269" s="399"/>
      <c r="V269" s="519"/>
      <c r="W269" s="399"/>
      <c r="X269" s="519"/>
      <c r="Y269" s="399"/>
      <c r="Z269" s="519"/>
      <c r="AA269" s="399"/>
      <c r="AB269" s="399"/>
      <c r="AC269" s="395"/>
    </row>
    <row r="270" spans="1:30">
      <c r="A270" s="379" t="s">
        <v>208</v>
      </c>
      <c r="B270" s="379"/>
      <c r="C270" s="508"/>
      <c r="D270" s="379"/>
      <c r="E270" s="378"/>
      <c r="F270" s="379"/>
      <c r="G270" s="378"/>
      <c r="H270" s="379"/>
      <c r="I270" s="378"/>
      <c r="J270" s="379"/>
      <c r="K270" s="378"/>
      <c r="L270" s="379"/>
      <c r="M270" s="378"/>
      <c r="N270" s="379"/>
      <c r="O270" s="378"/>
      <c r="P270" s="379"/>
      <c r="Q270" s="378"/>
      <c r="R270" s="379"/>
      <c r="S270" s="378"/>
      <c r="T270" s="520"/>
      <c r="U270" s="378"/>
      <c r="V270" s="520"/>
      <c r="W270" s="378"/>
      <c r="X270" s="520"/>
      <c r="Y270" s="378"/>
      <c r="Z270" s="520"/>
      <c r="AA270" s="378"/>
      <c r="AB270" s="378"/>
      <c r="AD270" s="350"/>
    </row>
    <row r="271" spans="1:30" s="396" customFormat="1">
      <c r="A271" s="397" t="s">
        <v>209</v>
      </c>
      <c r="B271" s="397"/>
      <c r="C271" s="502"/>
      <c r="D271" s="397"/>
      <c r="E271" s="399"/>
      <c r="F271" s="397"/>
      <c r="G271" s="399"/>
      <c r="H271" s="397"/>
      <c r="I271" s="399"/>
      <c r="J271" s="397"/>
      <c r="K271" s="399"/>
      <c r="L271" s="397"/>
      <c r="M271" s="399"/>
      <c r="N271" s="397"/>
      <c r="O271" s="399"/>
      <c r="P271" s="397"/>
      <c r="Q271" s="399"/>
      <c r="R271" s="397"/>
      <c r="S271" s="399"/>
      <c r="T271" s="519"/>
      <c r="U271" s="399"/>
      <c r="V271" s="519"/>
      <c r="W271" s="399"/>
      <c r="X271" s="519"/>
      <c r="Y271" s="399"/>
      <c r="Z271" s="519"/>
      <c r="AA271" s="399"/>
      <c r="AB271" s="399"/>
      <c r="AC271" s="395"/>
    </row>
    <row r="272" spans="1:30">
      <c r="A272" s="349"/>
      <c r="B272" s="349"/>
      <c r="C272" s="509"/>
      <c r="D272" s="349"/>
      <c r="E272" s="349"/>
      <c r="F272" s="349"/>
      <c r="G272" s="340"/>
      <c r="H272" s="349"/>
      <c r="I272" s="346"/>
      <c r="J272" s="349"/>
      <c r="K272" s="346"/>
      <c r="L272" s="349"/>
      <c r="M272" s="346"/>
      <c r="N272" s="349"/>
      <c r="O272" s="346"/>
      <c r="P272" s="349"/>
      <c r="Q272" s="346"/>
      <c r="R272" s="349"/>
      <c r="S272" s="346"/>
      <c r="T272" s="521"/>
      <c r="U272" s="346"/>
      <c r="V272" s="521"/>
      <c r="W272" s="346"/>
      <c r="X272" s="521"/>
      <c r="Y272" s="346"/>
      <c r="Z272" s="521"/>
      <c r="AA272" s="346"/>
      <c r="AB272" s="347"/>
      <c r="AD272" s="350"/>
    </row>
    <row r="273" spans="1:30">
      <c r="A273" s="349"/>
      <c r="B273" s="349"/>
      <c r="C273" s="509"/>
      <c r="D273" s="349"/>
      <c r="E273" s="344"/>
      <c r="F273" s="349"/>
      <c r="G273" s="317"/>
      <c r="H273" s="349"/>
      <c r="I273" s="318"/>
      <c r="J273" s="349"/>
      <c r="K273" s="318"/>
      <c r="L273" s="349"/>
      <c r="M273" s="318"/>
      <c r="N273" s="349"/>
      <c r="O273" s="318"/>
      <c r="P273" s="349"/>
      <c r="Q273" s="318"/>
      <c r="R273" s="349"/>
      <c r="S273" s="318"/>
      <c r="T273" s="521"/>
      <c r="U273" s="318"/>
      <c r="V273" s="521"/>
      <c r="W273" s="318"/>
      <c r="X273" s="521"/>
      <c r="Y273" s="318"/>
      <c r="Z273" s="521"/>
      <c r="AA273" s="318"/>
      <c r="AB273" s="338"/>
      <c r="AD273" s="350"/>
    </row>
    <row r="274" spans="1:30">
      <c r="A274" s="349"/>
      <c r="B274" s="349"/>
      <c r="C274" s="509"/>
      <c r="D274" s="349"/>
      <c r="E274" s="317"/>
      <c r="F274" s="349"/>
      <c r="G274" s="317"/>
      <c r="H274" s="349"/>
      <c r="I274" s="318"/>
      <c r="J274" s="349"/>
      <c r="K274" s="318"/>
      <c r="L274" s="349"/>
      <c r="M274" s="318"/>
      <c r="N274" s="349"/>
      <c r="O274" s="318"/>
      <c r="P274" s="349"/>
      <c r="Q274" s="318"/>
      <c r="R274" s="349"/>
      <c r="S274" s="318"/>
      <c r="T274" s="521"/>
      <c r="U274" s="318"/>
      <c r="V274" s="521"/>
      <c r="W274" s="318"/>
      <c r="X274" s="521"/>
      <c r="Y274" s="318"/>
      <c r="Z274" s="521"/>
      <c r="AA274" s="318"/>
      <c r="AB274" s="333"/>
      <c r="AD274" s="350"/>
    </row>
    <row r="275" spans="1:30" s="349" customFormat="1">
      <c r="A275" s="343"/>
      <c r="B275" s="343"/>
      <c r="C275" s="510"/>
      <c r="D275" s="343"/>
      <c r="E275" s="344"/>
      <c r="F275" s="343"/>
      <c r="G275" s="340"/>
      <c r="H275" s="343"/>
      <c r="I275" s="345"/>
      <c r="J275" s="343"/>
      <c r="K275" s="345"/>
      <c r="L275" s="343"/>
      <c r="M275" s="345"/>
      <c r="N275" s="343"/>
      <c r="O275" s="345"/>
      <c r="P275" s="343"/>
      <c r="Q275" s="345"/>
      <c r="R275" s="343"/>
      <c r="S275" s="345"/>
      <c r="T275" s="522"/>
      <c r="U275" s="345"/>
      <c r="V275" s="522"/>
      <c r="W275" s="345"/>
      <c r="X275" s="522"/>
      <c r="Y275" s="345"/>
      <c r="Z275" s="522"/>
      <c r="AA275" s="345"/>
      <c r="AB275" s="347"/>
      <c r="AC275" s="342"/>
      <c r="AD275" s="348"/>
    </row>
    <row r="276" spans="1:30" s="349" customFormat="1">
      <c r="A276" s="343"/>
      <c r="B276" s="343"/>
      <c r="C276" s="510"/>
      <c r="D276" s="343"/>
      <c r="E276" s="343"/>
      <c r="F276" s="343"/>
      <c r="G276" s="340"/>
      <c r="H276" s="343"/>
      <c r="I276" s="345"/>
      <c r="J276" s="343"/>
      <c r="K276" s="345"/>
      <c r="L276" s="343"/>
      <c r="M276" s="345"/>
      <c r="N276" s="343"/>
      <c r="O276" s="345"/>
      <c r="P276" s="343"/>
      <c r="Q276" s="345"/>
      <c r="R276" s="343"/>
      <c r="S276" s="345"/>
      <c r="T276" s="522"/>
      <c r="U276" s="345"/>
      <c r="V276" s="522"/>
      <c r="W276" s="345"/>
      <c r="X276" s="522"/>
      <c r="Y276" s="345"/>
      <c r="Z276" s="522"/>
      <c r="AA276" s="345"/>
      <c r="AB276" s="347"/>
      <c r="AC276" s="342"/>
      <c r="AD276" s="348"/>
    </row>
    <row r="277" spans="1:30">
      <c r="A277" s="349"/>
      <c r="B277" s="349"/>
      <c r="C277" s="509"/>
      <c r="D277" s="349"/>
      <c r="E277" s="349"/>
      <c r="F277" s="349"/>
      <c r="G277" s="340"/>
      <c r="H277" s="349"/>
      <c r="I277" s="345"/>
      <c r="J277" s="349"/>
      <c r="K277" s="345"/>
      <c r="L277" s="349"/>
      <c r="M277" s="345"/>
      <c r="N277" s="349"/>
      <c r="O277" s="345"/>
      <c r="P277" s="349"/>
      <c r="Q277" s="345"/>
      <c r="R277" s="349"/>
      <c r="S277" s="345"/>
      <c r="T277" s="521"/>
      <c r="U277" s="345"/>
      <c r="V277" s="521"/>
      <c r="W277" s="345"/>
      <c r="X277" s="521"/>
      <c r="Y277" s="345"/>
      <c r="Z277" s="521"/>
      <c r="AA277" s="345"/>
      <c r="AB277" s="347"/>
      <c r="AD277" s="350"/>
    </row>
    <row r="278" spans="1:30">
      <c r="A278" s="349"/>
      <c r="B278" s="349"/>
      <c r="C278" s="509"/>
      <c r="D278" s="349"/>
      <c r="E278" s="344"/>
      <c r="F278" s="349"/>
      <c r="G278" s="317"/>
      <c r="H278" s="349"/>
      <c r="I278" s="318"/>
      <c r="J278" s="349"/>
      <c r="K278" s="318"/>
      <c r="L278" s="349"/>
      <c r="M278" s="318"/>
      <c r="N278" s="349"/>
      <c r="O278" s="318"/>
      <c r="P278" s="349"/>
      <c r="Q278" s="318"/>
      <c r="R278" s="349"/>
      <c r="S278" s="318"/>
      <c r="T278" s="521"/>
      <c r="U278" s="318"/>
      <c r="V278" s="521"/>
      <c r="W278" s="318"/>
      <c r="X278" s="521"/>
      <c r="Y278" s="318"/>
      <c r="Z278" s="521"/>
      <c r="AA278" s="318"/>
      <c r="AB278" s="333"/>
      <c r="AD278" s="350"/>
    </row>
    <row r="279" spans="1:30" s="495" customFormat="1">
      <c r="A279" s="490"/>
      <c r="B279" s="490"/>
      <c r="C279" s="511"/>
      <c r="D279" s="490"/>
      <c r="E279" s="493">
        <f>SUM(E268,E262,E256,E250,E245,E240,E233,E228,E222,E216,E197,E183,E158,E133,E108,E83,E58,E33)</f>
        <v>0</v>
      </c>
      <c r="F279" s="490"/>
      <c r="G279" s="493">
        <f>SUM(G268,G262,G256,G250,G245,G240,G233,G228,G222,G216,G197,G183,G158,G133,G108,G83,G58,G33)</f>
        <v>0</v>
      </c>
      <c r="H279" s="490"/>
      <c r="I279" s="517">
        <f>SUM(I268,I262,I256,I250,I245,I240,I233,I228,I222,I216,I197,I183,I158,I133,I108,I83,I58,I33)</f>
        <v>0</v>
      </c>
      <c r="J279" s="490"/>
      <c r="K279" s="517">
        <f>SUM(K268,K262,K256,K250,K245,K240,K233,K228,K222,K216,K197,K183,K158,K133,K108,K83,K58,K33)</f>
        <v>0</v>
      </c>
      <c r="L279" s="490"/>
      <c r="M279" s="517">
        <f>SUM(M268,M262,M256,M250,M245,M240,M233,M228,M222,M216,M197,M183,M158,M133,M108,M83,M58,M33)</f>
        <v>0</v>
      </c>
      <c r="N279" s="490"/>
      <c r="O279" s="517">
        <f>SUM(O268,O262,O256,O250,O245,O240,O233,O228,O222,O216,O197,O183,O158,O133,O108,O83,O58,O33)</f>
        <v>0</v>
      </c>
      <c r="P279" s="490"/>
      <c r="Q279" s="517">
        <f>SUM(Q268,Q262,Q256,Q250,Q245,Q240,Q233,Q228,Q222,Q216,Q197,Q183,Q158,Q133,Q108,Q83,Q58,Q33)</f>
        <v>12587230</v>
      </c>
      <c r="R279" s="490"/>
      <c r="S279" s="517">
        <f>SUM(S268,S262,S256,S250,S245,S240,S233,S228,S222,S216,S197,S183,S158,S133,S108,S83,S58,S33)</f>
        <v>12587230</v>
      </c>
      <c r="T279" s="523"/>
      <c r="U279" s="517">
        <f>SUM(U268,U262,U256,U250,U245,U240,U233,U228,U222,U216,U197,U183,U158,U133,U108,U83,U58,U33)</f>
        <v>12587230</v>
      </c>
      <c r="V279" s="523"/>
      <c r="W279" s="517">
        <f>SUM(W268,W262,W256,W250,W245,W240,W233,W228,W222,W216,W197,W183,W158,W133,W108,W83,W58,W33)</f>
        <v>12587230</v>
      </c>
      <c r="X279" s="523"/>
      <c r="Y279" s="517">
        <f>SUM(Y268,Y262,Y256,Y250,Y245,Y240,Y233,Y228,Y222,Y216,Y197,Y183,Y158,Y133,Y108,Y83,Y58,Y33)</f>
        <v>12615685</v>
      </c>
      <c r="Z279" s="523"/>
      <c r="AA279" s="517">
        <f>SUM(AA268,AA262,AA256,AA250,AA245,AA240,AA233,AA228,AA222,AA216,AA197,AA183,AA158,AA133,AA108,AA83,AA58,AA33)</f>
        <v>12615685</v>
      </c>
      <c r="AB279" s="498">
        <f>SUM(AB158,AB133,AB108,AB83,AB58,AB33)</f>
        <v>67077780</v>
      </c>
      <c r="AC279" s="494"/>
    </row>
    <row r="280" spans="1:30" s="349" customFormat="1">
      <c r="A280" s="343"/>
      <c r="B280" s="343"/>
      <c r="C280" s="510"/>
      <c r="D280" s="343"/>
      <c r="E280" s="344"/>
      <c r="F280" s="343"/>
      <c r="G280" s="340"/>
      <c r="H280" s="343"/>
      <c r="I280" s="496"/>
      <c r="J280" s="343"/>
      <c r="K280" s="496"/>
      <c r="L280" s="343"/>
      <c r="M280" s="496"/>
      <c r="N280" s="343"/>
      <c r="O280" s="496"/>
      <c r="P280" s="343"/>
      <c r="Q280" s="496"/>
      <c r="R280" s="343"/>
      <c r="S280" s="496"/>
      <c r="T280" s="522"/>
      <c r="U280" s="496"/>
      <c r="V280" s="522"/>
      <c r="W280" s="496"/>
      <c r="X280" s="522"/>
      <c r="Y280" s="496"/>
      <c r="Z280" s="522"/>
      <c r="AA280" s="496"/>
      <c r="AB280" s="497"/>
      <c r="AC280" s="342"/>
      <c r="AD280" s="473"/>
    </row>
    <row r="281" spans="1:30" s="396" customFormat="1">
      <c r="A281" s="397"/>
      <c r="B281" s="397"/>
      <c r="C281" s="502"/>
      <c r="D281" s="397"/>
      <c r="E281" s="398"/>
      <c r="F281" s="397"/>
      <c r="G281" s="398"/>
      <c r="H281" s="397"/>
      <c r="I281" s="398"/>
      <c r="J281" s="397"/>
      <c r="K281" s="398"/>
      <c r="L281" s="397"/>
      <c r="M281" s="398"/>
      <c r="N281" s="397"/>
      <c r="O281" s="398"/>
      <c r="P281" s="397"/>
      <c r="Q281" s="398"/>
      <c r="R281" s="397"/>
      <c r="S281" s="398"/>
      <c r="T281" s="524"/>
      <c r="U281" s="398"/>
      <c r="V281" s="524"/>
      <c r="W281" s="398"/>
      <c r="X281" s="524"/>
      <c r="Y281" s="398"/>
      <c r="Z281" s="524"/>
      <c r="AA281" s="398"/>
      <c r="AB281" s="398"/>
      <c r="AC281" s="395"/>
    </row>
    <row r="282" spans="1:30" s="396" customFormat="1">
      <c r="A282" s="397"/>
      <c r="B282" s="397"/>
      <c r="C282" s="502"/>
      <c r="D282" s="397"/>
      <c r="E282" s="399"/>
      <c r="F282" s="397"/>
      <c r="G282" s="399"/>
      <c r="H282" s="397"/>
      <c r="I282" s="399"/>
      <c r="J282" s="397"/>
      <c r="K282" s="399"/>
      <c r="L282" s="397"/>
      <c r="M282" s="399"/>
      <c r="N282" s="397"/>
      <c r="O282" s="399"/>
      <c r="P282" s="397"/>
      <c r="Q282" s="399"/>
      <c r="R282" s="397"/>
      <c r="S282" s="399"/>
      <c r="T282" s="519"/>
      <c r="U282" s="399"/>
      <c r="V282" s="519"/>
      <c r="W282" s="399"/>
      <c r="X282" s="519"/>
      <c r="Y282" s="399"/>
      <c r="Z282" s="519"/>
      <c r="AA282" s="399"/>
      <c r="AB282" s="399"/>
      <c r="AC282" s="395"/>
    </row>
    <row r="283" spans="1:30" ht="24.75" customHeight="1">
      <c r="A283" s="381" t="s">
        <v>169</v>
      </c>
      <c r="B283" s="381"/>
      <c r="C283" s="499"/>
      <c r="D283" s="381"/>
      <c r="E283" s="376"/>
      <c r="F283" s="381"/>
      <c r="G283" s="376"/>
      <c r="H283" s="381"/>
      <c r="I283" s="376"/>
      <c r="J283" s="381"/>
      <c r="K283" s="376"/>
      <c r="L283" s="381"/>
      <c r="M283" s="376"/>
      <c r="N283" s="381"/>
      <c r="O283" s="376"/>
      <c r="P283" s="381"/>
      <c r="Q283" s="376"/>
      <c r="R283" s="381"/>
      <c r="S283" s="376"/>
      <c r="T283" s="525"/>
      <c r="U283" s="376"/>
      <c r="V283" s="525"/>
      <c r="W283" s="376"/>
      <c r="X283" s="525"/>
      <c r="Y283" s="376"/>
      <c r="Z283" s="525"/>
      <c r="AA283" s="376"/>
      <c r="AB283" s="376"/>
    </row>
    <row r="284" spans="1:30">
      <c r="A284" s="610" t="s">
        <v>115</v>
      </c>
      <c r="B284" s="466"/>
      <c r="C284" s="500"/>
      <c r="D284" s="466"/>
      <c r="E284" s="609">
        <v>44197</v>
      </c>
      <c r="F284" s="466"/>
      <c r="G284" s="605">
        <v>44228</v>
      </c>
      <c r="H284" s="466"/>
      <c r="I284" s="609">
        <v>44256</v>
      </c>
      <c r="J284" s="466"/>
      <c r="K284" s="605">
        <v>44287</v>
      </c>
      <c r="L284" s="466"/>
      <c r="M284" s="609">
        <v>44317</v>
      </c>
      <c r="N284" s="466"/>
      <c r="O284" s="605">
        <v>44348</v>
      </c>
      <c r="P284" s="466"/>
      <c r="Q284" s="609">
        <v>44378</v>
      </c>
      <c r="R284" s="466"/>
      <c r="S284" s="605">
        <v>44409</v>
      </c>
      <c r="T284" s="526"/>
      <c r="U284" s="609">
        <v>44440</v>
      </c>
      <c r="V284" s="526"/>
      <c r="W284" s="605">
        <v>44470</v>
      </c>
      <c r="X284" s="526"/>
      <c r="Y284" s="606">
        <v>44501</v>
      </c>
      <c r="Z284" s="526"/>
      <c r="AA284" s="605">
        <v>44531</v>
      </c>
      <c r="AB284" s="608" t="s">
        <v>112</v>
      </c>
    </row>
    <row r="285" spans="1:30">
      <c r="A285" s="610"/>
      <c r="B285" s="466"/>
      <c r="C285" s="500"/>
      <c r="D285" s="466"/>
      <c r="E285" s="609"/>
      <c r="F285" s="466"/>
      <c r="G285" s="605"/>
      <c r="H285" s="466"/>
      <c r="I285" s="609"/>
      <c r="J285" s="466"/>
      <c r="K285" s="605"/>
      <c r="L285" s="466"/>
      <c r="M285" s="609"/>
      <c r="N285" s="466"/>
      <c r="O285" s="605"/>
      <c r="P285" s="466"/>
      <c r="Q285" s="609"/>
      <c r="R285" s="466"/>
      <c r="S285" s="605"/>
      <c r="T285" s="527"/>
      <c r="U285" s="609"/>
      <c r="V285" s="527"/>
      <c r="W285" s="605"/>
      <c r="X285" s="527"/>
      <c r="Y285" s="607"/>
      <c r="Z285" s="527"/>
      <c r="AA285" s="605"/>
      <c r="AB285" s="608"/>
    </row>
    <row r="286" spans="1:30" ht="13.5" customHeight="1">
      <c r="A286" s="374"/>
      <c r="B286" s="374"/>
      <c r="C286" s="503"/>
      <c r="D286" s="374"/>
      <c r="E286" s="363"/>
      <c r="F286" s="374"/>
      <c r="G286" s="363"/>
      <c r="H286" s="374"/>
      <c r="I286" s="363"/>
      <c r="J286" s="374"/>
      <c r="K286" s="363"/>
      <c r="L286" s="374"/>
      <c r="M286" s="363"/>
      <c r="N286" s="374"/>
      <c r="O286" s="363"/>
      <c r="P286" s="374"/>
      <c r="Q286" s="363"/>
      <c r="R286" s="374"/>
      <c r="S286" s="363"/>
      <c r="T286" s="528"/>
      <c r="U286" s="363"/>
      <c r="V286" s="528"/>
      <c r="W286" s="363"/>
      <c r="X286" s="528"/>
      <c r="Y286" s="363"/>
      <c r="Z286" s="528"/>
      <c r="AA286" s="363"/>
      <c r="AB286" s="363"/>
    </row>
    <row r="287" spans="1:30" s="349" customFormat="1">
      <c r="A287" s="359"/>
      <c r="B287" s="359"/>
      <c r="C287" s="504"/>
      <c r="D287" s="359"/>
      <c r="E287" s="360"/>
      <c r="F287" s="359"/>
      <c r="G287" s="360"/>
      <c r="H287" s="359"/>
      <c r="I287" s="360"/>
      <c r="J287" s="359"/>
      <c r="K287" s="360"/>
      <c r="L287" s="359"/>
      <c r="M287" s="360"/>
      <c r="N287" s="359"/>
      <c r="O287" s="360"/>
      <c r="P287" s="359"/>
      <c r="Q287" s="360"/>
      <c r="R287" s="359"/>
      <c r="S287" s="360"/>
      <c r="T287" s="492"/>
      <c r="U287" s="360"/>
      <c r="V287" s="492"/>
      <c r="W287" s="360"/>
      <c r="X287" s="492"/>
      <c r="Y287" s="360"/>
      <c r="Z287" s="492"/>
      <c r="AA287" s="360"/>
      <c r="AB287" s="361"/>
      <c r="AC287" s="342"/>
      <c r="AD287" s="348"/>
    </row>
    <row r="288" spans="1:30" s="349" customFormat="1">
      <c r="A288" s="359"/>
      <c r="B288" s="359"/>
      <c r="C288" s="504"/>
      <c r="D288" s="359"/>
      <c r="E288" s="360"/>
      <c r="F288" s="359"/>
      <c r="G288" s="360"/>
      <c r="H288" s="359"/>
      <c r="I288" s="360"/>
      <c r="J288" s="359"/>
      <c r="K288" s="360"/>
      <c r="L288" s="359"/>
      <c r="M288" s="360"/>
      <c r="N288" s="359"/>
      <c r="O288" s="360"/>
      <c r="P288" s="359"/>
      <c r="Q288" s="360"/>
      <c r="R288" s="359"/>
      <c r="S288" s="360"/>
      <c r="T288" s="492"/>
      <c r="U288" s="360"/>
      <c r="V288" s="492"/>
      <c r="W288" s="360"/>
      <c r="X288" s="492"/>
      <c r="Y288" s="360"/>
      <c r="Z288" s="492"/>
      <c r="AA288" s="360"/>
      <c r="AB288" s="361"/>
      <c r="AC288" s="342"/>
      <c r="AD288" s="348"/>
    </row>
    <row r="289" spans="1:30" s="349" customFormat="1">
      <c r="A289" s="359"/>
      <c r="B289" s="359"/>
      <c r="C289" s="504"/>
      <c r="D289" s="359"/>
      <c r="E289" s="360"/>
      <c r="F289" s="359"/>
      <c r="G289" s="360"/>
      <c r="H289" s="359"/>
      <c r="I289" s="360"/>
      <c r="J289" s="359"/>
      <c r="K289" s="360"/>
      <c r="L289" s="359"/>
      <c r="M289" s="360"/>
      <c r="N289" s="359"/>
      <c r="O289" s="360"/>
      <c r="P289" s="359"/>
      <c r="Q289" s="360"/>
      <c r="R289" s="359"/>
      <c r="S289" s="360"/>
      <c r="T289" s="492"/>
      <c r="U289" s="360"/>
      <c r="V289" s="492"/>
      <c r="W289" s="360"/>
      <c r="X289" s="492"/>
      <c r="Y289" s="360"/>
      <c r="Z289" s="492"/>
      <c r="AA289" s="360"/>
      <c r="AB289" s="360"/>
      <c r="AC289" s="342"/>
      <c r="AD289" s="348"/>
    </row>
    <row r="290" spans="1:30" s="349" customFormat="1">
      <c r="A290" s="359"/>
      <c r="B290" s="359"/>
      <c r="C290" s="504"/>
      <c r="D290" s="359"/>
      <c r="E290" s="362"/>
      <c r="F290" s="359"/>
      <c r="G290" s="362"/>
      <c r="H290" s="359"/>
      <c r="I290" s="362"/>
      <c r="J290" s="359"/>
      <c r="K290" s="362"/>
      <c r="L290" s="359"/>
      <c r="M290" s="362"/>
      <c r="N290" s="359"/>
      <c r="O290" s="362"/>
      <c r="P290" s="359"/>
      <c r="Q290" s="362"/>
      <c r="R290" s="359"/>
      <c r="S290" s="362"/>
      <c r="T290" s="492"/>
      <c r="U290" s="362"/>
      <c r="V290" s="492"/>
      <c r="W290" s="362"/>
      <c r="X290" s="492"/>
      <c r="Y290" s="362"/>
      <c r="Z290" s="492"/>
      <c r="AA290" s="362"/>
      <c r="AB290" s="360"/>
      <c r="AC290" s="342"/>
      <c r="AD290" s="348"/>
    </row>
    <row r="291" spans="1:30">
      <c r="A291" s="374"/>
      <c r="B291" s="374"/>
      <c r="C291" s="503"/>
      <c r="D291" s="374"/>
      <c r="E291" s="363"/>
      <c r="F291" s="374"/>
      <c r="G291" s="363"/>
      <c r="H291" s="374"/>
      <c r="I291" s="363"/>
      <c r="J291" s="374"/>
      <c r="K291" s="363"/>
      <c r="L291" s="374"/>
      <c r="M291" s="363"/>
      <c r="N291" s="374"/>
      <c r="O291" s="363"/>
      <c r="P291" s="374"/>
      <c r="Q291" s="363"/>
      <c r="R291" s="374"/>
      <c r="S291" s="363"/>
      <c r="T291" s="528"/>
      <c r="U291" s="363"/>
      <c r="V291" s="528"/>
      <c r="W291" s="363"/>
      <c r="X291" s="528"/>
      <c r="Y291" s="363"/>
      <c r="Z291" s="528"/>
      <c r="AA291" s="363"/>
      <c r="AB291" s="363"/>
      <c r="AD291" s="350"/>
    </row>
    <row r="292" spans="1:30" s="349" customFormat="1">
      <c r="A292" s="359" t="s">
        <v>200</v>
      </c>
      <c r="B292" s="359">
        <v>26</v>
      </c>
      <c r="C292" s="504">
        <v>850</v>
      </c>
      <c r="D292" s="359">
        <v>170</v>
      </c>
      <c r="E292" s="362">
        <f>(B292*C292)*D292</f>
        <v>3757000</v>
      </c>
      <c r="F292" s="359">
        <v>170</v>
      </c>
      <c r="G292" s="362">
        <f>(B292*C292)*F292</f>
        <v>3757000</v>
      </c>
      <c r="H292" s="491">
        <v>170</v>
      </c>
      <c r="I292" s="362">
        <f>(B292*C292)*H292</f>
        <v>3757000</v>
      </c>
      <c r="J292" s="491">
        <v>170</v>
      </c>
      <c r="K292" s="362">
        <f>(B292*C292)*J292</f>
        <v>3757000</v>
      </c>
      <c r="L292" s="491">
        <v>170</v>
      </c>
      <c r="M292" s="362">
        <f>(B292*C292)*L292</f>
        <v>3757000</v>
      </c>
      <c r="N292" s="491">
        <v>170</v>
      </c>
      <c r="O292" s="362">
        <f>(B292*C292)*N292</f>
        <v>3757000</v>
      </c>
      <c r="P292" s="359">
        <v>300</v>
      </c>
      <c r="Q292" s="362">
        <f>(B292*C292)*P292</f>
        <v>6630000</v>
      </c>
      <c r="R292" s="359">
        <v>300</v>
      </c>
      <c r="S292" s="362">
        <f>(B292*C292)*R292</f>
        <v>6630000</v>
      </c>
      <c r="T292" s="492">
        <v>300</v>
      </c>
      <c r="U292" s="362">
        <f>(B292*C292)*T292</f>
        <v>6630000</v>
      </c>
      <c r="V292" s="492">
        <v>300</v>
      </c>
      <c r="W292" s="362">
        <f>(B292*C292)*V292</f>
        <v>6630000</v>
      </c>
      <c r="X292" s="492">
        <v>300</v>
      </c>
      <c r="Y292" s="362">
        <f>(B292*C292)*X292</f>
        <v>6630000</v>
      </c>
      <c r="Z292" s="492">
        <v>300</v>
      </c>
      <c r="AA292" s="362">
        <f>(B292*C292)*Z292</f>
        <v>6630000</v>
      </c>
      <c r="AB292" s="361"/>
      <c r="AC292" s="342"/>
      <c r="AD292" s="348"/>
    </row>
    <row r="293" spans="1:30" s="349" customFormat="1">
      <c r="A293" s="359" t="s">
        <v>200</v>
      </c>
      <c r="B293" s="359">
        <v>33</v>
      </c>
      <c r="C293" s="504">
        <v>850</v>
      </c>
      <c r="D293" s="359">
        <v>70</v>
      </c>
      <c r="E293" s="362">
        <f>(B293*C293)*D293</f>
        <v>1963500</v>
      </c>
      <c r="F293" s="359">
        <v>70</v>
      </c>
      <c r="G293" s="362">
        <f t="shared" ref="G293:G295" si="34">(B293*C293)*F293</f>
        <v>1963500</v>
      </c>
      <c r="H293" s="492">
        <v>70</v>
      </c>
      <c r="I293" s="362">
        <f t="shared" ref="I293:I295" si="35">(B293*C293)*H293</f>
        <v>1963500</v>
      </c>
      <c r="J293" s="492">
        <v>70</v>
      </c>
      <c r="K293" s="362">
        <f t="shared" ref="K293:K312" si="36">(B293*C293)*J293</f>
        <v>1963500</v>
      </c>
      <c r="L293" s="492">
        <v>70</v>
      </c>
      <c r="M293" s="362">
        <f t="shared" ref="M293:M312" si="37">(B293*C293)*L293</f>
        <v>1963500</v>
      </c>
      <c r="N293" s="492">
        <v>70</v>
      </c>
      <c r="O293" s="362">
        <f t="shared" ref="O293:O312" si="38">(B293*C293)*N293</f>
        <v>1963500</v>
      </c>
      <c r="P293" s="359">
        <v>140</v>
      </c>
      <c r="Q293" s="362">
        <f t="shared" ref="Q293:Q312" si="39">(B293*C293)*P293</f>
        <v>3927000</v>
      </c>
      <c r="R293" s="359">
        <v>140</v>
      </c>
      <c r="S293" s="362">
        <f t="shared" ref="S293:S312" si="40">(B293*C293)*R293</f>
        <v>3927000</v>
      </c>
      <c r="T293" s="492">
        <v>140</v>
      </c>
      <c r="U293" s="362">
        <f t="shared" ref="U293:U312" si="41">(B293*C293)*T293</f>
        <v>3927000</v>
      </c>
      <c r="V293" s="492">
        <v>140</v>
      </c>
      <c r="W293" s="362">
        <f t="shared" ref="W293:W312" si="42">(B293*C293)*V293</f>
        <v>3927000</v>
      </c>
      <c r="X293" s="492">
        <v>140</v>
      </c>
      <c r="Y293" s="362">
        <f t="shared" ref="Y293:Y312" si="43">(B293*C293)*X293</f>
        <v>3927000</v>
      </c>
      <c r="Z293" s="492">
        <v>140</v>
      </c>
      <c r="AA293" s="362">
        <f t="shared" ref="AA293:AA312" si="44">(B293*C293)*Z293</f>
        <v>3927000</v>
      </c>
      <c r="AB293" s="361"/>
      <c r="AC293" s="342"/>
      <c r="AD293" s="348"/>
    </row>
    <row r="294" spans="1:30" s="349" customFormat="1">
      <c r="A294" s="359" t="s">
        <v>200</v>
      </c>
      <c r="B294" s="359">
        <v>64</v>
      </c>
      <c r="C294" s="504">
        <v>850</v>
      </c>
      <c r="D294" s="359">
        <v>30</v>
      </c>
      <c r="E294" s="362">
        <f>(B294*C294)*D294</f>
        <v>1632000</v>
      </c>
      <c r="F294" s="359">
        <v>30</v>
      </c>
      <c r="G294" s="362">
        <f t="shared" si="34"/>
        <v>1632000</v>
      </c>
      <c r="H294" s="492">
        <v>30</v>
      </c>
      <c r="I294" s="362">
        <f t="shared" si="35"/>
        <v>1632000</v>
      </c>
      <c r="J294" s="492">
        <v>30</v>
      </c>
      <c r="K294" s="362">
        <f t="shared" si="36"/>
        <v>1632000</v>
      </c>
      <c r="L294" s="492">
        <v>30</v>
      </c>
      <c r="M294" s="362">
        <f t="shared" si="37"/>
        <v>1632000</v>
      </c>
      <c r="N294" s="492">
        <v>30</v>
      </c>
      <c r="O294" s="362">
        <f t="shared" si="38"/>
        <v>1632000</v>
      </c>
      <c r="P294" s="359">
        <v>60</v>
      </c>
      <c r="Q294" s="362">
        <f t="shared" si="39"/>
        <v>3264000</v>
      </c>
      <c r="R294" s="359">
        <v>60</v>
      </c>
      <c r="S294" s="362">
        <f t="shared" si="40"/>
        <v>3264000</v>
      </c>
      <c r="T294" s="492">
        <v>60</v>
      </c>
      <c r="U294" s="362">
        <f t="shared" si="41"/>
        <v>3264000</v>
      </c>
      <c r="V294" s="492">
        <v>60</v>
      </c>
      <c r="W294" s="362">
        <f t="shared" si="42"/>
        <v>3264000</v>
      </c>
      <c r="X294" s="492">
        <v>60</v>
      </c>
      <c r="Y294" s="362">
        <f t="shared" si="43"/>
        <v>3264000</v>
      </c>
      <c r="Z294" s="492">
        <v>60</v>
      </c>
      <c r="AA294" s="362">
        <f t="shared" si="44"/>
        <v>3264000</v>
      </c>
      <c r="AB294" s="361"/>
      <c r="AC294" s="342"/>
      <c r="AD294" s="348"/>
    </row>
    <row r="295" spans="1:30" s="349" customFormat="1">
      <c r="A295" s="359" t="s">
        <v>200</v>
      </c>
      <c r="B295" s="359">
        <v>100</v>
      </c>
      <c r="C295" s="504">
        <v>850</v>
      </c>
      <c r="D295" s="359">
        <v>7</v>
      </c>
      <c r="E295" s="362">
        <f>(B295*C295)*D295</f>
        <v>595000</v>
      </c>
      <c r="F295" s="359">
        <v>7</v>
      </c>
      <c r="G295" s="362">
        <f t="shared" si="34"/>
        <v>595000</v>
      </c>
      <c r="H295" s="492">
        <v>7</v>
      </c>
      <c r="I295" s="362">
        <f t="shared" si="35"/>
        <v>595000</v>
      </c>
      <c r="J295" s="492">
        <v>7</v>
      </c>
      <c r="K295" s="362">
        <f t="shared" si="36"/>
        <v>595000</v>
      </c>
      <c r="L295" s="492">
        <v>7</v>
      </c>
      <c r="M295" s="362">
        <f t="shared" si="37"/>
        <v>595000</v>
      </c>
      <c r="N295" s="492">
        <v>7</v>
      </c>
      <c r="O295" s="362">
        <f t="shared" si="38"/>
        <v>595000</v>
      </c>
      <c r="P295" s="359">
        <v>15</v>
      </c>
      <c r="Q295" s="362">
        <f t="shared" si="39"/>
        <v>1275000</v>
      </c>
      <c r="R295" s="359">
        <v>15</v>
      </c>
      <c r="S295" s="362">
        <f t="shared" si="40"/>
        <v>1275000</v>
      </c>
      <c r="T295" s="492">
        <v>15</v>
      </c>
      <c r="U295" s="362">
        <f t="shared" si="41"/>
        <v>1275000</v>
      </c>
      <c r="V295" s="492">
        <v>15</v>
      </c>
      <c r="W295" s="362">
        <f t="shared" si="42"/>
        <v>1275000</v>
      </c>
      <c r="X295" s="492">
        <v>15</v>
      </c>
      <c r="Y295" s="362">
        <f t="shared" si="43"/>
        <v>1275000</v>
      </c>
      <c r="Z295" s="492">
        <v>15</v>
      </c>
      <c r="AA295" s="362">
        <f t="shared" si="44"/>
        <v>1275000</v>
      </c>
      <c r="AB295" s="361"/>
      <c r="AC295" s="342"/>
      <c r="AD295" s="348"/>
    </row>
    <row r="296" spans="1:30" s="349" customFormat="1">
      <c r="A296" s="359"/>
      <c r="B296" s="359"/>
      <c r="C296" s="504"/>
      <c r="D296" s="359"/>
      <c r="E296" s="362"/>
      <c r="F296" s="359"/>
      <c r="G296" s="362"/>
      <c r="H296" s="492"/>
      <c r="I296" s="362"/>
      <c r="J296" s="492"/>
      <c r="K296" s="362">
        <f t="shared" si="36"/>
        <v>0</v>
      </c>
      <c r="L296" s="492"/>
      <c r="M296" s="362">
        <f t="shared" si="37"/>
        <v>0</v>
      </c>
      <c r="N296" s="492"/>
      <c r="O296" s="362">
        <f t="shared" si="38"/>
        <v>0</v>
      </c>
      <c r="P296" s="359"/>
      <c r="Q296" s="362">
        <f t="shared" si="39"/>
        <v>0</v>
      </c>
      <c r="R296" s="359"/>
      <c r="S296" s="362">
        <f t="shared" si="40"/>
        <v>0</v>
      </c>
      <c r="T296" s="492"/>
      <c r="U296" s="362">
        <f t="shared" si="41"/>
        <v>0</v>
      </c>
      <c r="V296" s="492"/>
      <c r="W296" s="362">
        <f t="shared" si="42"/>
        <v>0</v>
      </c>
      <c r="X296" s="492"/>
      <c r="Y296" s="362">
        <f t="shared" si="43"/>
        <v>0</v>
      </c>
      <c r="Z296" s="492"/>
      <c r="AA296" s="362">
        <f t="shared" si="44"/>
        <v>0</v>
      </c>
      <c r="AB296" s="361"/>
      <c r="AC296" s="342"/>
      <c r="AD296" s="348"/>
    </row>
    <row r="297" spans="1:30" s="349" customFormat="1">
      <c r="A297" s="359" t="s">
        <v>201</v>
      </c>
      <c r="B297" s="359">
        <v>150</v>
      </c>
      <c r="C297" s="504">
        <v>850</v>
      </c>
      <c r="D297" s="359">
        <v>170</v>
      </c>
      <c r="E297" s="362">
        <f>(B297*C297)*D297</f>
        <v>21675000</v>
      </c>
      <c r="F297" s="359">
        <v>170</v>
      </c>
      <c r="G297" s="362">
        <f t="shared" ref="G297:G300" si="45">(B297*C297)*F297</f>
        <v>21675000</v>
      </c>
      <c r="H297" s="492">
        <v>170</v>
      </c>
      <c r="I297" s="362">
        <f t="shared" ref="I297:I300" si="46">(B297*C297)*H297</f>
        <v>21675000</v>
      </c>
      <c r="J297" s="492">
        <v>170</v>
      </c>
      <c r="K297" s="362">
        <f t="shared" si="36"/>
        <v>21675000</v>
      </c>
      <c r="L297" s="492">
        <v>170</v>
      </c>
      <c r="M297" s="362">
        <f t="shared" si="37"/>
        <v>21675000</v>
      </c>
      <c r="N297" s="492">
        <v>170</v>
      </c>
      <c r="O297" s="362">
        <f t="shared" si="38"/>
        <v>21675000</v>
      </c>
      <c r="P297" s="359">
        <v>300</v>
      </c>
      <c r="Q297" s="362">
        <f t="shared" si="39"/>
        <v>38250000</v>
      </c>
      <c r="R297" s="359">
        <v>300</v>
      </c>
      <c r="S297" s="362">
        <f t="shared" si="40"/>
        <v>38250000</v>
      </c>
      <c r="T297" s="492">
        <v>300</v>
      </c>
      <c r="U297" s="362">
        <f t="shared" si="41"/>
        <v>38250000</v>
      </c>
      <c r="V297" s="492">
        <v>300</v>
      </c>
      <c r="W297" s="362">
        <f t="shared" si="42"/>
        <v>38250000</v>
      </c>
      <c r="X297" s="492">
        <v>300</v>
      </c>
      <c r="Y297" s="362">
        <f t="shared" si="43"/>
        <v>38250000</v>
      </c>
      <c r="Z297" s="492">
        <v>300</v>
      </c>
      <c r="AA297" s="362">
        <f t="shared" si="44"/>
        <v>38250000</v>
      </c>
      <c r="AB297" s="361"/>
      <c r="AC297" s="342"/>
      <c r="AD297" s="348"/>
    </row>
    <row r="298" spans="1:30" s="349" customFormat="1">
      <c r="A298" s="359" t="s">
        <v>201</v>
      </c>
      <c r="B298" s="359">
        <v>250</v>
      </c>
      <c r="C298" s="504">
        <v>850</v>
      </c>
      <c r="D298" s="359">
        <v>70</v>
      </c>
      <c r="E298" s="362">
        <f>(B298*C298)*D298</f>
        <v>14875000</v>
      </c>
      <c r="F298" s="359">
        <v>70</v>
      </c>
      <c r="G298" s="362">
        <f t="shared" si="45"/>
        <v>14875000</v>
      </c>
      <c r="H298" s="492">
        <v>70</v>
      </c>
      <c r="I298" s="362">
        <f t="shared" si="46"/>
        <v>14875000</v>
      </c>
      <c r="J298" s="492">
        <v>70</v>
      </c>
      <c r="K298" s="362">
        <f t="shared" si="36"/>
        <v>14875000</v>
      </c>
      <c r="L298" s="492">
        <v>70</v>
      </c>
      <c r="M298" s="362">
        <f t="shared" si="37"/>
        <v>14875000</v>
      </c>
      <c r="N298" s="492">
        <v>70</v>
      </c>
      <c r="O298" s="362">
        <f t="shared" si="38"/>
        <v>14875000</v>
      </c>
      <c r="P298" s="359">
        <v>140</v>
      </c>
      <c r="Q298" s="362">
        <f t="shared" si="39"/>
        <v>29750000</v>
      </c>
      <c r="R298" s="359">
        <v>140</v>
      </c>
      <c r="S298" s="362">
        <f t="shared" si="40"/>
        <v>29750000</v>
      </c>
      <c r="T298" s="492">
        <v>140</v>
      </c>
      <c r="U298" s="362">
        <f t="shared" si="41"/>
        <v>29750000</v>
      </c>
      <c r="V298" s="492">
        <v>140</v>
      </c>
      <c r="W298" s="362">
        <f t="shared" si="42"/>
        <v>29750000</v>
      </c>
      <c r="X298" s="492">
        <v>140</v>
      </c>
      <c r="Y298" s="362">
        <f t="shared" si="43"/>
        <v>29750000</v>
      </c>
      <c r="Z298" s="492">
        <v>140</v>
      </c>
      <c r="AA298" s="362">
        <f t="shared" si="44"/>
        <v>29750000</v>
      </c>
      <c r="AB298" s="361"/>
      <c r="AC298" s="342"/>
      <c r="AD298" s="348"/>
    </row>
    <row r="299" spans="1:30" s="349" customFormat="1">
      <c r="A299" s="359" t="s">
        <v>201</v>
      </c>
      <c r="B299" s="359">
        <v>350</v>
      </c>
      <c r="C299" s="504">
        <v>850</v>
      </c>
      <c r="D299" s="359">
        <v>30</v>
      </c>
      <c r="E299" s="362">
        <f>(B299*C299)*D299</f>
        <v>8925000</v>
      </c>
      <c r="F299" s="359">
        <v>30</v>
      </c>
      <c r="G299" s="362">
        <f t="shared" si="45"/>
        <v>8925000</v>
      </c>
      <c r="H299" s="492">
        <v>30</v>
      </c>
      <c r="I299" s="362">
        <f t="shared" si="46"/>
        <v>8925000</v>
      </c>
      <c r="J299" s="492">
        <v>30</v>
      </c>
      <c r="K299" s="362">
        <f t="shared" si="36"/>
        <v>8925000</v>
      </c>
      <c r="L299" s="492">
        <v>30</v>
      </c>
      <c r="M299" s="362">
        <f t="shared" si="37"/>
        <v>8925000</v>
      </c>
      <c r="N299" s="492">
        <v>30</v>
      </c>
      <c r="O299" s="362">
        <f t="shared" si="38"/>
        <v>8925000</v>
      </c>
      <c r="P299" s="359">
        <v>60</v>
      </c>
      <c r="Q299" s="362">
        <f t="shared" si="39"/>
        <v>17850000</v>
      </c>
      <c r="R299" s="359">
        <v>60</v>
      </c>
      <c r="S299" s="362">
        <f t="shared" si="40"/>
        <v>17850000</v>
      </c>
      <c r="T299" s="492">
        <v>60</v>
      </c>
      <c r="U299" s="362">
        <f t="shared" si="41"/>
        <v>17850000</v>
      </c>
      <c r="V299" s="492">
        <v>60</v>
      </c>
      <c r="W299" s="362">
        <f t="shared" si="42"/>
        <v>17850000</v>
      </c>
      <c r="X299" s="492">
        <v>60</v>
      </c>
      <c r="Y299" s="362">
        <f t="shared" si="43"/>
        <v>17850000</v>
      </c>
      <c r="Z299" s="492">
        <v>60</v>
      </c>
      <c r="AA299" s="362">
        <f t="shared" si="44"/>
        <v>17850000</v>
      </c>
      <c r="AB299" s="361"/>
      <c r="AC299" s="342"/>
      <c r="AD299" s="348"/>
    </row>
    <row r="300" spans="1:30" s="349" customFormat="1">
      <c r="A300" s="359" t="s">
        <v>201</v>
      </c>
      <c r="B300" s="359">
        <v>500</v>
      </c>
      <c r="C300" s="504">
        <v>850</v>
      </c>
      <c r="D300" s="359">
        <v>7</v>
      </c>
      <c r="E300" s="362">
        <f>(B300*C300)*D300</f>
        <v>2975000</v>
      </c>
      <c r="F300" s="359">
        <v>7</v>
      </c>
      <c r="G300" s="362">
        <f t="shared" si="45"/>
        <v>2975000</v>
      </c>
      <c r="H300" s="492">
        <v>7</v>
      </c>
      <c r="I300" s="362">
        <f t="shared" si="46"/>
        <v>2975000</v>
      </c>
      <c r="J300" s="492">
        <v>7</v>
      </c>
      <c r="K300" s="362">
        <f t="shared" si="36"/>
        <v>2975000</v>
      </c>
      <c r="L300" s="492">
        <v>7</v>
      </c>
      <c r="M300" s="362">
        <f t="shared" si="37"/>
        <v>2975000</v>
      </c>
      <c r="N300" s="492">
        <v>7</v>
      </c>
      <c r="O300" s="362">
        <f t="shared" si="38"/>
        <v>2975000</v>
      </c>
      <c r="P300" s="359">
        <v>15</v>
      </c>
      <c r="Q300" s="362">
        <f t="shared" si="39"/>
        <v>6375000</v>
      </c>
      <c r="R300" s="359">
        <v>15</v>
      </c>
      <c r="S300" s="362">
        <f t="shared" si="40"/>
        <v>6375000</v>
      </c>
      <c r="T300" s="492">
        <v>15</v>
      </c>
      <c r="U300" s="362">
        <f t="shared" si="41"/>
        <v>6375000</v>
      </c>
      <c r="V300" s="492">
        <v>15</v>
      </c>
      <c r="W300" s="362">
        <f t="shared" si="42"/>
        <v>6375000</v>
      </c>
      <c r="X300" s="492">
        <v>15</v>
      </c>
      <c r="Y300" s="362">
        <f t="shared" si="43"/>
        <v>6375000</v>
      </c>
      <c r="Z300" s="492">
        <v>15</v>
      </c>
      <c r="AA300" s="362">
        <f t="shared" si="44"/>
        <v>6375000</v>
      </c>
      <c r="AB300" s="361"/>
      <c r="AC300" s="342"/>
      <c r="AD300" s="348"/>
    </row>
    <row r="301" spans="1:30" s="349" customFormat="1">
      <c r="A301" s="359"/>
      <c r="B301" s="359"/>
      <c r="C301" s="504"/>
      <c r="D301" s="359"/>
      <c r="E301" s="362"/>
      <c r="F301" s="359"/>
      <c r="G301" s="362"/>
      <c r="H301" s="492"/>
      <c r="I301" s="362"/>
      <c r="J301" s="492"/>
      <c r="K301" s="362">
        <f t="shared" si="36"/>
        <v>0</v>
      </c>
      <c r="L301" s="492"/>
      <c r="M301" s="362">
        <f t="shared" si="37"/>
        <v>0</v>
      </c>
      <c r="N301" s="492"/>
      <c r="O301" s="362">
        <f t="shared" si="38"/>
        <v>0</v>
      </c>
      <c r="P301" s="359"/>
      <c r="Q301" s="362">
        <f t="shared" si="39"/>
        <v>0</v>
      </c>
      <c r="R301" s="359"/>
      <c r="S301" s="362">
        <f t="shared" si="40"/>
        <v>0</v>
      </c>
      <c r="T301" s="492"/>
      <c r="U301" s="362">
        <f t="shared" si="41"/>
        <v>0</v>
      </c>
      <c r="V301" s="492"/>
      <c r="W301" s="362">
        <f t="shared" si="42"/>
        <v>0</v>
      </c>
      <c r="X301" s="492"/>
      <c r="Y301" s="362">
        <f t="shared" si="43"/>
        <v>0</v>
      </c>
      <c r="Z301" s="492"/>
      <c r="AA301" s="362">
        <f t="shared" si="44"/>
        <v>0</v>
      </c>
      <c r="AB301" s="360"/>
      <c r="AC301" s="342"/>
      <c r="AD301" s="348"/>
    </row>
    <row r="302" spans="1:30" s="349" customFormat="1">
      <c r="A302" s="359" t="s">
        <v>202</v>
      </c>
      <c r="B302" s="359">
        <v>100</v>
      </c>
      <c r="C302" s="504">
        <v>850</v>
      </c>
      <c r="D302" s="359">
        <v>30</v>
      </c>
      <c r="E302" s="362">
        <f>(B302*C302)*D302</f>
        <v>2550000</v>
      </c>
      <c r="F302" s="359">
        <v>30</v>
      </c>
      <c r="G302" s="362">
        <f t="shared" ref="G302:G306" si="47">(B302*C302)*F302</f>
        <v>2550000</v>
      </c>
      <c r="H302" s="492">
        <v>30</v>
      </c>
      <c r="I302" s="362">
        <f t="shared" ref="I302:I306" si="48">(B302*C302)*H302</f>
        <v>2550000</v>
      </c>
      <c r="J302" s="492">
        <v>30</v>
      </c>
      <c r="K302" s="362">
        <f t="shared" si="36"/>
        <v>2550000</v>
      </c>
      <c r="L302" s="492">
        <v>30</v>
      </c>
      <c r="M302" s="362">
        <f t="shared" si="37"/>
        <v>2550000</v>
      </c>
      <c r="N302" s="492">
        <v>30</v>
      </c>
      <c r="O302" s="362">
        <f t="shared" si="38"/>
        <v>2550000</v>
      </c>
      <c r="P302" s="359">
        <v>60</v>
      </c>
      <c r="Q302" s="362">
        <f t="shared" si="39"/>
        <v>5100000</v>
      </c>
      <c r="R302" s="359">
        <v>60</v>
      </c>
      <c r="S302" s="362">
        <f t="shared" si="40"/>
        <v>5100000</v>
      </c>
      <c r="T302" s="492">
        <v>60</v>
      </c>
      <c r="U302" s="362">
        <f t="shared" si="41"/>
        <v>5100000</v>
      </c>
      <c r="V302" s="492">
        <v>60</v>
      </c>
      <c r="W302" s="362">
        <f t="shared" si="42"/>
        <v>5100000</v>
      </c>
      <c r="X302" s="492">
        <v>60</v>
      </c>
      <c r="Y302" s="362">
        <f t="shared" si="43"/>
        <v>5100000</v>
      </c>
      <c r="Z302" s="492">
        <v>60</v>
      </c>
      <c r="AA302" s="362">
        <f t="shared" si="44"/>
        <v>5100000</v>
      </c>
      <c r="AB302" s="361"/>
      <c r="AC302" s="342"/>
      <c r="AD302" s="348"/>
    </row>
    <row r="303" spans="1:30" s="349" customFormat="1">
      <c r="A303" s="359" t="s">
        <v>202</v>
      </c>
      <c r="B303" s="359">
        <v>150</v>
      </c>
      <c r="C303" s="504">
        <v>850</v>
      </c>
      <c r="D303" s="359">
        <v>27</v>
      </c>
      <c r="E303" s="362">
        <f>(B303*C303)*D303</f>
        <v>3442500</v>
      </c>
      <c r="F303" s="359">
        <v>27</v>
      </c>
      <c r="G303" s="362">
        <f t="shared" si="47"/>
        <v>3442500</v>
      </c>
      <c r="H303" s="492">
        <v>27</v>
      </c>
      <c r="I303" s="362">
        <f t="shared" si="48"/>
        <v>3442500</v>
      </c>
      <c r="J303" s="492">
        <v>27</v>
      </c>
      <c r="K303" s="362">
        <f t="shared" si="36"/>
        <v>3442500</v>
      </c>
      <c r="L303" s="492">
        <v>27</v>
      </c>
      <c r="M303" s="362">
        <f t="shared" si="37"/>
        <v>3442500</v>
      </c>
      <c r="N303" s="492">
        <v>27</v>
      </c>
      <c r="O303" s="362">
        <f t="shared" si="38"/>
        <v>3442500</v>
      </c>
      <c r="P303" s="359">
        <v>50</v>
      </c>
      <c r="Q303" s="362">
        <f t="shared" si="39"/>
        <v>6375000</v>
      </c>
      <c r="R303" s="359">
        <v>50</v>
      </c>
      <c r="S303" s="362">
        <f t="shared" si="40"/>
        <v>6375000</v>
      </c>
      <c r="T303" s="492">
        <v>50</v>
      </c>
      <c r="U303" s="362">
        <f t="shared" si="41"/>
        <v>6375000</v>
      </c>
      <c r="V303" s="492">
        <v>50</v>
      </c>
      <c r="W303" s="362">
        <f t="shared" si="42"/>
        <v>6375000</v>
      </c>
      <c r="X303" s="492">
        <v>50</v>
      </c>
      <c r="Y303" s="362">
        <f t="shared" si="43"/>
        <v>6375000</v>
      </c>
      <c r="Z303" s="492">
        <v>50</v>
      </c>
      <c r="AA303" s="362">
        <f t="shared" si="44"/>
        <v>6375000</v>
      </c>
      <c r="AB303" s="361"/>
      <c r="AC303" s="342"/>
      <c r="AD303" s="348"/>
    </row>
    <row r="304" spans="1:30" s="349" customFormat="1">
      <c r="A304" s="359" t="s">
        <v>202</v>
      </c>
      <c r="B304" s="359">
        <v>250</v>
      </c>
      <c r="C304" s="504">
        <v>850</v>
      </c>
      <c r="D304" s="359">
        <v>20</v>
      </c>
      <c r="E304" s="362">
        <f>(B304*C304)*D304</f>
        <v>4250000</v>
      </c>
      <c r="F304" s="359">
        <v>20</v>
      </c>
      <c r="G304" s="362">
        <f t="shared" si="47"/>
        <v>4250000</v>
      </c>
      <c r="H304" s="492">
        <v>20</v>
      </c>
      <c r="I304" s="362">
        <f t="shared" si="48"/>
        <v>4250000</v>
      </c>
      <c r="J304" s="492">
        <v>20</v>
      </c>
      <c r="K304" s="362">
        <f t="shared" si="36"/>
        <v>4250000</v>
      </c>
      <c r="L304" s="492">
        <v>20</v>
      </c>
      <c r="M304" s="362">
        <f t="shared" si="37"/>
        <v>4250000</v>
      </c>
      <c r="N304" s="492">
        <v>20</v>
      </c>
      <c r="O304" s="362">
        <f t="shared" si="38"/>
        <v>4250000</v>
      </c>
      <c r="P304" s="359">
        <v>40</v>
      </c>
      <c r="Q304" s="362">
        <f t="shared" si="39"/>
        <v>8500000</v>
      </c>
      <c r="R304" s="359">
        <v>40</v>
      </c>
      <c r="S304" s="362">
        <f t="shared" si="40"/>
        <v>8500000</v>
      </c>
      <c r="T304" s="492">
        <v>40</v>
      </c>
      <c r="U304" s="362">
        <f t="shared" si="41"/>
        <v>8500000</v>
      </c>
      <c r="V304" s="492">
        <v>40</v>
      </c>
      <c r="W304" s="362">
        <f t="shared" si="42"/>
        <v>8500000</v>
      </c>
      <c r="X304" s="492">
        <v>40</v>
      </c>
      <c r="Y304" s="362">
        <f t="shared" si="43"/>
        <v>8500000</v>
      </c>
      <c r="Z304" s="492">
        <v>40</v>
      </c>
      <c r="AA304" s="362">
        <f t="shared" si="44"/>
        <v>8500000</v>
      </c>
      <c r="AB304" s="361"/>
      <c r="AC304" s="342"/>
      <c r="AD304" s="348"/>
    </row>
    <row r="305" spans="1:30" s="349" customFormat="1">
      <c r="A305" s="359" t="s">
        <v>202</v>
      </c>
      <c r="B305" s="359">
        <v>350</v>
      </c>
      <c r="C305" s="504">
        <v>850</v>
      </c>
      <c r="D305" s="359">
        <v>14</v>
      </c>
      <c r="E305" s="362">
        <f>(B305*C305)*D305</f>
        <v>4165000</v>
      </c>
      <c r="F305" s="359">
        <v>14</v>
      </c>
      <c r="G305" s="362">
        <f t="shared" si="47"/>
        <v>4165000</v>
      </c>
      <c r="H305" s="492">
        <v>14</v>
      </c>
      <c r="I305" s="362">
        <f t="shared" si="48"/>
        <v>4165000</v>
      </c>
      <c r="J305" s="492">
        <v>14</v>
      </c>
      <c r="K305" s="362">
        <f t="shared" si="36"/>
        <v>4165000</v>
      </c>
      <c r="L305" s="492">
        <v>14</v>
      </c>
      <c r="M305" s="362">
        <f t="shared" si="37"/>
        <v>4165000</v>
      </c>
      <c r="N305" s="492">
        <v>14</v>
      </c>
      <c r="O305" s="362">
        <f t="shared" si="38"/>
        <v>4165000</v>
      </c>
      <c r="P305" s="359">
        <v>30</v>
      </c>
      <c r="Q305" s="362">
        <f t="shared" si="39"/>
        <v>8925000</v>
      </c>
      <c r="R305" s="359">
        <v>30</v>
      </c>
      <c r="S305" s="362">
        <f t="shared" si="40"/>
        <v>8925000</v>
      </c>
      <c r="T305" s="492">
        <v>30</v>
      </c>
      <c r="U305" s="362">
        <f t="shared" si="41"/>
        <v>8925000</v>
      </c>
      <c r="V305" s="492">
        <v>30</v>
      </c>
      <c r="W305" s="362">
        <f t="shared" si="42"/>
        <v>8925000</v>
      </c>
      <c r="X305" s="492">
        <v>30</v>
      </c>
      <c r="Y305" s="362">
        <f t="shared" si="43"/>
        <v>8925000</v>
      </c>
      <c r="Z305" s="492">
        <v>30</v>
      </c>
      <c r="AA305" s="362">
        <f t="shared" si="44"/>
        <v>8925000</v>
      </c>
      <c r="AB305" s="361"/>
      <c r="AC305" s="342"/>
      <c r="AD305" s="348"/>
    </row>
    <row r="306" spans="1:30" s="349" customFormat="1">
      <c r="A306" s="359" t="s">
        <v>202</v>
      </c>
      <c r="B306" s="359">
        <v>500</v>
      </c>
      <c r="C306" s="504">
        <v>850</v>
      </c>
      <c r="D306" s="359">
        <v>7</v>
      </c>
      <c r="E306" s="362">
        <f>(B306*C306)*D306</f>
        <v>2975000</v>
      </c>
      <c r="F306" s="359">
        <v>7</v>
      </c>
      <c r="G306" s="362">
        <f t="shared" si="47"/>
        <v>2975000</v>
      </c>
      <c r="H306" s="492">
        <v>7</v>
      </c>
      <c r="I306" s="362">
        <f t="shared" si="48"/>
        <v>2975000</v>
      </c>
      <c r="J306" s="492">
        <v>7</v>
      </c>
      <c r="K306" s="362">
        <f t="shared" si="36"/>
        <v>2975000</v>
      </c>
      <c r="L306" s="492">
        <v>7</v>
      </c>
      <c r="M306" s="362">
        <f t="shared" si="37"/>
        <v>2975000</v>
      </c>
      <c r="N306" s="492">
        <v>7</v>
      </c>
      <c r="O306" s="362">
        <f t="shared" si="38"/>
        <v>2975000</v>
      </c>
      <c r="P306" s="359">
        <v>15</v>
      </c>
      <c r="Q306" s="362">
        <f t="shared" si="39"/>
        <v>6375000</v>
      </c>
      <c r="R306" s="359">
        <v>15</v>
      </c>
      <c r="S306" s="362">
        <f t="shared" si="40"/>
        <v>6375000</v>
      </c>
      <c r="T306" s="492">
        <v>15</v>
      </c>
      <c r="U306" s="362">
        <f t="shared" si="41"/>
        <v>6375000</v>
      </c>
      <c r="V306" s="492">
        <v>15</v>
      </c>
      <c r="W306" s="362">
        <f t="shared" si="42"/>
        <v>6375000</v>
      </c>
      <c r="X306" s="492">
        <v>15</v>
      </c>
      <c r="Y306" s="362">
        <f t="shared" si="43"/>
        <v>6375000</v>
      </c>
      <c r="Z306" s="492">
        <v>15</v>
      </c>
      <c r="AA306" s="362">
        <f t="shared" si="44"/>
        <v>6375000</v>
      </c>
      <c r="AB306" s="361"/>
      <c r="AC306" s="342"/>
      <c r="AD306" s="348"/>
    </row>
    <row r="307" spans="1:30" s="349" customFormat="1">
      <c r="A307" s="359"/>
      <c r="B307" s="359"/>
      <c r="C307" s="504"/>
      <c r="D307" s="359"/>
      <c r="E307" s="362"/>
      <c r="F307" s="359"/>
      <c r="G307" s="362"/>
      <c r="H307" s="492"/>
      <c r="I307" s="362"/>
      <c r="J307" s="492"/>
      <c r="K307" s="362">
        <f t="shared" si="36"/>
        <v>0</v>
      </c>
      <c r="L307" s="492"/>
      <c r="M307" s="362">
        <f t="shared" si="37"/>
        <v>0</v>
      </c>
      <c r="N307" s="492"/>
      <c r="O307" s="362">
        <f t="shared" si="38"/>
        <v>0</v>
      </c>
      <c r="P307" s="359"/>
      <c r="Q307" s="362">
        <f t="shared" si="39"/>
        <v>0</v>
      </c>
      <c r="R307" s="359"/>
      <c r="S307" s="362">
        <f t="shared" si="40"/>
        <v>0</v>
      </c>
      <c r="T307" s="492"/>
      <c r="U307" s="362">
        <f t="shared" si="41"/>
        <v>0</v>
      </c>
      <c r="V307" s="492"/>
      <c r="W307" s="362">
        <f t="shared" si="42"/>
        <v>0</v>
      </c>
      <c r="X307" s="492"/>
      <c r="Y307" s="362">
        <f t="shared" si="43"/>
        <v>0</v>
      </c>
      <c r="Z307" s="492"/>
      <c r="AA307" s="362">
        <f t="shared" si="44"/>
        <v>0</v>
      </c>
      <c r="AB307" s="360"/>
      <c r="AC307" s="342"/>
      <c r="AD307" s="348"/>
    </row>
    <row r="308" spans="1:30" s="349" customFormat="1">
      <c r="A308" s="359" t="s">
        <v>203</v>
      </c>
      <c r="B308" s="359">
        <v>100</v>
      </c>
      <c r="C308" s="504">
        <v>850</v>
      </c>
      <c r="D308" s="359">
        <v>30</v>
      </c>
      <c r="E308" s="362">
        <f>(B308*C308)*D308</f>
        <v>2550000</v>
      </c>
      <c r="F308" s="359">
        <v>30</v>
      </c>
      <c r="G308" s="362">
        <f t="shared" ref="G308:G312" si="49">(B308*C308)*F308</f>
        <v>2550000</v>
      </c>
      <c r="H308" s="492">
        <v>30</v>
      </c>
      <c r="I308" s="362">
        <f t="shared" ref="I308:I312" si="50">(B308*C308)*H308</f>
        <v>2550000</v>
      </c>
      <c r="J308" s="492">
        <v>30</v>
      </c>
      <c r="K308" s="362">
        <f t="shared" si="36"/>
        <v>2550000</v>
      </c>
      <c r="L308" s="492">
        <v>30</v>
      </c>
      <c r="M308" s="362">
        <f t="shared" si="37"/>
        <v>2550000</v>
      </c>
      <c r="N308" s="492">
        <v>30</v>
      </c>
      <c r="O308" s="362">
        <f t="shared" si="38"/>
        <v>2550000</v>
      </c>
      <c r="P308" s="359">
        <v>60</v>
      </c>
      <c r="Q308" s="362">
        <f t="shared" si="39"/>
        <v>5100000</v>
      </c>
      <c r="R308" s="359">
        <v>60</v>
      </c>
      <c r="S308" s="362">
        <f t="shared" si="40"/>
        <v>5100000</v>
      </c>
      <c r="T308" s="492">
        <v>60</v>
      </c>
      <c r="U308" s="362">
        <f t="shared" si="41"/>
        <v>5100000</v>
      </c>
      <c r="V308" s="492">
        <v>60</v>
      </c>
      <c r="W308" s="362">
        <f t="shared" si="42"/>
        <v>5100000</v>
      </c>
      <c r="X308" s="492">
        <v>60</v>
      </c>
      <c r="Y308" s="362">
        <f t="shared" si="43"/>
        <v>5100000</v>
      </c>
      <c r="Z308" s="492">
        <v>60</v>
      </c>
      <c r="AA308" s="362">
        <f t="shared" si="44"/>
        <v>5100000</v>
      </c>
      <c r="AB308" s="361"/>
      <c r="AC308" s="342"/>
      <c r="AD308" s="348"/>
    </row>
    <row r="309" spans="1:30" s="349" customFormat="1">
      <c r="A309" s="359" t="s">
        <v>203</v>
      </c>
      <c r="B309" s="359">
        <v>150</v>
      </c>
      <c r="C309" s="504">
        <v>850</v>
      </c>
      <c r="D309" s="359">
        <v>27</v>
      </c>
      <c r="E309" s="362">
        <f>(B309*C309)*D309</f>
        <v>3442500</v>
      </c>
      <c r="F309" s="359">
        <v>27</v>
      </c>
      <c r="G309" s="362">
        <f t="shared" si="49"/>
        <v>3442500</v>
      </c>
      <c r="H309" s="492">
        <v>27</v>
      </c>
      <c r="I309" s="362">
        <f t="shared" si="50"/>
        <v>3442500</v>
      </c>
      <c r="J309" s="492">
        <v>27</v>
      </c>
      <c r="K309" s="362">
        <f t="shared" si="36"/>
        <v>3442500</v>
      </c>
      <c r="L309" s="492">
        <v>27</v>
      </c>
      <c r="M309" s="362">
        <f t="shared" si="37"/>
        <v>3442500</v>
      </c>
      <c r="N309" s="492">
        <v>27</v>
      </c>
      <c r="O309" s="362">
        <f t="shared" si="38"/>
        <v>3442500</v>
      </c>
      <c r="P309" s="359">
        <v>50</v>
      </c>
      <c r="Q309" s="362">
        <f t="shared" si="39"/>
        <v>6375000</v>
      </c>
      <c r="R309" s="359">
        <v>50</v>
      </c>
      <c r="S309" s="362">
        <f t="shared" si="40"/>
        <v>6375000</v>
      </c>
      <c r="T309" s="492">
        <v>50</v>
      </c>
      <c r="U309" s="362">
        <f t="shared" si="41"/>
        <v>6375000</v>
      </c>
      <c r="V309" s="492">
        <v>50</v>
      </c>
      <c r="W309" s="362">
        <f t="shared" si="42"/>
        <v>6375000</v>
      </c>
      <c r="X309" s="492">
        <v>50</v>
      </c>
      <c r="Y309" s="362">
        <f t="shared" si="43"/>
        <v>6375000</v>
      </c>
      <c r="Z309" s="492">
        <v>50</v>
      </c>
      <c r="AA309" s="362">
        <f t="shared" si="44"/>
        <v>6375000</v>
      </c>
      <c r="AB309" s="361"/>
      <c r="AC309" s="342"/>
      <c r="AD309" s="348"/>
    </row>
    <row r="310" spans="1:30" s="349" customFormat="1">
      <c r="A310" s="359" t="s">
        <v>203</v>
      </c>
      <c r="B310" s="359">
        <v>250</v>
      </c>
      <c r="C310" s="504">
        <v>850</v>
      </c>
      <c r="D310" s="359">
        <v>20</v>
      </c>
      <c r="E310" s="362">
        <f>(B310*C310)*D310</f>
        <v>4250000</v>
      </c>
      <c r="F310" s="359">
        <v>20</v>
      </c>
      <c r="G310" s="362">
        <f t="shared" si="49"/>
        <v>4250000</v>
      </c>
      <c r="H310" s="492">
        <v>20</v>
      </c>
      <c r="I310" s="362">
        <f t="shared" si="50"/>
        <v>4250000</v>
      </c>
      <c r="J310" s="492">
        <v>20</v>
      </c>
      <c r="K310" s="362">
        <f t="shared" si="36"/>
        <v>4250000</v>
      </c>
      <c r="L310" s="492">
        <v>20</v>
      </c>
      <c r="M310" s="362">
        <f t="shared" si="37"/>
        <v>4250000</v>
      </c>
      <c r="N310" s="492">
        <v>20</v>
      </c>
      <c r="O310" s="362">
        <f t="shared" si="38"/>
        <v>4250000</v>
      </c>
      <c r="P310" s="359">
        <v>40</v>
      </c>
      <c r="Q310" s="362">
        <f t="shared" si="39"/>
        <v>8500000</v>
      </c>
      <c r="R310" s="359">
        <v>40</v>
      </c>
      <c r="S310" s="362">
        <f t="shared" si="40"/>
        <v>8500000</v>
      </c>
      <c r="T310" s="492">
        <v>40</v>
      </c>
      <c r="U310" s="362">
        <f t="shared" si="41"/>
        <v>8500000</v>
      </c>
      <c r="V310" s="492">
        <v>40</v>
      </c>
      <c r="W310" s="362">
        <f t="shared" si="42"/>
        <v>8500000</v>
      </c>
      <c r="X310" s="492">
        <v>40</v>
      </c>
      <c r="Y310" s="362">
        <f t="shared" si="43"/>
        <v>8500000</v>
      </c>
      <c r="Z310" s="492">
        <v>40</v>
      </c>
      <c r="AA310" s="362">
        <f t="shared" si="44"/>
        <v>8500000</v>
      </c>
      <c r="AB310" s="361"/>
      <c r="AC310" s="342"/>
      <c r="AD310" s="348"/>
    </row>
    <row r="311" spans="1:30" s="349" customFormat="1">
      <c r="A311" s="359" t="s">
        <v>203</v>
      </c>
      <c r="B311" s="359">
        <v>350</v>
      </c>
      <c r="C311" s="504">
        <v>850</v>
      </c>
      <c r="D311" s="359">
        <v>14</v>
      </c>
      <c r="E311" s="362">
        <f>(B311*C311)*D311</f>
        <v>4165000</v>
      </c>
      <c r="F311" s="359">
        <v>14</v>
      </c>
      <c r="G311" s="362">
        <f t="shared" si="49"/>
        <v>4165000</v>
      </c>
      <c r="H311" s="492">
        <v>14</v>
      </c>
      <c r="I311" s="362">
        <f t="shared" si="50"/>
        <v>4165000</v>
      </c>
      <c r="J311" s="492">
        <v>14</v>
      </c>
      <c r="K311" s="362">
        <f t="shared" si="36"/>
        <v>4165000</v>
      </c>
      <c r="L311" s="492">
        <v>14</v>
      </c>
      <c r="M311" s="362">
        <f t="shared" si="37"/>
        <v>4165000</v>
      </c>
      <c r="N311" s="492">
        <v>14</v>
      </c>
      <c r="O311" s="362">
        <f t="shared" si="38"/>
        <v>4165000</v>
      </c>
      <c r="P311" s="359">
        <v>30</v>
      </c>
      <c r="Q311" s="362">
        <f t="shared" si="39"/>
        <v>8925000</v>
      </c>
      <c r="R311" s="359">
        <v>30</v>
      </c>
      <c r="S311" s="362">
        <f t="shared" si="40"/>
        <v>8925000</v>
      </c>
      <c r="T311" s="492">
        <v>30</v>
      </c>
      <c r="U311" s="362">
        <f t="shared" si="41"/>
        <v>8925000</v>
      </c>
      <c r="V311" s="492">
        <v>30</v>
      </c>
      <c r="W311" s="362">
        <f t="shared" si="42"/>
        <v>8925000</v>
      </c>
      <c r="X311" s="492">
        <v>30</v>
      </c>
      <c r="Y311" s="362">
        <f t="shared" si="43"/>
        <v>8925000</v>
      </c>
      <c r="Z311" s="492">
        <v>30</v>
      </c>
      <c r="AA311" s="362">
        <f t="shared" si="44"/>
        <v>8925000</v>
      </c>
      <c r="AB311" s="361"/>
      <c r="AC311" s="342"/>
      <c r="AD311" s="348"/>
    </row>
    <row r="312" spans="1:30" s="349" customFormat="1">
      <c r="A312" s="359" t="s">
        <v>203</v>
      </c>
      <c r="B312" s="359">
        <v>500</v>
      </c>
      <c r="C312" s="504">
        <v>850</v>
      </c>
      <c r="D312" s="359">
        <v>7</v>
      </c>
      <c r="E312" s="362">
        <f>(B312*C312)*D312</f>
        <v>2975000</v>
      </c>
      <c r="F312" s="359">
        <v>7</v>
      </c>
      <c r="G312" s="362">
        <f t="shared" si="49"/>
        <v>2975000</v>
      </c>
      <c r="H312" s="492">
        <v>7</v>
      </c>
      <c r="I312" s="362">
        <f t="shared" si="50"/>
        <v>2975000</v>
      </c>
      <c r="J312" s="492">
        <v>7</v>
      </c>
      <c r="K312" s="362">
        <f t="shared" si="36"/>
        <v>2975000</v>
      </c>
      <c r="L312" s="492">
        <v>7</v>
      </c>
      <c r="M312" s="362">
        <f t="shared" si="37"/>
        <v>2975000</v>
      </c>
      <c r="N312" s="492">
        <v>7</v>
      </c>
      <c r="O312" s="362">
        <f t="shared" si="38"/>
        <v>2975000</v>
      </c>
      <c r="P312" s="359">
        <v>15</v>
      </c>
      <c r="Q312" s="362">
        <f t="shared" si="39"/>
        <v>6375000</v>
      </c>
      <c r="R312" s="359">
        <v>15</v>
      </c>
      <c r="S312" s="362">
        <f t="shared" si="40"/>
        <v>6375000</v>
      </c>
      <c r="T312" s="492">
        <v>15</v>
      </c>
      <c r="U312" s="362">
        <f t="shared" si="41"/>
        <v>6375000</v>
      </c>
      <c r="V312" s="492">
        <v>15</v>
      </c>
      <c r="W312" s="362">
        <f t="shared" si="42"/>
        <v>6375000</v>
      </c>
      <c r="X312" s="492">
        <v>15</v>
      </c>
      <c r="Y312" s="362">
        <f t="shared" si="43"/>
        <v>6375000</v>
      </c>
      <c r="Z312" s="492">
        <v>15</v>
      </c>
      <c r="AA312" s="362">
        <f t="shared" si="44"/>
        <v>6375000</v>
      </c>
      <c r="AB312" s="361"/>
      <c r="AC312" s="342"/>
      <c r="AD312" s="348"/>
    </row>
    <row r="313" spans="1:30" s="349" customFormat="1">
      <c r="A313" s="359"/>
      <c r="B313" s="359"/>
      <c r="C313" s="504"/>
      <c r="D313" s="359"/>
      <c r="E313" s="362"/>
      <c r="F313" s="359"/>
      <c r="G313" s="362"/>
      <c r="H313" s="492"/>
      <c r="I313" s="362"/>
      <c r="J313" s="492"/>
      <c r="K313" s="362"/>
      <c r="L313" s="492"/>
      <c r="M313" s="362"/>
      <c r="N313" s="492"/>
      <c r="O313" s="362"/>
      <c r="P313" s="359"/>
      <c r="Q313" s="362"/>
      <c r="R313" s="359"/>
      <c r="S313" s="362"/>
      <c r="T313" s="492"/>
      <c r="U313" s="362"/>
      <c r="V313" s="492"/>
      <c r="W313" s="362"/>
      <c r="X313" s="492"/>
      <c r="Y313" s="362"/>
      <c r="Z313" s="492"/>
      <c r="AA313" s="362"/>
      <c r="AB313" s="361"/>
      <c r="AC313" s="342"/>
      <c r="AD313" s="348"/>
    </row>
    <row r="314" spans="1:30" s="349" customFormat="1">
      <c r="A314" s="474"/>
      <c r="B314" s="474"/>
      <c r="C314" s="505"/>
      <c r="D314" s="474">
        <v>0.15</v>
      </c>
      <c r="E314" s="476">
        <f>SUM(E292:E312)</f>
        <v>91162500</v>
      </c>
      <c r="F314" s="474">
        <v>0.15</v>
      </c>
      <c r="G314" s="475">
        <f>SUM(G292:G312)</f>
        <v>91162500</v>
      </c>
      <c r="H314" s="515">
        <v>0.15</v>
      </c>
      <c r="I314" s="475">
        <f>SUM(I292:I312)</f>
        <v>91162500</v>
      </c>
      <c r="J314" s="515">
        <v>0.15</v>
      </c>
      <c r="K314" s="475">
        <f>SUM(K292:K312)</f>
        <v>91162500</v>
      </c>
      <c r="L314" s="515">
        <v>0.15</v>
      </c>
      <c r="M314" s="475">
        <f>SUM(M292:M312)</f>
        <v>91162500</v>
      </c>
      <c r="N314" s="515">
        <v>0.15</v>
      </c>
      <c r="O314" s="475">
        <f>SUM(O292:O312)</f>
        <v>91162500</v>
      </c>
      <c r="P314" s="474">
        <v>0.15</v>
      </c>
      <c r="Q314" s="475">
        <f>SUM(Q292:Q312)</f>
        <v>177871000</v>
      </c>
      <c r="R314" s="474">
        <v>0.15</v>
      </c>
      <c r="S314" s="475">
        <f>SUM(S292:S312)</f>
        <v>177871000</v>
      </c>
      <c r="T314" s="515">
        <v>0.15</v>
      </c>
      <c r="U314" s="475">
        <f>SUM(U292:U312)</f>
        <v>177871000</v>
      </c>
      <c r="V314" s="515">
        <v>0.15</v>
      </c>
      <c r="W314" s="475">
        <f>SUM(W292:W313)</f>
        <v>177871000</v>
      </c>
      <c r="X314" s="515">
        <v>0.15</v>
      </c>
      <c r="Y314" s="475">
        <f>SUM(Y292:Y313)</f>
        <v>177871000</v>
      </c>
      <c r="Z314" s="515">
        <v>0.15</v>
      </c>
      <c r="AA314" s="475">
        <f>SUM(AA292:AA313)</f>
        <v>177871000</v>
      </c>
      <c r="AB314" s="476"/>
      <c r="AC314" s="342"/>
      <c r="AD314" s="473"/>
    </row>
    <row r="315" spans="1:30" s="349" customFormat="1">
      <c r="A315" s="486"/>
      <c r="B315" s="486"/>
      <c r="C315" s="506"/>
      <c r="D315" s="486"/>
      <c r="E315" s="487">
        <f>E314*D314</f>
        <v>13674375</v>
      </c>
      <c r="F315" s="486"/>
      <c r="G315" s="487">
        <f>G314*F314</f>
        <v>13674375</v>
      </c>
      <c r="H315" s="518"/>
      <c r="I315" s="487">
        <f>I314*H314</f>
        <v>13674375</v>
      </c>
      <c r="J315" s="518"/>
      <c r="K315" s="487">
        <f>K314*J314</f>
        <v>13674375</v>
      </c>
      <c r="L315" s="518"/>
      <c r="M315" s="487">
        <f>M314*L314</f>
        <v>13674375</v>
      </c>
      <c r="N315" s="518"/>
      <c r="O315" s="487">
        <f>O314*N314</f>
        <v>13674375</v>
      </c>
      <c r="P315" s="486"/>
      <c r="Q315" s="487">
        <f>Q314*P314</f>
        <v>26680650</v>
      </c>
      <c r="R315" s="486"/>
      <c r="S315" s="487">
        <f>S314*R314</f>
        <v>26680650</v>
      </c>
      <c r="T315" s="518"/>
      <c r="U315" s="487">
        <f>U314*T314</f>
        <v>26680650</v>
      </c>
      <c r="V315" s="518"/>
      <c r="W315" s="487">
        <f>W314*V314</f>
        <v>26680650</v>
      </c>
      <c r="X315" s="518"/>
      <c r="Y315" s="487">
        <f>Y314*X314</f>
        <v>26680650</v>
      </c>
      <c r="Z315" s="518"/>
      <c r="AA315" s="487">
        <f>AA314*Z314</f>
        <v>26680650</v>
      </c>
      <c r="AB315" s="488">
        <f>SUM(AA315,Y315,W315,U315,S315,Q315,O315,M315,K315,I315,G315,E315)</f>
        <v>242130150</v>
      </c>
      <c r="AC315" s="342"/>
      <c r="AD315" s="473"/>
    </row>
    <row r="316" spans="1:30" s="349" customFormat="1">
      <c r="A316" s="359"/>
      <c r="B316" s="359"/>
      <c r="C316" s="504"/>
      <c r="D316" s="359"/>
      <c r="E316" s="360"/>
      <c r="F316" s="359"/>
      <c r="G316" s="362"/>
      <c r="H316" s="492"/>
      <c r="I316" s="362"/>
      <c r="J316" s="492"/>
      <c r="K316" s="362">
        <f t="shared" ref="K316:K337" si="51">(B316*C316)*J316</f>
        <v>0</v>
      </c>
      <c r="L316" s="492"/>
      <c r="M316" s="362">
        <f t="shared" ref="M316:M337" si="52">(B316*C316)*L316</f>
        <v>0</v>
      </c>
      <c r="N316" s="492"/>
      <c r="O316" s="362">
        <f t="shared" ref="O316:O337" si="53">(B316*C316)*N316</f>
        <v>0</v>
      </c>
      <c r="P316" s="359"/>
      <c r="Q316" s="362">
        <f t="shared" ref="Q316:Q337" si="54">(B316*C316)*P316</f>
        <v>0</v>
      </c>
      <c r="R316" s="359"/>
      <c r="S316" s="362">
        <f t="shared" ref="S316:S337" si="55">(B316*C316)*R316</f>
        <v>0</v>
      </c>
      <c r="T316" s="492"/>
      <c r="U316" s="362">
        <f t="shared" ref="U316:U337" si="56">(B316*C316)*T316</f>
        <v>0</v>
      </c>
      <c r="V316" s="492"/>
      <c r="W316" s="362">
        <f t="shared" ref="W316:W337" si="57">(B316*C316)*V316</f>
        <v>0</v>
      </c>
      <c r="X316" s="492"/>
      <c r="Y316" s="362">
        <f t="shared" ref="Y316:Y337" si="58">(B316*C316)*X316</f>
        <v>0</v>
      </c>
      <c r="Z316" s="492"/>
      <c r="AA316" s="362">
        <f t="shared" ref="AA316:AA337" si="59">(B316*C316)*Z316</f>
        <v>0</v>
      </c>
      <c r="AB316" s="360"/>
      <c r="AC316" s="342"/>
      <c r="AD316" s="348"/>
    </row>
    <row r="317" spans="1:30" s="349" customFormat="1">
      <c r="A317" s="359" t="s">
        <v>204</v>
      </c>
      <c r="B317" s="359">
        <v>26</v>
      </c>
      <c r="C317" s="504">
        <v>15000</v>
      </c>
      <c r="D317" s="359">
        <v>170</v>
      </c>
      <c r="E317" s="362">
        <f>(B317*C317)*D317</f>
        <v>66300000</v>
      </c>
      <c r="F317" s="359">
        <v>170</v>
      </c>
      <c r="G317" s="362">
        <f t="shared" ref="G317:G320" si="60">(B317*C317)*F317</f>
        <v>66300000</v>
      </c>
      <c r="H317" s="492">
        <v>170</v>
      </c>
      <c r="I317" s="362">
        <f t="shared" ref="I317:I320" si="61">(B317*C317)*H317</f>
        <v>66300000</v>
      </c>
      <c r="J317" s="492">
        <v>170</v>
      </c>
      <c r="K317" s="362">
        <f t="shared" si="51"/>
        <v>66300000</v>
      </c>
      <c r="L317" s="492">
        <v>170</v>
      </c>
      <c r="M317" s="362">
        <f t="shared" si="52"/>
        <v>66300000</v>
      </c>
      <c r="N317" s="492">
        <v>170</v>
      </c>
      <c r="O317" s="362">
        <f t="shared" si="53"/>
        <v>66300000</v>
      </c>
      <c r="P317" s="359">
        <v>300</v>
      </c>
      <c r="Q317" s="362">
        <f t="shared" si="54"/>
        <v>117000000</v>
      </c>
      <c r="R317" s="359">
        <v>300</v>
      </c>
      <c r="S317" s="362">
        <f t="shared" si="55"/>
        <v>117000000</v>
      </c>
      <c r="T317" s="492">
        <v>300</v>
      </c>
      <c r="U317" s="362">
        <f t="shared" si="56"/>
        <v>117000000</v>
      </c>
      <c r="V317" s="492">
        <v>300</v>
      </c>
      <c r="W317" s="362">
        <f t="shared" si="57"/>
        <v>117000000</v>
      </c>
      <c r="X317" s="492">
        <v>300</v>
      </c>
      <c r="Y317" s="362">
        <f t="shared" si="58"/>
        <v>117000000</v>
      </c>
      <c r="Z317" s="492">
        <v>300</v>
      </c>
      <c r="AA317" s="362">
        <f t="shared" si="59"/>
        <v>117000000</v>
      </c>
      <c r="AB317" s="361"/>
      <c r="AC317" s="342"/>
      <c r="AD317" s="348"/>
    </row>
    <row r="318" spans="1:30" s="349" customFormat="1">
      <c r="A318" s="359" t="s">
        <v>204</v>
      </c>
      <c r="B318" s="359">
        <v>33</v>
      </c>
      <c r="C318" s="504">
        <v>15000</v>
      </c>
      <c r="D318" s="359">
        <v>70</v>
      </c>
      <c r="E318" s="362">
        <f>(B318*C318)*D318</f>
        <v>34650000</v>
      </c>
      <c r="F318" s="359">
        <v>70</v>
      </c>
      <c r="G318" s="362">
        <f t="shared" si="60"/>
        <v>34650000</v>
      </c>
      <c r="H318" s="492">
        <v>70</v>
      </c>
      <c r="I318" s="362">
        <f t="shared" si="61"/>
        <v>34650000</v>
      </c>
      <c r="J318" s="492">
        <v>70</v>
      </c>
      <c r="K318" s="362">
        <f t="shared" si="51"/>
        <v>34650000</v>
      </c>
      <c r="L318" s="492">
        <v>70</v>
      </c>
      <c r="M318" s="362">
        <f t="shared" si="52"/>
        <v>34650000</v>
      </c>
      <c r="N318" s="492">
        <v>70</v>
      </c>
      <c r="O318" s="362">
        <f t="shared" si="53"/>
        <v>34650000</v>
      </c>
      <c r="P318" s="359">
        <v>140</v>
      </c>
      <c r="Q318" s="362">
        <f t="shared" si="54"/>
        <v>69300000</v>
      </c>
      <c r="R318" s="359">
        <v>140</v>
      </c>
      <c r="S318" s="362">
        <f t="shared" si="55"/>
        <v>69300000</v>
      </c>
      <c r="T318" s="492">
        <v>140</v>
      </c>
      <c r="U318" s="362">
        <f t="shared" si="56"/>
        <v>69300000</v>
      </c>
      <c r="V318" s="492">
        <v>140</v>
      </c>
      <c r="W318" s="362">
        <f t="shared" si="57"/>
        <v>69300000</v>
      </c>
      <c r="X318" s="492">
        <v>140</v>
      </c>
      <c r="Y318" s="362">
        <f t="shared" si="58"/>
        <v>69300000</v>
      </c>
      <c r="Z318" s="492">
        <v>140</v>
      </c>
      <c r="AA318" s="362">
        <f t="shared" si="59"/>
        <v>69300000</v>
      </c>
      <c r="AB318" s="361"/>
      <c r="AC318" s="342"/>
      <c r="AD318" s="348"/>
    </row>
    <row r="319" spans="1:30" s="349" customFormat="1">
      <c r="A319" s="359" t="s">
        <v>204</v>
      </c>
      <c r="B319" s="359">
        <v>64</v>
      </c>
      <c r="C319" s="504">
        <v>15000</v>
      </c>
      <c r="D319" s="359">
        <v>30</v>
      </c>
      <c r="E319" s="362">
        <f>(B319*C319)*D319</f>
        <v>28800000</v>
      </c>
      <c r="F319" s="359">
        <v>30</v>
      </c>
      <c r="G319" s="362">
        <f t="shared" si="60"/>
        <v>28800000</v>
      </c>
      <c r="H319" s="492">
        <v>30</v>
      </c>
      <c r="I319" s="362">
        <f t="shared" si="61"/>
        <v>28800000</v>
      </c>
      <c r="J319" s="492">
        <v>30</v>
      </c>
      <c r="K319" s="362">
        <f t="shared" si="51"/>
        <v>28800000</v>
      </c>
      <c r="L319" s="492">
        <v>30</v>
      </c>
      <c r="M319" s="362">
        <f t="shared" si="52"/>
        <v>28800000</v>
      </c>
      <c r="N319" s="492">
        <v>30</v>
      </c>
      <c r="O319" s="362">
        <f t="shared" si="53"/>
        <v>28800000</v>
      </c>
      <c r="P319" s="359">
        <v>60</v>
      </c>
      <c r="Q319" s="362">
        <f t="shared" si="54"/>
        <v>57600000</v>
      </c>
      <c r="R319" s="359">
        <v>60</v>
      </c>
      <c r="S319" s="362">
        <f t="shared" si="55"/>
        <v>57600000</v>
      </c>
      <c r="T319" s="492">
        <v>60</v>
      </c>
      <c r="U319" s="362">
        <f t="shared" si="56"/>
        <v>57600000</v>
      </c>
      <c r="V319" s="492">
        <v>60</v>
      </c>
      <c r="W319" s="362">
        <f t="shared" si="57"/>
        <v>57600000</v>
      </c>
      <c r="X319" s="492">
        <v>60</v>
      </c>
      <c r="Y319" s="362">
        <f t="shared" si="58"/>
        <v>57600000</v>
      </c>
      <c r="Z319" s="492">
        <v>60</v>
      </c>
      <c r="AA319" s="362">
        <f t="shared" si="59"/>
        <v>57600000</v>
      </c>
      <c r="AB319" s="361"/>
      <c r="AC319" s="342"/>
      <c r="AD319" s="348"/>
    </row>
    <row r="320" spans="1:30" s="349" customFormat="1">
      <c r="A320" s="359" t="s">
        <v>204</v>
      </c>
      <c r="B320" s="359">
        <v>100</v>
      </c>
      <c r="C320" s="504">
        <v>15000</v>
      </c>
      <c r="D320" s="359">
        <v>7</v>
      </c>
      <c r="E320" s="362">
        <f>(B320*C320)*D320</f>
        <v>10500000</v>
      </c>
      <c r="F320" s="359">
        <v>7</v>
      </c>
      <c r="G320" s="362">
        <f t="shared" si="60"/>
        <v>10500000</v>
      </c>
      <c r="H320" s="492">
        <v>7</v>
      </c>
      <c r="I320" s="362">
        <f t="shared" si="61"/>
        <v>10500000</v>
      </c>
      <c r="J320" s="492">
        <v>7</v>
      </c>
      <c r="K320" s="362">
        <f t="shared" si="51"/>
        <v>10500000</v>
      </c>
      <c r="L320" s="492">
        <v>7</v>
      </c>
      <c r="M320" s="362">
        <f t="shared" si="52"/>
        <v>10500000</v>
      </c>
      <c r="N320" s="492">
        <v>7</v>
      </c>
      <c r="O320" s="362">
        <f t="shared" si="53"/>
        <v>10500000</v>
      </c>
      <c r="P320" s="359">
        <v>15</v>
      </c>
      <c r="Q320" s="362">
        <f t="shared" si="54"/>
        <v>22500000</v>
      </c>
      <c r="R320" s="359">
        <v>15</v>
      </c>
      <c r="S320" s="362">
        <f t="shared" si="55"/>
        <v>22500000</v>
      </c>
      <c r="T320" s="492">
        <v>15</v>
      </c>
      <c r="U320" s="362">
        <f t="shared" si="56"/>
        <v>22500000</v>
      </c>
      <c r="V320" s="492">
        <v>15</v>
      </c>
      <c r="W320" s="362">
        <f t="shared" si="57"/>
        <v>22500000</v>
      </c>
      <c r="X320" s="492">
        <v>15</v>
      </c>
      <c r="Y320" s="362">
        <f t="shared" si="58"/>
        <v>22500000</v>
      </c>
      <c r="Z320" s="492">
        <v>15</v>
      </c>
      <c r="AA320" s="362">
        <f t="shared" si="59"/>
        <v>22500000</v>
      </c>
      <c r="AB320" s="361"/>
      <c r="AC320" s="342"/>
      <c r="AD320" s="348"/>
    </row>
    <row r="321" spans="1:30" s="349" customFormat="1">
      <c r="A321" s="359"/>
      <c r="B321" s="359"/>
      <c r="C321" s="504"/>
      <c r="D321" s="359"/>
      <c r="E321" s="362"/>
      <c r="F321" s="359"/>
      <c r="G321" s="362"/>
      <c r="H321" s="492"/>
      <c r="I321" s="362"/>
      <c r="J321" s="492"/>
      <c r="K321" s="362">
        <f t="shared" si="51"/>
        <v>0</v>
      </c>
      <c r="L321" s="492"/>
      <c r="M321" s="362">
        <f t="shared" si="52"/>
        <v>0</v>
      </c>
      <c r="N321" s="492"/>
      <c r="O321" s="362">
        <f t="shared" si="53"/>
        <v>0</v>
      </c>
      <c r="P321" s="359"/>
      <c r="Q321" s="362">
        <f t="shared" si="54"/>
        <v>0</v>
      </c>
      <c r="R321" s="359"/>
      <c r="S321" s="362">
        <f t="shared" si="55"/>
        <v>0</v>
      </c>
      <c r="T321" s="492"/>
      <c r="U321" s="362">
        <f t="shared" si="56"/>
        <v>0</v>
      </c>
      <c r="V321" s="492"/>
      <c r="W321" s="362">
        <f t="shared" si="57"/>
        <v>0</v>
      </c>
      <c r="X321" s="492"/>
      <c r="Y321" s="362">
        <f t="shared" si="58"/>
        <v>0</v>
      </c>
      <c r="Z321" s="492"/>
      <c r="AA321" s="362">
        <f t="shared" si="59"/>
        <v>0</v>
      </c>
      <c r="AB321" s="361"/>
      <c r="AC321" s="342"/>
      <c r="AD321" s="348"/>
    </row>
    <row r="322" spans="1:30" s="349" customFormat="1">
      <c r="A322" s="359" t="s">
        <v>205</v>
      </c>
      <c r="B322" s="359">
        <v>150</v>
      </c>
      <c r="C322" s="504">
        <v>15000</v>
      </c>
      <c r="D322" s="359">
        <v>170</v>
      </c>
      <c r="E322" s="362">
        <f>(B322*C322)*D322</f>
        <v>382500000</v>
      </c>
      <c r="F322" s="359">
        <v>170</v>
      </c>
      <c r="G322" s="362">
        <f t="shared" ref="G322:G325" si="62">(B322*C322)*F322</f>
        <v>382500000</v>
      </c>
      <c r="H322" s="492">
        <v>170</v>
      </c>
      <c r="I322" s="362">
        <f t="shared" ref="I322:I325" si="63">(B322*C322)*H322</f>
        <v>382500000</v>
      </c>
      <c r="J322" s="492">
        <v>170</v>
      </c>
      <c r="K322" s="362">
        <f t="shared" si="51"/>
        <v>382500000</v>
      </c>
      <c r="L322" s="492">
        <v>170</v>
      </c>
      <c r="M322" s="362">
        <f t="shared" si="52"/>
        <v>382500000</v>
      </c>
      <c r="N322" s="492">
        <v>170</v>
      </c>
      <c r="O322" s="362">
        <f t="shared" si="53"/>
        <v>382500000</v>
      </c>
      <c r="P322" s="491">
        <v>300</v>
      </c>
      <c r="Q322" s="362">
        <f t="shared" si="54"/>
        <v>675000000</v>
      </c>
      <c r="R322" s="491">
        <v>300</v>
      </c>
      <c r="S322" s="362">
        <f t="shared" si="55"/>
        <v>675000000</v>
      </c>
      <c r="T322" s="492">
        <v>300</v>
      </c>
      <c r="U322" s="362">
        <f t="shared" si="56"/>
        <v>675000000</v>
      </c>
      <c r="V322" s="492">
        <v>300</v>
      </c>
      <c r="W322" s="362">
        <f t="shared" si="57"/>
        <v>675000000</v>
      </c>
      <c r="X322" s="492">
        <v>300</v>
      </c>
      <c r="Y322" s="362">
        <f t="shared" si="58"/>
        <v>675000000</v>
      </c>
      <c r="Z322" s="492">
        <v>300</v>
      </c>
      <c r="AA322" s="362">
        <f t="shared" si="59"/>
        <v>675000000</v>
      </c>
      <c r="AB322" s="361"/>
      <c r="AC322" s="342"/>
      <c r="AD322" s="348"/>
    </row>
    <row r="323" spans="1:30" s="349" customFormat="1">
      <c r="A323" s="359" t="s">
        <v>205</v>
      </c>
      <c r="B323" s="359">
        <v>250</v>
      </c>
      <c r="C323" s="504">
        <v>15000</v>
      </c>
      <c r="D323" s="359">
        <v>70</v>
      </c>
      <c r="E323" s="362">
        <f>(B323*C323)*D323</f>
        <v>262500000</v>
      </c>
      <c r="F323" s="359">
        <v>70</v>
      </c>
      <c r="G323" s="362">
        <f t="shared" si="62"/>
        <v>262500000</v>
      </c>
      <c r="H323" s="492">
        <v>70</v>
      </c>
      <c r="I323" s="362">
        <f t="shared" si="63"/>
        <v>262500000</v>
      </c>
      <c r="J323" s="492">
        <v>70</v>
      </c>
      <c r="K323" s="362">
        <f t="shared" si="51"/>
        <v>262500000</v>
      </c>
      <c r="L323" s="492">
        <v>70</v>
      </c>
      <c r="M323" s="362">
        <f t="shared" si="52"/>
        <v>262500000</v>
      </c>
      <c r="N323" s="492">
        <v>70</v>
      </c>
      <c r="O323" s="362">
        <f t="shared" si="53"/>
        <v>262500000</v>
      </c>
      <c r="P323" s="492">
        <v>140</v>
      </c>
      <c r="Q323" s="362">
        <f t="shared" si="54"/>
        <v>525000000</v>
      </c>
      <c r="R323" s="492">
        <v>140</v>
      </c>
      <c r="S323" s="362">
        <f t="shared" si="55"/>
        <v>525000000</v>
      </c>
      <c r="T323" s="492">
        <v>140</v>
      </c>
      <c r="U323" s="362">
        <f t="shared" si="56"/>
        <v>525000000</v>
      </c>
      <c r="V323" s="492">
        <v>140</v>
      </c>
      <c r="W323" s="362">
        <f t="shared" si="57"/>
        <v>525000000</v>
      </c>
      <c r="X323" s="492">
        <v>140</v>
      </c>
      <c r="Y323" s="362">
        <f t="shared" si="58"/>
        <v>525000000</v>
      </c>
      <c r="Z323" s="492">
        <v>140</v>
      </c>
      <c r="AA323" s="362">
        <f t="shared" si="59"/>
        <v>525000000</v>
      </c>
      <c r="AB323" s="361"/>
      <c r="AC323" s="342"/>
      <c r="AD323" s="348"/>
    </row>
    <row r="324" spans="1:30" s="349" customFormat="1">
      <c r="A324" s="359" t="s">
        <v>205</v>
      </c>
      <c r="B324" s="359">
        <v>350</v>
      </c>
      <c r="C324" s="504">
        <v>15000</v>
      </c>
      <c r="D324" s="359">
        <v>30</v>
      </c>
      <c r="E324" s="362">
        <f>(B324*C324)*D324</f>
        <v>157500000</v>
      </c>
      <c r="F324" s="359">
        <v>30</v>
      </c>
      <c r="G324" s="362">
        <f t="shared" si="62"/>
        <v>157500000</v>
      </c>
      <c r="H324" s="492">
        <v>30</v>
      </c>
      <c r="I324" s="362">
        <f t="shared" si="63"/>
        <v>157500000</v>
      </c>
      <c r="J324" s="492">
        <v>30</v>
      </c>
      <c r="K324" s="362">
        <f t="shared" si="51"/>
        <v>157500000</v>
      </c>
      <c r="L324" s="492">
        <v>30</v>
      </c>
      <c r="M324" s="362">
        <f t="shared" si="52"/>
        <v>157500000</v>
      </c>
      <c r="N324" s="492">
        <v>30</v>
      </c>
      <c r="O324" s="362">
        <f t="shared" si="53"/>
        <v>157500000</v>
      </c>
      <c r="P324" s="492">
        <v>60</v>
      </c>
      <c r="Q324" s="362">
        <f t="shared" si="54"/>
        <v>315000000</v>
      </c>
      <c r="R324" s="492">
        <v>60</v>
      </c>
      <c r="S324" s="362">
        <f t="shared" si="55"/>
        <v>315000000</v>
      </c>
      <c r="T324" s="492">
        <v>60</v>
      </c>
      <c r="U324" s="362">
        <f t="shared" si="56"/>
        <v>315000000</v>
      </c>
      <c r="V324" s="492">
        <v>60</v>
      </c>
      <c r="W324" s="362">
        <f t="shared" si="57"/>
        <v>315000000</v>
      </c>
      <c r="X324" s="492">
        <v>60</v>
      </c>
      <c r="Y324" s="362">
        <f t="shared" si="58"/>
        <v>315000000</v>
      </c>
      <c r="Z324" s="492">
        <v>60</v>
      </c>
      <c r="AA324" s="362">
        <f t="shared" si="59"/>
        <v>315000000</v>
      </c>
      <c r="AB324" s="361"/>
      <c r="AC324" s="342"/>
      <c r="AD324" s="348"/>
    </row>
    <row r="325" spans="1:30" s="349" customFormat="1">
      <c r="A325" s="359" t="s">
        <v>205</v>
      </c>
      <c r="B325" s="359">
        <v>500</v>
      </c>
      <c r="C325" s="504">
        <v>15000</v>
      </c>
      <c r="D325" s="359">
        <v>7</v>
      </c>
      <c r="E325" s="362">
        <f>(B325*C325)*D325</f>
        <v>52500000</v>
      </c>
      <c r="F325" s="359">
        <v>7</v>
      </c>
      <c r="G325" s="362">
        <f t="shared" si="62"/>
        <v>52500000</v>
      </c>
      <c r="H325" s="492">
        <v>7</v>
      </c>
      <c r="I325" s="362">
        <f t="shared" si="63"/>
        <v>52500000</v>
      </c>
      <c r="J325" s="492">
        <v>7</v>
      </c>
      <c r="K325" s="362">
        <f t="shared" si="51"/>
        <v>52500000</v>
      </c>
      <c r="L325" s="492">
        <v>7</v>
      </c>
      <c r="M325" s="362">
        <f t="shared" si="52"/>
        <v>52500000</v>
      </c>
      <c r="N325" s="492">
        <v>7</v>
      </c>
      <c r="O325" s="362">
        <f t="shared" si="53"/>
        <v>52500000</v>
      </c>
      <c r="P325" s="492">
        <v>15</v>
      </c>
      <c r="Q325" s="362">
        <f t="shared" si="54"/>
        <v>112500000</v>
      </c>
      <c r="R325" s="492">
        <v>15</v>
      </c>
      <c r="S325" s="362">
        <f t="shared" si="55"/>
        <v>112500000</v>
      </c>
      <c r="T325" s="492">
        <v>15</v>
      </c>
      <c r="U325" s="362">
        <f t="shared" si="56"/>
        <v>112500000</v>
      </c>
      <c r="V325" s="492">
        <v>15</v>
      </c>
      <c r="W325" s="362">
        <f t="shared" si="57"/>
        <v>112500000</v>
      </c>
      <c r="X325" s="492">
        <v>15</v>
      </c>
      <c r="Y325" s="362">
        <f t="shared" si="58"/>
        <v>112500000</v>
      </c>
      <c r="Z325" s="492">
        <v>15</v>
      </c>
      <c r="AA325" s="362">
        <f t="shared" si="59"/>
        <v>112500000</v>
      </c>
      <c r="AB325" s="361"/>
      <c r="AC325" s="342"/>
      <c r="AD325" s="348"/>
    </row>
    <row r="326" spans="1:30" s="349" customFormat="1">
      <c r="A326" s="359"/>
      <c r="B326" s="359"/>
      <c r="C326" s="504"/>
      <c r="D326" s="359"/>
      <c r="E326" s="362"/>
      <c r="F326" s="359"/>
      <c r="G326" s="362"/>
      <c r="H326" s="492"/>
      <c r="I326" s="362"/>
      <c r="J326" s="492"/>
      <c r="K326" s="362">
        <f t="shared" si="51"/>
        <v>0</v>
      </c>
      <c r="L326" s="492"/>
      <c r="M326" s="362">
        <f t="shared" si="52"/>
        <v>0</v>
      </c>
      <c r="N326" s="492"/>
      <c r="O326" s="362">
        <f t="shared" si="53"/>
        <v>0</v>
      </c>
      <c r="P326" s="359"/>
      <c r="Q326" s="362">
        <f t="shared" si="54"/>
        <v>0</v>
      </c>
      <c r="R326" s="359"/>
      <c r="S326" s="362">
        <f t="shared" si="55"/>
        <v>0</v>
      </c>
      <c r="T326" s="492"/>
      <c r="U326" s="362">
        <f t="shared" si="56"/>
        <v>0</v>
      </c>
      <c r="V326" s="492"/>
      <c r="W326" s="362">
        <f t="shared" si="57"/>
        <v>0</v>
      </c>
      <c r="X326" s="492"/>
      <c r="Y326" s="362">
        <f t="shared" si="58"/>
        <v>0</v>
      </c>
      <c r="Z326" s="492"/>
      <c r="AA326" s="362">
        <f t="shared" si="59"/>
        <v>0</v>
      </c>
      <c r="AB326" s="361"/>
      <c r="AC326" s="342"/>
      <c r="AD326" s="348"/>
    </row>
    <row r="327" spans="1:30" s="349" customFormat="1">
      <c r="A327" s="359" t="s">
        <v>206</v>
      </c>
      <c r="B327" s="359">
        <v>100</v>
      </c>
      <c r="C327" s="504">
        <v>20000</v>
      </c>
      <c r="D327" s="359">
        <v>30</v>
      </c>
      <c r="E327" s="362">
        <f>(B327*C327)*D327</f>
        <v>60000000</v>
      </c>
      <c r="F327" s="359">
        <v>30</v>
      </c>
      <c r="G327" s="362">
        <f t="shared" ref="G327:G331" si="64">(B327*C327)*F327</f>
        <v>60000000</v>
      </c>
      <c r="H327" s="492">
        <v>30</v>
      </c>
      <c r="I327" s="362">
        <f t="shared" ref="I327:I331" si="65">(B327*C327)*H327</f>
        <v>60000000</v>
      </c>
      <c r="J327" s="492">
        <v>30</v>
      </c>
      <c r="K327" s="362">
        <f t="shared" si="51"/>
        <v>60000000</v>
      </c>
      <c r="L327" s="492">
        <v>30</v>
      </c>
      <c r="M327" s="362">
        <f t="shared" si="52"/>
        <v>60000000</v>
      </c>
      <c r="N327" s="492">
        <v>30</v>
      </c>
      <c r="O327" s="362">
        <f t="shared" si="53"/>
        <v>60000000</v>
      </c>
      <c r="P327" s="491">
        <v>60</v>
      </c>
      <c r="Q327" s="362">
        <f t="shared" si="54"/>
        <v>120000000</v>
      </c>
      <c r="R327" s="491">
        <v>60</v>
      </c>
      <c r="S327" s="362">
        <f t="shared" si="55"/>
        <v>120000000</v>
      </c>
      <c r="T327" s="492">
        <v>60</v>
      </c>
      <c r="U327" s="362">
        <f t="shared" si="56"/>
        <v>120000000</v>
      </c>
      <c r="V327" s="492">
        <v>60</v>
      </c>
      <c r="W327" s="362">
        <f t="shared" si="57"/>
        <v>120000000</v>
      </c>
      <c r="X327" s="492">
        <v>60</v>
      </c>
      <c r="Y327" s="362">
        <f t="shared" si="58"/>
        <v>120000000</v>
      </c>
      <c r="Z327" s="492">
        <v>60</v>
      </c>
      <c r="AA327" s="362">
        <f t="shared" si="59"/>
        <v>120000000</v>
      </c>
      <c r="AB327" s="361"/>
      <c r="AC327" s="342"/>
      <c r="AD327" s="348"/>
    </row>
    <row r="328" spans="1:30" s="349" customFormat="1">
      <c r="A328" s="359" t="s">
        <v>206</v>
      </c>
      <c r="B328" s="359">
        <v>150</v>
      </c>
      <c r="C328" s="504">
        <v>20000</v>
      </c>
      <c r="D328" s="359">
        <v>27</v>
      </c>
      <c r="E328" s="362">
        <f>(B328*C328)*D328</f>
        <v>81000000</v>
      </c>
      <c r="F328" s="359">
        <v>27</v>
      </c>
      <c r="G328" s="362">
        <f t="shared" si="64"/>
        <v>81000000</v>
      </c>
      <c r="H328" s="492">
        <v>27</v>
      </c>
      <c r="I328" s="362">
        <f t="shared" si="65"/>
        <v>81000000</v>
      </c>
      <c r="J328" s="492">
        <v>27</v>
      </c>
      <c r="K328" s="362">
        <f t="shared" si="51"/>
        <v>81000000</v>
      </c>
      <c r="L328" s="492">
        <v>27</v>
      </c>
      <c r="M328" s="362">
        <f t="shared" si="52"/>
        <v>81000000</v>
      </c>
      <c r="N328" s="492">
        <v>27</v>
      </c>
      <c r="O328" s="362">
        <f t="shared" si="53"/>
        <v>81000000</v>
      </c>
      <c r="P328" s="492">
        <v>50</v>
      </c>
      <c r="Q328" s="362">
        <f t="shared" si="54"/>
        <v>150000000</v>
      </c>
      <c r="R328" s="492">
        <v>50</v>
      </c>
      <c r="S328" s="362">
        <f t="shared" si="55"/>
        <v>150000000</v>
      </c>
      <c r="T328" s="492">
        <v>50</v>
      </c>
      <c r="U328" s="362">
        <f t="shared" si="56"/>
        <v>150000000</v>
      </c>
      <c r="V328" s="492">
        <v>50</v>
      </c>
      <c r="W328" s="362">
        <f t="shared" si="57"/>
        <v>150000000</v>
      </c>
      <c r="X328" s="492">
        <v>50</v>
      </c>
      <c r="Y328" s="362">
        <f t="shared" si="58"/>
        <v>150000000</v>
      </c>
      <c r="Z328" s="492">
        <v>50</v>
      </c>
      <c r="AA328" s="362">
        <f t="shared" si="59"/>
        <v>150000000</v>
      </c>
      <c r="AB328" s="361"/>
      <c r="AC328" s="342"/>
      <c r="AD328" s="348"/>
    </row>
    <row r="329" spans="1:30" s="349" customFormat="1">
      <c r="A329" s="359" t="s">
        <v>206</v>
      </c>
      <c r="B329" s="359">
        <v>250</v>
      </c>
      <c r="C329" s="504">
        <v>20000</v>
      </c>
      <c r="D329" s="359">
        <v>20</v>
      </c>
      <c r="E329" s="362">
        <f>(B329*C329)*D329</f>
        <v>100000000</v>
      </c>
      <c r="F329" s="359">
        <v>20</v>
      </c>
      <c r="G329" s="362">
        <f t="shared" si="64"/>
        <v>100000000</v>
      </c>
      <c r="H329" s="492">
        <v>20</v>
      </c>
      <c r="I329" s="362">
        <f t="shared" si="65"/>
        <v>100000000</v>
      </c>
      <c r="J329" s="492">
        <v>20</v>
      </c>
      <c r="K329" s="362">
        <f t="shared" si="51"/>
        <v>100000000</v>
      </c>
      <c r="L329" s="492">
        <v>20</v>
      </c>
      <c r="M329" s="362">
        <f t="shared" si="52"/>
        <v>100000000</v>
      </c>
      <c r="N329" s="492">
        <v>20</v>
      </c>
      <c r="O329" s="362">
        <f t="shared" si="53"/>
        <v>100000000</v>
      </c>
      <c r="P329" s="492">
        <v>40</v>
      </c>
      <c r="Q329" s="362">
        <f t="shared" si="54"/>
        <v>200000000</v>
      </c>
      <c r="R329" s="492">
        <v>40</v>
      </c>
      <c r="S329" s="362">
        <f t="shared" si="55"/>
        <v>200000000</v>
      </c>
      <c r="T329" s="492">
        <v>40</v>
      </c>
      <c r="U329" s="362">
        <f t="shared" si="56"/>
        <v>200000000</v>
      </c>
      <c r="V329" s="492">
        <v>40</v>
      </c>
      <c r="W329" s="362">
        <f t="shared" si="57"/>
        <v>200000000</v>
      </c>
      <c r="X329" s="492">
        <v>40</v>
      </c>
      <c r="Y329" s="362">
        <f t="shared" si="58"/>
        <v>200000000</v>
      </c>
      <c r="Z329" s="492">
        <v>40</v>
      </c>
      <c r="AA329" s="362">
        <f t="shared" si="59"/>
        <v>200000000</v>
      </c>
      <c r="AB329" s="361"/>
      <c r="AC329" s="342"/>
      <c r="AD329" s="348"/>
    </row>
    <row r="330" spans="1:30" s="349" customFormat="1">
      <c r="A330" s="359" t="s">
        <v>206</v>
      </c>
      <c r="B330" s="359">
        <v>350</v>
      </c>
      <c r="C330" s="504">
        <v>20000</v>
      </c>
      <c r="D330" s="359">
        <v>14</v>
      </c>
      <c r="E330" s="362">
        <f>(B330*C330)*D330</f>
        <v>98000000</v>
      </c>
      <c r="F330" s="359">
        <v>14</v>
      </c>
      <c r="G330" s="362">
        <f t="shared" si="64"/>
        <v>98000000</v>
      </c>
      <c r="H330" s="492">
        <v>14</v>
      </c>
      <c r="I330" s="362">
        <f t="shared" si="65"/>
        <v>98000000</v>
      </c>
      <c r="J330" s="492">
        <v>14</v>
      </c>
      <c r="K330" s="362">
        <f t="shared" si="51"/>
        <v>98000000</v>
      </c>
      <c r="L330" s="492">
        <v>14</v>
      </c>
      <c r="M330" s="362">
        <f t="shared" si="52"/>
        <v>98000000</v>
      </c>
      <c r="N330" s="492">
        <v>14</v>
      </c>
      <c r="O330" s="362">
        <f t="shared" si="53"/>
        <v>98000000</v>
      </c>
      <c r="P330" s="492">
        <v>30</v>
      </c>
      <c r="Q330" s="362">
        <f t="shared" si="54"/>
        <v>210000000</v>
      </c>
      <c r="R330" s="492">
        <v>30</v>
      </c>
      <c r="S330" s="362">
        <f t="shared" si="55"/>
        <v>210000000</v>
      </c>
      <c r="T330" s="492">
        <v>30</v>
      </c>
      <c r="U330" s="362">
        <f t="shared" si="56"/>
        <v>210000000</v>
      </c>
      <c r="V330" s="492">
        <v>30</v>
      </c>
      <c r="W330" s="362">
        <f t="shared" si="57"/>
        <v>210000000</v>
      </c>
      <c r="X330" s="492">
        <v>30</v>
      </c>
      <c r="Y330" s="362">
        <f t="shared" si="58"/>
        <v>210000000</v>
      </c>
      <c r="Z330" s="492">
        <v>30</v>
      </c>
      <c r="AA330" s="362">
        <f t="shared" si="59"/>
        <v>210000000</v>
      </c>
      <c r="AB330" s="361"/>
      <c r="AC330" s="342"/>
      <c r="AD330" s="348"/>
    </row>
    <row r="331" spans="1:30" s="349" customFormat="1">
      <c r="A331" s="359" t="s">
        <v>206</v>
      </c>
      <c r="B331" s="359">
        <v>500</v>
      </c>
      <c r="C331" s="504">
        <v>20000</v>
      </c>
      <c r="D331" s="359">
        <v>7</v>
      </c>
      <c r="E331" s="362">
        <f>(B331*C331)*D331</f>
        <v>70000000</v>
      </c>
      <c r="F331" s="359">
        <v>7</v>
      </c>
      <c r="G331" s="362">
        <f t="shared" si="64"/>
        <v>70000000</v>
      </c>
      <c r="H331" s="492">
        <v>7</v>
      </c>
      <c r="I331" s="362">
        <f t="shared" si="65"/>
        <v>70000000</v>
      </c>
      <c r="J331" s="492">
        <v>7</v>
      </c>
      <c r="K331" s="362">
        <f t="shared" si="51"/>
        <v>70000000</v>
      </c>
      <c r="L331" s="492">
        <v>7</v>
      </c>
      <c r="M331" s="362">
        <f t="shared" si="52"/>
        <v>70000000</v>
      </c>
      <c r="N331" s="492">
        <v>7</v>
      </c>
      <c r="O331" s="362">
        <f t="shared" si="53"/>
        <v>70000000</v>
      </c>
      <c r="P331" s="359">
        <v>15</v>
      </c>
      <c r="Q331" s="362">
        <f t="shared" si="54"/>
        <v>150000000</v>
      </c>
      <c r="R331" s="359">
        <v>15</v>
      </c>
      <c r="S331" s="362">
        <f t="shared" si="55"/>
        <v>150000000</v>
      </c>
      <c r="T331" s="492">
        <v>15</v>
      </c>
      <c r="U331" s="362">
        <f t="shared" si="56"/>
        <v>150000000</v>
      </c>
      <c r="V331" s="492">
        <v>15</v>
      </c>
      <c r="W331" s="362">
        <f t="shared" si="57"/>
        <v>150000000</v>
      </c>
      <c r="X331" s="492">
        <v>15</v>
      </c>
      <c r="Y331" s="362">
        <f t="shared" si="58"/>
        <v>150000000</v>
      </c>
      <c r="Z331" s="492">
        <v>15</v>
      </c>
      <c r="AA331" s="362">
        <f t="shared" si="59"/>
        <v>150000000</v>
      </c>
      <c r="AB331" s="361"/>
      <c r="AC331" s="342"/>
      <c r="AD331" s="348"/>
    </row>
    <row r="332" spans="1:30">
      <c r="A332" s="359"/>
      <c r="B332" s="359"/>
      <c r="C332" s="504"/>
      <c r="D332" s="359"/>
      <c r="E332" s="360"/>
      <c r="F332" s="359"/>
      <c r="G332" s="362"/>
      <c r="H332" s="492"/>
      <c r="I332" s="362"/>
      <c r="J332" s="492"/>
      <c r="K332" s="362">
        <f t="shared" si="51"/>
        <v>0</v>
      </c>
      <c r="L332" s="492"/>
      <c r="M332" s="362">
        <f t="shared" si="52"/>
        <v>0</v>
      </c>
      <c r="N332" s="492"/>
      <c r="O332" s="362">
        <f t="shared" si="53"/>
        <v>0</v>
      </c>
      <c r="P332" s="359"/>
      <c r="Q332" s="362">
        <f t="shared" si="54"/>
        <v>0</v>
      </c>
      <c r="R332" s="359"/>
      <c r="S332" s="362">
        <f t="shared" si="55"/>
        <v>0</v>
      </c>
      <c r="T332" s="492"/>
      <c r="U332" s="362">
        <f t="shared" si="56"/>
        <v>0</v>
      </c>
      <c r="V332" s="492"/>
      <c r="W332" s="362">
        <f t="shared" si="57"/>
        <v>0</v>
      </c>
      <c r="X332" s="492"/>
      <c r="Y332" s="362">
        <f t="shared" si="58"/>
        <v>0</v>
      </c>
      <c r="Z332" s="492"/>
      <c r="AA332" s="362">
        <f t="shared" si="59"/>
        <v>0</v>
      </c>
      <c r="AB332" s="361"/>
      <c r="AD332" s="350"/>
    </row>
    <row r="333" spans="1:30" s="349" customFormat="1">
      <c r="A333" s="359" t="s">
        <v>207</v>
      </c>
      <c r="B333" s="359">
        <v>100</v>
      </c>
      <c r="C333" s="504">
        <v>10000</v>
      </c>
      <c r="D333" s="359">
        <v>30</v>
      </c>
      <c r="E333" s="362">
        <f>(B333*C333)*D333</f>
        <v>30000000</v>
      </c>
      <c r="F333" s="359">
        <v>30</v>
      </c>
      <c r="G333" s="362">
        <f t="shared" ref="G333:G337" si="66">(B333*C333)*F333</f>
        <v>30000000</v>
      </c>
      <c r="H333" s="492">
        <v>30</v>
      </c>
      <c r="I333" s="362">
        <f t="shared" ref="I333:I337" si="67">(B333*C333)*H333</f>
        <v>30000000</v>
      </c>
      <c r="J333" s="492">
        <v>30</v>
      </c>
      <c r="K333" s="362">
        <f t="shared" si="51"/>
        <v>30000000</v>
      </c>
      <c r="L333" s="492">
        <v>30</v>
      </c>
      <c r="M333" s="362">
        <f t="shared" si="52"/>
        <v>30000000</v>
      </c>
      <c r="N333" s="492">
        <v>30</v>
      </c>
      <c r="O333" s="362">
        <f t="shared" si="53"/>
        <v>30000000</v>
      </c>
      <c r="P333" s="491">
        <v>60</v>
      </c>
      <c r="Q333" s="362">
        <f t="shared" si="54"/>
        <v>60000000</v>
      </c>
      <c r="R333" s="491">
        <v>60</v>
      </c>
      <c r="S333" s="362">
        <f t="shared" si="55"/>
        <v>60000000</v>
      </c>
      <c r="T333" s="492">
        <v>60</v>
      </c>
      <c r="U333" s="362">
        <f t="shared" si="56"/>
        <v>60000000</v>
      </c>
      <c r="V333" s="492">
        <v>60</v>
      </c>
      <c r="W333" s="362">
        <f t="shared" si="57"/>
        <v>60000000</v>
      </c>
      <c r="X333" s="492">
        <v>60</v>
      </c>
      <c r="Y333" s="362">
        <f t="shared" si="58"/>
        <v>60000000</v>
      </c>
      <c r="Z333" s="492">
        <v>60</v>
      </c>
      <c r="AA333" s="362">
        <f t="shared" si="59"/>
        <v>60000000</v>
      </c>
      <c r="AB333" s="361"/>
      <c r="AC333" s="342"/>
      <c r="AD333" s="348"/>
    </row>
    <row r="334" spans="1:30" s="349" customFormat="1">
      <c r="A334" s="359" t="s">
        <v>207</v>
      </c>
      <c r="B334" s="359">
        <v>150</v>
      </c>
      <c r="C334" s="504">
        <v>10000</v>
      </c>
      <c r="D334" s="359">
        <v>27</v>
      </c>
      <c r="E334" s="362">
        <f>(B334*C334)*D334</f>
        <v>40500000</v>
      </c>
      <c r="F334" s="359">
        <v>27</v>
      </c>
      <c r="G334" s="362">
        <f t="shared" si="66"/>
        <v>40500000</v>
      </c>
      <c r="H334" s="492">
        <v>27</v>
      </c>
      <c r="I334" s="362">
        <f t="shared" si="67"/>
        <v>40500000</v>
      </c>
      <c r="J334" s="492">
        <v>27</v>
      </c>
      <c r="K334" s="362">
        <f t="shared" si="51"/>
        <v>40500000</v>
      </c>
      <c r="L334" s="492">
        <v>27</v>
      </c>
      <c r="M334" s="362">
        <f t="shared" si="52"/>
        <v>40500000</v>
      </c>
      <c r="N334" s="492">
        <v>27</v>
      </c>
      <c r="O334" s="362">
        <f t="shared" si="53"/>
        <v>40500000</v>
      </c>
      <c r="P334" s="492">
        <v>50</v>
      </c>
      <c r="Q334" s="362">
        <f t="shared" si="54"/>
        <v>75000000</v>
      </c>
      <c r="R334" s="492">
        <v>50</v>
      </c>
      <c r="S334" s="362">
        <f t="shared" si="55"/>
        <v>75000000</v>
      </c>
      <c r="T334" s="492">
        <v>50</v>
      </c>
      <c r="U334" s="362">
        <f t="shared" si="56"/>
        <v>75000000</v>
      </c>
      <c r="V334" s="492">
        <v>50</v>
      </c>
      <c r="W334" s="362">
        <f t="shared" si="57"/>
        <v>75000000</v>
      </c>
      <c r="X334" s="492">
        <v>50</v>
      </c>
      <c r="Y334" s="362">
        <f t="shared" si="58"/>
        <v>75000000</v>
      </c>
      <c r="Z334" s="492">
        <v>50</v>
      </c>
      <c r="AA334" s="362">
        <f t="shared" si="59"/>
        <v>75000000</v>
      </c>
      <c r="AB334" s="361"/>
      <c r="AC334" s="342"/>
      <c r="AD334" s="348"/>
    </row>
    <row r="335" spans="1:30" s="349" customFormat="1">
      <c r="A335" s="359" t="s">
        <v>207</v>
      </c>
      <c r="B335" s="359">
        <v>250</v>
      </c>
      <c r="C335" s="504">
        <v>10000</v>
      </c>
      <c r="D335" s="359">
        <v>20</v>
      </c>
      <c r="E335" s="362">
        <f>(B335*C335)*D335</f>
        <v>50000000</v>
      </c>
      <c r="F335" s="359">
        <v>20</v>
      </c>
      <c r="G335" s="362">
        <f t="shared" si="66"/>
        <v>50000000</v>
      </c>
      <c r="H335" s="492">
        <v>20</v>
      </c>
      <c r="I335" s="362">
        <f t="shared" si="67"/>
        <v>50000000</v>
      </c>
      <c r="J335" s="492">
        <v>20</v>
      </c>
      <c r="K335" s="362">
        <f t="shared" si="51"/>
        <v>50000000</v>
      </c>
      <c r="L335" s="492">
        <v>20</v>
      </c>
      <c r="M335" s="362">
        <f t="shared" si="52"/>
        <v>50000000</v>
      </c>
      <c r="N335" s="492">
        <v>20</v>
      </c>
      <c r="O335" s="362">
        <f t="shared" si="53"/>
        <v>50000000</v>
      </c>
      <c r="P335" s="492">
        <v>40</v>
      </c>
      <c r="Q335" s="362">
        <f t="shared" si="54"/>
        <v>100000000</v>
      </c>
      <c r="R335" s="492">
        <v>40</v>
      </c>
      <c r="S335" s="362">
        <f t="shared" si="55"/>
        <v>100000000</v>
      </c>
      <c r="T335" s="492">
        <v>40</v>
      </c>
      <c r="U335" s="362">
        <f t="shared" si="56"/>
        <v>100000000</v>
      </c>
      <c r="V335" s="492">
        <v>40</v>
      </c>
      <c r="W335" s="362">
        <f t="shared" si="57"/>
        <v>100000000</v>
      </c>
      <c r="X335" s="492">
        <v>40</v>
      </c>
      <c r="Y335" s="362">
        <f t="shared" si="58"/>
        <v>100000000</v>
      </c>
      <c r="Z335" s="492">
        <v>40</v>
      </c>
      <c r="AA335" s="362">
        <f t="shared" si="59"/>
        <v>100000000</v>
      </c>
      <c r="AB335" s="361"/>
      <c r="AC335" s="342"/>
      <c r="AD335" s="348"/>
    </row>
    <row r="336" spans="1:30" s="349" customFormat="1">
      <c r="A336" s="359" t="s">
        <v>207</v>
      </c>
      <c r="B336" s="359">
        <v>350</v>
      </c>
      <c r="C336" s="504">
        <v>10000</v>
      </c>
      <c r="D336" s="359">
        <v>14</v>
      </c>
      <c r="E336" s="362">
        <f>(B336*C336)*D336</f>
        <v>49000000</v>
      </c>
      <c r="F336" s="359">
        <v>14</v>
      </c>
      <c r="G336" s="362">
        <f t="shared" si="66"/>
        <v>49000000</v>
      </c>
      <c r="H336" s="492">
        <v>14</v>
      </c>
      <c r="I336" s="362">
        <f t="shared" si="67"/>
        <v>49000000</v>
      </c>
      <c r="J336" s="492">
        <v>14</v>
      </c>
      <c r="K336" s="362">
        <f t="shared" si="51"/>
        <v>49000000</v>
      </c>
      <c r="L336" s="492">
        <v>14</v>
      </c>
      <c r="M336" s="362">
        <f t="shared" si="52"/>
        <v>49000000</v>
      </c>
      <c r="N336" s="492">
        <v>14</v>
      </c>
      <c r="O336" s="362">
        <f t="shared" si="53"/>
        <v>49000000</v>
      </c>
      <c r="P336" s="492">
        <v>30</v>
      </c>
      <c r="Q336" s="362">
        <f t="shared" si="54"/>
        <v>105000000</v>
      </c>
      <c r="R336" s="492">
        <v>30</v>
      </c>
      <c r="S336" s="362">
        <f t="shared" si="55"/>
        <v>105000000</v>
      </c>
      <c r="T336" s="492">
        <v>30</v>
      </c>
      <c r="U336" s="362">
        <f t="shared" si="56"/>
        <v>105000000</v>
      </c>
      <c r="V336" s="492">
        <v>30</v>
      </c>
      <c r="W336" s="362">
        <f t="shared" si="57"/>
        <v>105000000</v>
      </c>
      <c r="X336" s="492">
        <v>30</v>
      </c>
      <c r="Y336" s="362">
        <f t="shared" si="58"/>
        <v>105000000</v>
      </c>
      <c r="Z336" s="492">
        <v>30</v>
      </c>
      <c r="AA336" s="362">
        <f t="shared" si="59"/>
        <v>105000000</v>
      </c>
      <c r="AB336" s="361"/>
      <c r="AC336" s="342"/>
      <c r="AD336" s="348"/>
    </row>
    <row r="337" spans="1:30" s="349" customFormat="1">
      <c r="A337" s="359" t="s">
        <v>207</v>
      </c>
      <c r="B337" s="359">
        <v>500</v>
      </c>
      <c r="C337" s="504">
        <v>10000</v>
      </c>
      <c r="D337" s="359">
        <v>7</v>
      </c>
      <c r="E337" s="362">
        <f>(B337*C337)*D337</f>
        <v>35000000</v>
      </c>
      <c r="F337" s="359">
        <v>7</v>
      </c>
      <c r="G337" s="362">
        <f t="shared" si="66"/>
        <v>35000000</v>
      </c>
      <c r="H337" s="492">
        <v>7</v>
      </c>
      <c r="I337" s="362">
        <f t="shared" si="67"/>
        <v>35000000</v>
      </c>
      <c r="J337" s="492">
        <v>7</v>
      </c>
      <c r="K337" s="362">
        <f t="shared" si="51"/>
        <v>35000000</v>
      </c>
      <c r="L337" s="492">
        <v>7</v>
      </c>
      <c r="M337" s="362">
        <f t="shared" si="52"/>
        <v>35000000</v>
      </c>
      <c r="N337" s="492">
        <v>7</v>
      </c>
      <c r="O337" s="362">
        <f t="shared" si="53"/>
        <v>35000000</v>
      </c>
      <c r="P337" s="359">
        <v>15</v>
      </c>
      <c r="Q337" s="362">
        <f t="shared" si="54"/>
        <v>75000000</v>
      </c>
      <c r="R337" s="359">
        <v>15</v>
      </c>
      <c r="S337" s="362">
        <f t="shared" si="55"/>
        <v>75000000</v>
      </c>
      <c r="T337" s="492">
        <v>15</v>
      </c>
      <c r="U337" s="362">
        <f t="shared" si="56"/>
        <v>75000000</v>
      </c>
      <c r="V337" s="492">
        <v>15</v>
      </c>
      <c r="W337" s="362">
        <f t="shared" si="57"/>
        <v>75000000</v>
      </c>
      <c r="X337" s="492">
        <v>15</v>
      </c>
      <c r="Y337" s="362">
        <f t="shared" si="58"/>
        <v>75000000</v>
      </c>
      <c r="Z337" s="492">
        <v>15</v>
      </c>
      <c r="AA337" s="362">
        <f t="shared" si="59"/>
        <v>75000000</v>
      </c>
      <c r="AB337" s="361"/>
      <c r="AC337" s="342"/>
      <c r="AD337" s="348"/>
    </row>
    <row r="338" spans="1:30" s="349" customFormat="1">
      <c r="A338" s="359"/>
      <c r="B338" s="359"/>
      <c r="C338" s="504"/>
      <c r="D338" s="359"/>
      <c r="E338" s="362"/>
      <c r="F338" s="359"/>
      <c r="G338" s="362"/>
      <c r="H338" s="492"/>
      <c r="I338" s="362"/>
      <c r="J338" s="492"/>
      <c r="K338" s="362"/>
      <c r="L338" s="492"/>
      <c r="M338" s="362"/>
      <c r="N338" s="492"/>
      <c r="O338" s="362"/>
      <c r="P338" s="359"/>
      <c r="Q338" s="362"/>
      <c r="R338" s="359"/>
      <c r="S338" s="362"/>
      <c r="T338" s="492"/>
      <c r="U338" s="362"/>
      <c r="V338" s="492"/>
      <c r="W338" s="362"/>
      <c r="X338" s="492"/>
      <c r="Y338" s="362"/>
      <c r="Z338" s="492"/>
      <c r="AA338" s="362"/>
      <c r="AB338" s="360"/>
      <c r="AC338" s="342"/>
      <c r="AD338" s="348"/>
    </row>
    <row r="339" spans="1:30" s="479" customFormat="1">
      <c r="A339" s="474"/>
      <c r="B339" s="474"/>
      <c r="C339" s="505"/>
      <c r="D339" s="474">
        <v>0.1</v>
      </c>
      <c r="E339" s="475">
        <f>SUM(E317:E337)</f>
        <v>1608750000</v>
      </c>
      <c r="F339" s="474">
        <v>0.1</v>
      </c>
      <c r="G339" s="475">
        <f>SUM(G317:G337)</f>
        <v>1608750000</v>
      </c>
      <c r="H339" s="515">
        <v>0.1</v>
      </c>
      <c r="I339" s="475">
        <f>SUM(I317:I337)</f>
        <v>1608750000</v>
      </c>
      <c r="J339" s="515">
        <v>0.1</v>
      </c>
      <c r="K339" s="475">
        <f>SUM(K317:K337)</f>
        <v>1608750000</v>
      </c>
      <c r="L339" s="515">
        <v>0.1</v>
      </c>
      <c r="M339" s="475">
        <f>SUM(M317:M337)</f>
        <v>1608750000</v>
      </c>
      <c r="N339" s="515">
        <v>0.1</v>
      </c>
      <c r="O339" s="475">
        <f>SUM(O317:O337)</f>
        <v>1608750000</v>
      </c>
      <c r="P339" s="474">
        <v>0.1</v>
      </c>
      <c r="Q339" s="475">
        <f>SUM(Q317:Q337)</f>
        <v>3138900000</v>
      </c>
      <c r="R339" s="474">
        <v>0.1</v>
      </c>
      <c r="S339" s="475">
        <f>SUM(S317:S337)</f>
        <v>3138900000</v>
      </c>
      <c r="T339" s="515">
        <v>0.1</v>
      </c>
      <c r="U339" s="475">
        <f>SUM(U317:U337)</f>
        <v>3138900000</v>
      </c>
      <c r="V339" s="515">
        <v>0.1</v>
      </c>
      <c r="W339" s="475">
        <f>SUM(W317:W337)</f>
        <v>3138900000</v>
      </c>
      <c r="X339" s="515">
        <v>0.1</v>
      </c>
      <c r="Y339" s="475">
        <f>SUM(Y317:Y337)</f>
        <v>3138900000</v>
      </c>
      <c r="Z339" s="515">
        <v>0.1</v>
      </c>
      <c r="AA339" s="475">
        <f>SUM(AA317:AA337)</f>
        <v>3138900000</v>
      </c>
      <c r="AB339" s="476"/>
      <c r="AC339" s="477"/>
      <c r="AD339" s="478"/>
    </row>
    <row r="340" spans="1:30" s="485" customFormat="1">
      <c r="A340" s="480"/>
      <c r="B340" s="480"/>
      <c r="C340" s="507"/>
      <c r="D340" s="480"/>
      <c r="E340" s="481">
        <f>E339*D339</f>
        <v>160875000</v>
      </c>
      <c r="F340" s="480"/>
      <c r="G340" s="482">
        <f>G339*F339</f>
        <v>160875000</v>
      </c>
      <c r="H340" s="516"/>
      <c r="I340" s="481">
        <f>I339*H339</f>
        <v>160875000</v>
      </c>
      <c r="J340" s="516"/>
      <c r="K340" s="481">
        <f>K339*J339</f>
        <v>160875000</v>
      </c>
      <c r="L340" s="516"/>
      <c r="M340" s="481">
        <f>M339*L339</f>
        <v>160875000</v>
      </c>
      <c r="N340" s="516"/>
      <c r="O340" s="481">
        <f>O339*N339</f>
        <v>160875000</v>
      </c>
      <c r="P340" s="480"/>
      <c r="Q340" s="481">
        <f>Q339*P339</f>
        <v>313890000</v>
      </c>
      <c r="R340" s="480"/>
      <c r="S340" s="481">
        <f>S339*R339</f>
        <v>313890000</v>
      </c>
      <c r="T340" s="516"/>
      <c r="U340" s="481">
        <f>U339*T339</f>
        <v>313890000</v>
      </c>
      <c r="V340" s="516"/>
      <c r="W340" s="481">
        <f>W339*V339</f>
        <v>313890000</v>
      </c>
      <c r="X340" s="516"/>
      <c r="Y340" s="481">
        <f>Y339*X339</f>
        <v>313890000</v>
      </c>
      <c r="Z340" s="516"/>
      <c r="AA340" s="481">
        <f>AA339*Z339</f>
        <v>313890000</v>
      </c>
      <c r="AB340" s="481">
        <f>SUM(AA340,Y340,W340,U340,S340,Q340,O340,M340,K340,I340,G340,E340)</f>
        <v>2848590000</v>
      </c>
      <c r="AC340" s="483"/>
      <c r="AD340" s="484"/>
    </row>
    <row r="341" spans="1:30" s="349" customFormat="1">
      <c r="A341" s="359"/>
      <c r="B341" s="359"/>
      <c r="C341" s="504"/>
      <c r="D341" s="359"/>
      <c r="E341" s="360"/>
      <c r="F341" s="359"/>
      <c r="G341" s="362"/>
      <c r="H341" s="492"/>
      <c r="I341" s="362"/>
      <c r="J341" s="492"/>
      <c r="K341" s="362"/>
      <c r="L341" s="492"/>
      <c r="M341" s="362"/>
      <c r="N341" s="492"/>
      <c r="O341" s="362"/>
      <c r="P341" s="359"/>
      <c r="Q341" s="362"/>
      <c r="R341" s="359"/>
      <c r="S341" s="362"/>
      <c r="T341" s="492"/>
      <c r="U341" s="362"/>
      <c r="V341" s="492"/>
      <c r="W341" s="362"/>
      <c r="X341" s="492"/>
      <c r="Y341" s="362"/>
      <c r="Z341" s="492"/>
      <c r="AA341" s="362"/>
      <c r="AB341" s="360"/>
      <c r="AC341" s="342"/>
      <c r="AD341" s="348"/>
    </row>
    <row r="342" spans="1:30" s="349" customFormat="1">
      <c r="A342" s="359" t="s">
        <v>217</v>
      </c>
      <c r="B342" s="359">
        <v>26</v>
      </c>
      <c r="C342" s="504">
        <v>3500</v>
      </c>
      <c r="D342" s="359">
        <v>170</v>
      </c>
      <c r="E342" s="362">
        <f>D342*C342</f>
        <v>595000</v>
      </c>
      <c r="F342" s="359">
        <v>170</v>
      </c>
      <c r="G342" s="362">
        <f>F342*C342</f>
        <v>595000</v>
      </c>
      <c r="H342" s="492">
        <v>170</v>
      </c>
      <c r="I342" s="362">
        <f>H342*C342</f>
        <v>595000</v>
      </c>
      <c r="J342" s="492">
        <v>170</v>
      </c>
      <c r="K342" s="362">
        <f>J342*C342</f>
        <v>595000</v>
      </c>
      <c r="L342" s="492">
        <v>170</v>
      </c>
      <c r="M342" s="362">
        <f>L342*C342</f>
        <v>595000</v>
      </c>
      <c r="N342" s="492">
        <v>170</v>
      </c>
      <c r="O342" s="362">
        <f>N342*C342</f>
        <v>595000</v>
      </c>
      <c r="P342" s="359">
        <v>300</v>
      </c>
      <c r="Q342" s="362">
        <f>P342*C342</f>
        <v>1050000</v>
      </c>
      <c r="R342" s="359">
        <v>300</v>
      </c>
      <c r="S342" s="362">
        <f>R342*C342</f>
        <v>1050000</v>
      </c>
      <c r="T342" s="492">
        <v>300</v>
      </c>
      <c r="U342" s="362">
        <f>T342*C342</f>
        <v>1050000</v>
      </c>
      <c r="V342" s="492">
        <v>300</v>
      </c>
      <c r="W342" s="362">
        <f>V342*C342</f>
        <v>1050000</v>
      </c>
      <c r="X342" s="492">
        <v>300</v>
      </c>
      <c r="Y342" s="362">
        <f>X342*C342</f>
        <v>1050000</v>
      </c>
      <c r="Z342" s="492">
        <v>300</v>
      </c>
      <c r="AA342" s="362">
        <f>Z342*C342</f>
        <v>1050000</v>
      </c>
      <c r="AB342" s="361"/>
      <c r="AC342" s="342"/>
      <c r="AD342" s="348"/>
    </row>
    <row r="343" spans="1:30" s="349" customFormat="1">
      <c r="A343" s="359" t="s">
        <v>217</v>
      </c>
      <c r="B343" s="359">
        <v>33</v>
      </c>
      <c r="C343" s="504">
        <v>4500</v>
      </c>
      <c r="D343" s="359">
        <v>70</v>
      </c>
      <c r="E343" s="362">
        <f>D343*C343</f>
        <v>315000</v>
      </c>
      <c r="F343" s="359">
        <v>70</v>
      </c>
      <c r="G343" s="362">
        <f>F343*C343</f>
        <v>315000</v>
      </c>
      <c r="H343" s="492">
        <v>70</v>
      </c>
      <c r="I343" s="362">
        <f>H343*C343</f>
        <v>315000</v>
      </c>
      <c r="J343" s="492">
        <v>70</v>
      </c>
      <c r="K343" s="362">
        <f>J343*C343</f>
        <v>315000</v>
      </c>
      <c r="L343" s="492">
        <v>70</v>
      </c>
      <c r="M343" s="362">
        <f>L343*C343</f>
        <v>315000</v>
      </c>
      <c r="N343" s="492">
        <v>70</v>
      </c>
      <c r="O343" s="362">
        <f>N343*C343</f>
        <v>315000</v>
      </c>
      <c r="P343" s="359">
        <v>140</v>
      </c>
      <c r="Q343" s="362">
        <f>P343*C343</f>
        <v>630000</v>
      </c>
      <c r="R343" s="359">
        <v>140</v>
      </c>
      <c r="S343" s="362">
        <f>R343*C343</f>
        <v>630000</v>
      </c>
      <c r="T343" s="492">
        <v>140</v>
      </c>
      <c r="U343" s="362">
        <f>T343*C343</f>
        <v>630000</v>
      </c>
      <c r="V343" s="492">
        <v>140</v>
      </c>
      <c r="W343" s="362">
        <f>V343*C343</f>
        <v>630000</v>
      </c>
      <c r="X343" s="492">
        <v>140</v>
      </c>
      <c r="Y343" s="362">
        <f>X343*C343</f>
        <v>630000</v>
      </c>
      <c r="Z343" s="492">
        <v>140</v>
      </c>
      <c r="AA343" s="362">
        <f>Z343*C343</f>
        <v>630000</v>
      </c>
      <c r="AB343" s="361"/>
      <c r="AC343" s="342"/>
      <c r="AD343" s="348"/>
    </row>
    <row r="344" spans="1:30" s="349" customFormat="1">
      <c r="A344" s="359" t="s">
        <v>217</v>
      </c>
      <c r="B344" s="359">
        <v>64</v>
      </c>
      <c r="C344" s="504">
        <v>5500</v>
      </c>
      <c r="D344" s="359">
        <v>30</v>
      </c>
      <c r="E344" s="362">
        <f>D344*C344</f>
        <v>165000</v>
      </c>
      <c r="F344" s="359">
        <v>30</v>
      </c>
      <c r="G344" s="362">
        <f>F344*C344</f>
        <v>165000</v>
      </c>
      <c r="H344" s="492">
        <v>30</v>
      </c>
      <c r="I344" s="362">
        <f>H344*C344</f>
        <v>165000</v>
      </c>
      <c r="J344" s="492">
        <v>30</v>
      </c>
      <c r="K344" s="362">
        <f>J344*C344</f>
        <v>165000</v>
      </c>
      <c r="L344" s="492">
        <v>30</v>
      </c>
      <c r="M344" s="362">
        <f>L344*C344</f>
        <v>165000</v>
      </c>
      <c r="N344" s="492">
        <v>30</v>
      </c>
      <c r="O344" s="362">
        <f>N344*C344</f>
        <v>165000</v>
      </c>
      <c r="P344" s="359">
        <v>60</v>
      </c>
      <c r="Q344" s="362">
        <f>P344*C344</f>
        <v>330000</v>
      </c>
      <c r="R344" s="359">
        <v>60</v>
      </c>
      <c r="S344" s="362">
        <f>R344*C344</f>
        <v>330000</v>
      </c>
      <c r="T344" s="492">
        <v>60</v>
      </c>
      <c r="U344" s="362">
        <f>T344*C344</f>
        <v>330000</v>
      </c>
      <c r="V344" s="492">
        <v>60</v>
      </c>
      <c r="W344" s="362">
        <f>V344*C344</f>
        <v>330000</v>
      </c>
      <c r="X344" s="492">
        <v>60</v>
      </c>
      <c r="Y344" s="362">
        <f>X344*C344</f>
        <v>330000</v>
      </c>
      <c r="Z344" s="492">
        <v>60</v>
      </c>
      <c r="AA344" s="362">
        <f>Z344*C344</f>
        <v>330000</v>
      </c>
      <c r="AB344" s="361"/>
      <c r="AC344" s="342"/>
      <c r="AD344" s="348"/>
    </row>
    <row r="345" spans="1:30" s="349" customFormat="1">
      <c r="A345" s="359" t="s">
        <v>217</v>
      </c>
      <c r="B345" s="359">
        <v>100</v>
      </c>
      <c r="C345" s="504">
        <v>6500</v>
      </c>
      <c r="D345" s="359">
        <v>7</v>
      </c>
      <c r="E345" s="362">
        <f>D345*C345</f>
        <v>45500</v>
      </c>
      <c r="F345" s="359">
        <v>7</v>
      </c>
      <c r="G345" s="362">
        <f>F345*C345</f>
        <v>45500</v>
      </c>
      <c r="H345" s="492">
        <v>7</v>
      </c>
      <c r="I345" s="362">
        <f>H345*C345</f>
        <v>45500</v>
      </c>
      <c r="J345" s="492">
        <v>7</v>
      </c>
      <c r="K345" s="362">
        <f>J345*C345</f>
        <v>45500</v>
      </c>
      <c r="L345" s="492">
        <v>7</v>
      </c>
      <c r="M345" s="362">
        <f>L345*C345</f>
        <v>45500</v>
      </c>
      <c r="N345" s="492">
        <v>7</v>
      </c>
      <c r="O345" s="362">
        <f>N345*C345</f>
        <v>45500</v>
      </c>
      <c r="P345" s="359">
        <v>15</v>
      </c>
      <c r="Q345" s="362">
        <f>P345*C345</f>
        <v>97500</v>
      </c>
      <c r="R345" s="359">
        <v>15</v>
      </c>
      <c r="S345" s="362">
        <f>R345*C345</f>
        <v>97500</v>
      </c>
      <c r="T345" s="492">
        <v>15</v>
      </c>
      <c r="U345" s="362">
        <f>T345*C345</f>
        <v>97500</v>
      </c>
      <c r="V345" s="492">
        <v>15</v>
      </c>
      <c r="W345" s="362">
        <f>V345*C345</f>
        <v>97500</v>
      </c>
      <c r="X345" s="492">
        <v>15</v>
      </c>
      <c r="Y345" s="362">
        <f>X345*C345</f>
        <v>97500</v>
      </c>
      <c r="Z345" s="492">
        <v>15</v>
      </c>
      <c r="AA345" s="362">
        <f>Z345*C345</f>
        <v>97500</v>
      </c>
      <c r="AB345" s="361"/>
      <c r="AC345" s="342"/>
      <c r="AD345" s="348"/>
    </row>
    <row r="346" spans="1:30" s="349" customFormat="1">
      <c r="A346" s="359"/>
      <c r="B346" s="359"/>
      <c r="C346" s="504"/>
      <c r="D346" s="359"/>
      <c r="E346" s="362"/>
      <c r="F346" s="359"/>
      <c r="G346" s="362"/>
      <c r="H346" s="492"/>
      <c r="I346" s="362"/>
      <c r="J346" s="492"/>
      <c r="K346" s="362"/>
      <c r="L346" s="492"/>
      <c r="M346" s="362"/>
      <c r="N346" s="492"/>
      <c r="O346" s="362"/>
      <c r="P346" s="359"/>
      <c r="Q346" s="362"/>
      <c r="R346" s="359"/>
      <c r="S346" s="362"/>
      <c r="T346" s="492"/>
      <c r="U346" s="362"/>
      <c r="V346" s="492"/>
      <c r="W346" s="362"/>
      <c r="X346" s="492"/>
      <c r="Y346" s="362"/>
      <c r="Z346" s="492"/>
      <c r="AA346" s="362"/>
      <c r="AB346" s="361"/>
      <c r="AC346" s="342"/>
      <c r="AD346" s="348"/>
    </row>
    <row r="347" spans="1:30" s="349" customFormat="1">
      <c r="A347" s="359" t="s">
        <v>216</v>
      </c>
      <c r="B347" s="359">
        <v>150</v>
      </c>
      <c r="C347" s="504">
        <v>10000</v>
      </c>
      <c r="D347" s="359">
        <v>170</v>
      </c>
      <c r="E347" s="362">
        <f>D347*C347</f>
        <v>1700000</v>
      </c>
      <c r="F347" s="359">
        <v>170</v>
      </c>
      <c r="G347" s="362">
        <f>F347*C347</f>
        <v>1700000</v>
      </c>
      <c r="H347" s="492">
        <v>170</v>
      </c>
      <c r="I347" s="362">
        <f>H347*C347</f>
        <v>1700000</v>
      </c>
      <c r="J347" s="492">
        <v>170</v>
      </c>
      <c r="K347" s="362">
        <f>J347*C347</f>
        <v>1700000</v>
      </c>
      <c r="L347" s="492">
        <v>170</v>
      </c>
      <c r="M347" s="362">
        <f>L347*C347</f>
        <v>1700000</v>
      </c>
      <c r="N347" s="492">
        <v>170</v>
      </c>
      <c r="O347" s="362">
        <f>N347*C347</f>
        <v>1700000</v>
      </c>
      <c r="P347" s="359">
        <v>300</v>
      </c>
      <c r="Q347" s="362">
        <f>P347*C347</f>
        <v>3000000</v>
      </c>
      <c r="R347" s="359">
        <v>300</v>
      </c>
      <c r="S347" s="362">
        <f>R347*C347</f>
        <v>3000000</v>
      </c>
      <c r="T347" s="492">
        <v>300</v>
      </c>
      <c r="U347" s="362">
        <f>T347*C347</f>
        <v>3000000</v>
      </c>
      <c r="V347" s="492">
        <v>300</v>
      </c>
      <c r="W347" s="362">
        <f>V347*C347</f>
        <v>3000000</v>
      </c>
      <c r="X347" s="492">
        <v>300</v>
      </c>
      <c r="Y347" s="362">
        <f>X347*C347</f>
        <v>3000000</v>
      </c>
      <c r="Z347" s="492">
        <v>300</v>
      </c>
      <c r="AA347" s="362">
        <f>Z347*C347</f>
        <v>3000000</v>
      </c>
      <c r="AB347" s="361"/>
      <c r="AC347" s="342"/>
      <c r="AD347" s="348"/>
    </row>
    <row r="348" spans="1:30" s="349" customFormat="1">
      <c r="A348" s="359" t="s">
        <v>216</v>
      </c>
      <c r="B348" s="359">
        <v>250</v>
      </c>
      <c r="C348" s="504">
        <v>18000</v>
      </c>
      <c r="D348" s="359">
        <v>70</v>
      </c>
      <c r="E348" s="362">
        <f>D348*C348</f>
        <v>1260000</v>
      </c>
      <c r="F348" s="359">
        <v>70</v>
      </c>
      <c r="G348" s="362">
        <f>F348*C348</f>
        <v>1260000</v>
      </c>
      <c r="H348" s="492">
        <v>70</v>
      </c>
      <c r="I348" s="362">
        <f>H348*C348</f>
        <v>1260000</v>
      </c>
      <c r="J348" s="492">
        <v>70</v>
      </c>
      <c r="K348" s="362">
        <f>J348*C348</f>
        <v>1260000</v>
      </c>
      <c r="L348" s="492">
        <v>70</v>
      </c>
      <c r="M348" s="362">
        <f>L348*C348</f>
        <v>1260000</v>
      </c>
      <c r="N348" s="492">
        <v>70</v>
      </c>
      <c r="O348" s="362">
        <f>N348*C348</f>
        <v>1260000</v>
      </c>
      <c r="P348" s="359">
        <v>140</v>
      </c>
      <c r="Q348" s="362">
        <f>P348*C348</f>
        <v>2520000</v>
      </c>
      <c r="R348" s="359">
        <v>140</v>
      </c>
      <c r="S348" s="362">
        <f>R348*C348</f>
        <v>2520000</v>
      </c>
      <c r="T348" s="492">
        <v>140</v>
      </c>
      <c r="U348" s="362">
        <f>T348*C348</f>
        <v>2520000</v>
      </c>
      <c r="V348" s="492">
        <v>140</v>
      </c>
      <c r="W348" s="362">
        <f>V348*C348</f>
        <v>2520000</v>
      </c>
      <c r="X348" s="492">
        <v>140</v>
      </c>
      <c r="Y348" s="362">
        <f>X348*C348</f>
        <v>2520000</v>
      </c>
      <c r="Z348" s="492">
        <v>140</v>
      </c>
      <c r="AA348" s="362">
        <f>Z348*C348</f>
        <v>2520000</v>
      </c>
      <c r="AB348" s="361"/>
      <c r="AC348" s="342"/>
      <c r="AD348" s="348"/>
    </row>
    <row r="349" spans="1:30" s="349" customFormat="1">
      <c r="A349" s="359" t="s">
        <v>216</v>
      </c>
      <c r="B349" s="359">
        <v>350</v>
      </c>
      <c r="C349" s="504">
        <v>25000</v>
      </c>
      <c r="D349" s="359">
        <v>30</v>
      </c>
      <c r="E349" s="362">
        <f>D349*C349</f>
        <v>750000</v>
      </c>
      <c r="F349" s="359">
        <v>30</v>
      </c>
      <c r="G349" s="362">
        <f>F349*C349</f>
        <v>750000</v>
      </c>
      <c r="H349" s="492">
        <v>30</v>
      </c>
      <c r="I349" s="362">
        <f>H349*C349</f>
        <v>750000</v>
      </c>
      <c r="J349" s="492">
        <v>30</v>
      </c>
      <c r="K349" s="362">
        <f>J349*C349</f>
        <v>750000</v>
      </c>
      <c r="L349" s="492">
        <v>30</v>
      </c>
      <c r="M349" s="362">
        <f>L349*C349</f>
        <v>750000</v>
      </c>
      <c r="N349" s="492">
        <v>30</v>
      </c>
      <c r="O349" s="362">
        <f>N349*C349</f>
        <v>750000</v>
      </c>
      <c r="P349" s="359">
        <v>60</v>
      </c>
      <c r="Q349" s="362">
        <f>P349*C349</f>
        <v>1500000</v>
      </c>
      <c r="R349" s="359">
        <v>60</v>
      </c>
      <c r="S349" s="362">
        <f>R349*C349</f>
        <v>1500000</v>
      </c>
      <c r="T349" s="492">
        <v>60</v>
      </c>
      <c r="U349" s="362">
        <f>T349*C349</f>
        <v>1500000</v>
      </c>
      <c r="V349" s="492">
        <v>60</v>
      </c>
      <c r="W349" s="362">
        <f>V349*C349</f>
        <v>1500000</v>
      </c>
      <c r="X349" s="492">
        <v>60</v>
      </c>
      <c r="Y349" s="362">
        <f>X349*C349</f>
        <v>1500000</v>
      </c>
      <c r="Z349" s="492">
        <v>60</v>
      </c>
      <c r="AA349" s="362">
        <f>Z349*C349</f>
        <v>1500000</v>
      </c>
      <c r="AB349" s="361"/>
      <c r="AC349" s="342"/>
      <c r="AD349" s="348"/>
    </row>
    <row r="350" spans="1:30" s="349" customFormat="1">
      <c r="A350" s="359" t="s">
        <v>216</v>
      </c>
      <c r="B350" s="359">
        <v>500</v>
      </c>
      <c r="C350" s="504">
        <v>40000</v>
      </c>
      <c r="D350" s="359">
        <v>7</v>
      </c>
      <c r="E350" s="362">
        <f>D350*C350</f>
        <v>280000</v>
      </c>
      <c r="F350" s="359">
        <v>7</v>
      </c>
      <c r="G350" s="362">
        <f>F350*C350</f>
        <v>280000</v>
      </c>
      <c r="H350" s="492">
        <v>7</v>
      </c>
      <c r="I350" s="362">
        <f>H350*C350</f>
        <v>280000</v>
      </c>
      <c r="J350" s="492">
        <v>7</v>
      </c>
      <c r="K350" s="362">
        <f>J350*C350</f>
        <v>280000</v>
      </c>
      <c r="L350" s="492">
        <v>7</v>
      </c>
      <c r="M350" s="362">
        <f>L350*C350</f>
        <v>280000</v>
      </c>
      <c r="N350" s="492">
        <v>7</v>
      </c>
      <c r="O350" s="362">
        <f>N350*C350</f>
        <v>280000</v>
      </c>
      <c r="P350" s="359">
        <v>15</v>
      </c>
      <c r="Q350" s="362">
        <f>P350*C350</f>
        <v>600000</v>
      </c>
      <c r="R350" s="359">
        <v>15</v>
      </c>
      <c r="S350" s="362">
        <f>R350*C350</f>
        <v>600000</v>
      </c>
      <c r="T350" s="492">
        <v>15</v>
      </c>
      <c r="U350" s="362">
        <f>T350*C350</f>
        <v>600000</v>
      </c>
      <c r="V350" s="492">
        <v>15</v>
      </c>
      <c r="W350" s="362">
        <f>V350*C350</f>
        <v>600000</v>
      </c>
      <c r="X350" s="492">
        <v>15</v>
      </c>
      <c r="Y350" s="362">
        <f>X350*C350</f>
        <v>600000</v>
      </c>
      <c r="Z350" s="492">
        <v>15</v>
      </c>
      <c r="AA350" s="362">
        <f>Z350*C350</f>
        <v>600000</v>
      </c>
      <c r="AB350" s="361"/>
      <c r="AC350" s="342"/>
      <c r="AD350" s="348"/>
    </row>
    <row r="351" spans="1:30" s="349" customFormat="1">
      <c r="A351" s="359"/>
      <c r="B351" s="359"/>
      <c r="C351" s="504"/>
      <c r="D351" s="359"/>
      <c r="E351" s="362"/>
      <c r="F351" s="359"/>
      <c r="G351" s="362"/>
      <c r="H351" s="492"/>
      <c r="I351" s="362"/>
      <c r="J351" s="492"/>
      <c r="K351" s="362"/>
      <c r="L351" s="492"/>
      <c r="M351" s="362"/>
      <c r="N351" s="492"/>
      <c r="O351" s="362"/>
      <c r="P351" s="359"/>
      <c r="Q351" s="362"/>
      <c r="R351" s="359"/>
      <c r="S351" s="362"/>
      <c r="T351" s="492"/>
      <c r="U351" s="362"/>
      <c r="V351" s="492"/>
      <c r="W351" s="362"/>
      <c r="X351" s="492"/>
      <c r="Y351" s="362"/>
      <c r="Z351" s="492"/>
      <c r="AA351" s="362"/>
      <c r="AB351" s="361"/>
      <c r="AC351" s="342"/>
      <c r="AD351" s="348"/>
    </row>
    <row r="352" spans="1:30" s="349" customFormat="1">
      <c r="A352" s="359" t="s">
        <v>215</v>
      </c>
      <c r="B352" s="359">
        <v>100</v>
      </c>
      <c r="C352" s="504">
        <v>8000</v>
      </c>
      <c r="D352" s="359">
        <v>30</v>
      </c>
      <c r="E352" s="362">
        <f>D352*C352</f>
        <v>240000</v>
      </c>
      <c r="F352" s="359">
        <v>30</v>
      </c>
      <c r="G352" s="362">
        <f>F352*C352</f>
        <v>240000</v>
      </c>
      <c r="H352" s="492">
        <v>30</v>
      </c>
      <c r="I352" s="362">
        <f>H352*C352</f>
        <v>240000</v>
      </c>
      <c r="J352" s="492">
        <v>30</v>
      </c>
      <c r="K352" s="362">
        <f>J352*C352</f>
        <v>240000</v>
      </c>
      <c r="L352" s="492">
        <v>30</v>
      </c>
      <c r="M352" s="362">
        <f>L352*C352</f>
        <v>240000</v>
      </c>
      <c r="N352" s="492">
        <v>30</v>
      </c>
      <c r="O352" s="362">
        <f>N352*C352</f>
        <v>240000</v>
      </c>
      <c r="P352" s="491">
        <v>60</v>
      </c>
      <c r="Q352" s="362">
        <f>P352*C352</f>
        <v>480000</v>
      </c>
      <c r="R352" s="491">
        <v>60</v>
      </c>
      <c r="S352" s="362">
        <f>R352*C352</f>
        <v>480000</v>
      </c>
      <c r="T352" s="492">
        <v>60</v>
      </c>
      <c r="U352" s="362">
        <f>T352*C352</f>
        <v>480000</v>
      </c>
      <c r="V352" s="492">
        <v>60</v>
      </c>
      <c r="W352" s="362">
        <f>V352*C352</f>
        <v>480000</v>
      </c>
      <c r="X352" s="492">
        <v>60</v>
      </c>
      <c r="Y352" s="362">
        <f>X352*C352</f>
        <v>480000</v>
      </c>
      <c r="Z352" s="492">
        <v>60</v>
      </c>
      <c r="AA352" s="362">
        <f>Z352*C352</f>
        <v>480000</v>
      </c>
      <c r="AB352" s="361"/>
      <c r="AC352" s="342"/>
      <c r="AD352" s="348"/>
    </row>
    <row r="353" spans="1:30" s="349" customFormat="1">
      <c r="A353" s="359" t="s">
        <v>215</v>
      </c>
      <c r="B353" s="359">
        <v>150</v>
      </c>
      <c r="C353" s="504">
        <v>12000</v>
      </c>
      <c r="D353" s="359">
        <v>27</v>
      </c>
      <c r="E353" s="362">
        <f>D353*C353</f>
        <v>324000</v>
      </c>
      <c r="F353" s="359">
        <v>27</v>
      </c>
      <c r="G353" s="362">
        <f>F353*C353</f>
        <v>324000</v>
      </c>
      <c r="H353" s="492">
        <v>27</v>
      </c>
      <c r="I353" s="362">
        <f>H353*C353</f>
        <v>324000</v>
      </c>
      <c r="J353" s="492">
        <v>27</v>
      </c>
      <c r="K353" s="362">
        <f>J353*C353</f>
        <v>324000</v>
      </c>
      <c r="L353" s="492">
        <v>27</v>
      </c>
      <c r="M353" s="362">
        <f>L353*C353</f>
        <v>324000</v>
      </c>
      <c r="N353" s="492">
        <v>27</v>
      </c>
      <c r="O353" s="362">
        <f>N353*C353</f>
        <v>324000</v>
      </c>
      <c r="P353" s="492">
        <v>50</v>
      </c>
      <c r="Q353" s="362">
        <f>P353*C353</f>
        <v>600000</v>
      </c>
      <c r="R353" s="492">
        <v>50</v>
      </c>
      <c r="S353" s="362">
        <f>R353*C353</f>
        <v>600000</v>
      </c>
      <c r="T353" s="492">
        <v>50</v>
      </c>
      <c r="U353" s="362">
        <f>T353*C353</f>
        <v>600000</v>
      </c>
      <c r="V353" s="492">
        <v>50</v>
      </c>
      <c r="W353" s="362">
        <f>V353*C353</f>
        <v>600000</v>
      </c>
      <c r="X353" s="492">
        <v>50</v>
      </c>
      <c r="Y353" s="362">
        <f>X353*C353</f>
        <v>600000</v>
      </c>
      <c r="Z353" s="492">
        <v>50</v>
      </c>
      <c r="AA353" s="362">
        <f>Z353*C353</f>
        <v>600000</v>
      </c>
      <c r="AB353" s="361"/>
      <c r="AC353" s="342"/>
      <c r="AD353" s="348"/>
    </row>
    <row r="354" spans="1:30" s="349" customFormat="1">
      <c r="A354" s="359" t="s">
        <v>215</v>
      </c>
      <c r="B354" s="359">
        <v>250</v>
      </c>
      <c r="C354" s="504">
        <v>20000</v>
      </c>
      <c r="D354" s="359">
        <v>20</v>
      </c>
      <c r="E354" s="362">
        <f>D354*C354</f>
        <v>400000</v>
      </c>
      <c r="F354" s="359">
        <v>20</v>
      </c>
      <c r="G354" s="362">
        <f>F354*C354</f>
        <v>400000</v>
      </c>
      <c r="H354" s="492">
        <v>20</v>
      </c>
      <c r="I354" s="362">
        <f>H354*C354</f>
        <v>400000</v>
      </c>
      <c r="J354" s="492">
        <v>20</v>
      </c>
      <c r="K354" s="362">
        <f>J354*C354</f>
        <v>400000</v>
      </c>
      <c r="L354" s="492">
        <v>20</v>
      </c>
      <c r="M354" s="362">
        <f>L354*C354</f>
        <v>400000</v>
      </c>
      <c r="N354" s="492">
        <v>20</v>
      </c>
      <c r="O354" s="362">
        <f>N354*C354</f>
        <v>400000</v>
      </c>
      <c r="P354" s="492">
        <v>40</v>
      </c>
      <c r="Q354" s="362">
        <f>P354*C354</f>
        <v>800000</v>
      </c>
      <c r="R354" s="492">
        <v>40</v>
      </c>
      <c r="S354" s="362">
        <f>R354*C354</f>
        <v>800000</v>
      </c>
      <c r="T354" s="492">
        <v>40</v>
      </c>
      <c r="U354" s="362">
        <f>T354*C354</f>
        <v>800000</v>
      </c>
      <c r="V354" s="492">
        <v>40</v>
      </c>
      <c r="W354" s="362">
        <f>V354*C354</f>
        <v>800000</v>
      </c>
      <c r="X354" s="492">
        <v>40</v>
      </c>
      <c r="Y354" s="362">
        <f>X354*C354</f>
        <v>800000</v>
      </c>
      <c r="Z354" s="492">
        <v>40</v>
      </c>
      <c r="AA354" s="362">
        <f>Z354*C354</f>
        <v>800000</v>
      </c>
      <c r="AB354" s="361"/>
      <c r="AC354" s="342"/>
      <c r="AD354" s="348"/>
    </row>
    <row r="355" spans="1:30" s="349" customFormat="1">
      <c r="A355" s="359" t="s">
        <v>215</v>
      </c>
      <c r="B355" s="359">
        <v>350</v>
      </c>
      <c r="C355" s="504">
        <v>28000</v>
      </c>
      <c r="D355" s="359">
        <v>14</v>
      </c>
      <c r="E355" s="362">
        <f>D355*C355</f>
        <v>392000</v>
      </c>
      <c r="F355" s="359">
        <v>14</v>
      </c>
      <c r="G355" s="362">
        <f>F355*C355</f>
        <v>392000</v>
      </c>
      <c r="H355" s="492">
        <v>14</v>
      </c>
      <c r="I355" s="362">
        <f>H355*C355</f>
        <v>392000</v>
      </c>
      <c r="J355" s="492">
        <v>14</v>
      </c>
      <c r="K355" s="362">
        <f>J355*C355</f>
        <v>392000</v>
      </c>
      <c r="L355" s="492">
        <v>14</v>
      </c>
      <c r="M355" s="362">
        <f>L355*C355</f>
        <v>392000</v>
      </c>
      <c r="N355" s="492">
        <v>14</v>
      </c>
      <c r="O355" s="362">
        <f>N355*C355</f>
        <v>392000</v>
      </c>
      <c r="P355" s="492">
        <v>30</v>
      </c>
      <c r="Q355" s="362">
        <f>P355*C355</f>
        <v>840000</v>
      </c>
      <c r="R355" s="492">
        <v>30</v>
      </c>
      <c r="S355" s="362">
        <f>R355*C355</f>
        <v>840000</v>
      </c>
      <c r="T355" s="492">
        <v>30</v>
      </c>
      <c r="U355" s="362">
        <f>T355*C355</f>
        <v>840000</v>
      </c>
      <c r="V355" s="492">
        <v>30</v>
      </c>
      <c r="W355" s="362">
        <f>V355*C355</f>
        <v>840000</v>
      </c>
      <c r="X355" s="492">
        <v>30</v>
      </c>
      <c r="Y355" s="362">
        <f>X355*C355</f>
        <v>840000</v>
      </c>
      <c r="Z355" s="492">
        <v>30</v>
      </c>
      <c r="AA355" s="362">
        <f>Z355*C355</f>
        <v>840000</v>
      </c>
      <c r="AB355" s="361"/>
      <c r="AC355" s="342"/>
      <c r="AD355" s="348"/>
    </row>
    <row r="356" spans="1:30" s="349" customFormat="1">
      <c r="A356" s="359" t="s">
        <v>215</v>
      </c>
      <c r="B356" s="359">
        <v>500</v>
      </c>
      <c r="C356" s="504">
        <v>50000</v>
      </c>
      <c r="D356" s="359">
        <v>7</v>
      </c>
      <c r="E356" s="362">
        <f>D356*C356</f>
        <v>350000</v>
      </c>
      <c r="F356" s="359">
        <v>7</v>
      </c>
      <c r="G356" s="362">
        <f>F356*C356</f>
        <v>350000</v>
      </c>
      <c r="H356" s="492">
        <v>7</v>
      </c>
      <c r="I356" s="362">
        <f>H356*C356</f>
        <v>350000</v>
      </c>
      <c r="J356" s="492">
        <v>7</v>
      </c>
      <c r="K356" s="362">
        <f>J356*C356</f>
        <v>350000</v>
      </c>
      <c r="L356" s="492">
        <v>7</v>
      </c>
      <c r="M356" s="362">
        <f>L356*C356</f>
        <v>350000</v>
      </c>
      <c r="N356" s="492">
        <v>7</v>
      </c>
      <c r="O356" s="362">
        <f>N356*C356</f>
        <v>350000</v>
      </c>
      <c r="P356" s="359">
        <v>15</v>
      </c>
      <c r="Q356" s="362">
        <f>P356*C356</f>
        <v>750000</v>
      </c>
      <c r="R356" s="359">
        <v>15</v>
      </c>
      <c r="S356" s="362">
        <f>R356*C356</f>
        <v>750000</v>
      </c>
      <c r="T356" s="492">
        <v>15</v>
      </c>
      <c r="U356" s="362">
        <f>T356*C356</f>
        <v>750000</v>
      </c>
      <c r="V356" s="492">
        <v>15</v>
      </c>
      <c r="W356" s="362">
        <f>V356*C356</f>
        <v>750000</v>
      </c>
      <c r="X356" s="492">
        <v>15</v>
      </c>
      <c r="Y356" s="362">
        <f>X356*C356</f>
        <v>750000</v>
      </c>
      <c r="Z356" s="492">
        <v>15</v>
      </c>
      <c r="AA356" s="362">
        <f>Z356*C356</f>
        <v>750000</v>
      </c>
      <c r="AB356" s="361"/>
      <c r="AC356" s="342"/>
      <c r="AD356" s="348"/>
    </row>
    <row r="357" spans="1:30">
      <c r="A357" s="359"/>
      <c r="B357" s="359"/>
      <c r="C357" s="504"/>
      <c r="D357" s="359"/>
      <c r="E357" s="362"/>
      <c r="F357" s="359"/>
      <c r="G357" s="362"/>
      <c r="H357" s="492"/>
      <c r="I357" s="362"/>
      <c r="J357" s="492"/>
      <c r="K357" s="362"/>
      <c r="L357" s="492"/>
      <c r="M357" s="362"/>
      <c r="N357" s="492"/>
      <c r="O357" s="362"/>
      <c r="P357" s="359"/>
      <c r="Q357" s="362"/>
      <c r="R357" s="359"/>
      <c r="S357" s="362"/>
      <c r="T357" s="492"/>
      <c r="U357" s="362"/>
      <c r="V357" s="492"/>
      <c r="W357" s="362"/>
      <c r="X357" s="492"/>
      <c r="Y357" s="362"/>
      <c r="Z357" s="492"/>
      <c r="AA357" s="362"/>
      <c r="AB357" s="361"/>
      <c r="AD357" s="350"/>
    </row>
    <row r="358" spans="1:30" s="349" customFormat="1">
      <c r="A358" s="359" t="s">
        <v>214</v>
      </c>
      <c r="B358" s="359">
        <v>100</v>
      </c>
      <c r="C358" s="504">
        <v>8000</v>
      </c>
      <c r="D358" s="359">
        <v>30</v>
      </c>
      <c r="E358" s="362">
        <f>D358*C358</f>
        <v>240000</v>
      </c>
      <c r="F358" s="359">
        <v>30</v>
      </c>
      <c r="G358" s="362">
        <f>F358*C358</f>
        <v>240000</v>
      </c>
      <c r="H358" s="492">
        <v>30</v>
      </c>
      <c r="I358" s="362">
        <f>H358*C358</f>
        <v>240000</v>
      </c>
      <c r="J358" s="492">
        <v>30</v>
      </c>
      <c r="K358" s="362">
        <f>J358*C358</f>
        <v>240000</v>
      </c>
      <c r="L358" s="492">
        <v>30</v>
      </c>
      <c r="M358" s="362">
        <f>L358*C358</f>
        <v>240000</v>
      </c>
      <c r="N358" s="492">
        <v>30</v>
      </c>
      <c r="O358" s="362">
        <f>N358*C358</f>
        <v>240000</v>
      </c>
      <c r="P358" s="491">
        <v>60</v>
      </c>
      <c r="Q358" s="362">
        <f>P358*C358</f>
        <v>480000</v>
      </c>
      <c r="R358" s="491">
        <v>60</v>
      </c>
      <c r="S358" s="362">
        <f>R358*C358</f>
        <v>480000</v>
      </c>
      <c r="T358" s="492">
        <v>60</v>
      </c>
      <c r="U358" s="362">
        <f>T358*C358</f>
        <v>480000</v>
      </c>
      <c r="V358" s="492">
        <v>60</v>
      </c>
      <c r="W358" s="362">
        <f>V358*C358</f>
        <v>480000</v>
      </c>
      <c r="X358" s="492">
        <v>60</v>
      </c>
      <c r="Y358" s="362">
        <f>X358*C358</f>
        <v>480000</v>
      </c>
      <c r="Z358" s="492">
        <v>60</v>
      </c>
      <c r="AA358" s="362">
        <f>Z358*C358</f>
        <v>480000</v>
      </c>
      <c r="AB358" s="361"/>
      <c r="AC358" s="342"/>
      <c r="AD358" s="348"/>
    </row>
    <row r="359" spans="1:30" s="349" customFormat="1">
      <c r="A359" s="359" t="s">
        <v>214</v>
      </c>
      <c r="B359" s="359">
        <v>150</v>
      </c>
      <c r="C359" s="504">
        <v>12000</v>
      </c>
      <c r="D359" s="359">
        <v>27</v>
      </c>
      <c r="E359" s="362">
        <f>D359*C359</f>
        <v>324000</v>
      </c>
      <c r="F359" s="359">
        <v>27</v>
      </c>
      <c r="G359" s="362">
        <f>F359*C359</f>
        <v>324000</v>
      </c>
      <c r="H359" s="492">
        <v>27</v>
      </c>
      <c r="I359" s="362">
        <f>H359*C359</f>
        <v>324000</v>
      </c>
      <c r="J359" s="492">
        <v>27</v>
      </c>
      <c r="K359" s="362">
        <f>J359*C359</f>
        <v>324000</v>
      </c>
      <c r="L359" s="492">
        <v>27</v>
      </c>
      <c r="M359" s="362">
        <f>L359*C359</f>
        <v>324000</v>
      </c>
      <c r="N359" s="492">
        <v>27</v>
      </c>
      <c r="O359" s="362">
        <f>N359*C359</f>
        <v>324000</v>
      </c>
      <c r="P359" s="492">
        <v>50</v>
      </c>
      <c r="Q359" s="362">
        <f>P359*C359</f>
        <v>600000</v>
      </c>
      <c r="R359" s="492">
        <v>50</v>
      </c>
      <c r="S359" s="362">
        <f>R359*C359</f>
        <v>600000</v>
      </c>
      <c r="T359" s="492">
        <v>50</v>
      </c>
      <c r="U359" s="362">
        <f>T359*C359</f>
        <v>600000</v>
      </c>
      <c r="V359" s="492">
        <v>50</v>
      </c>
      <c r="W359" s="362">
        <f>V359*C359</f>
        <v>600000</v>
      </c>
      <c r="X359" s="492">
        <v>50</v>
      </c>
      <c r="Y359" s="362">
        <f>X359*C359</f>
        <v>600000</v>
      </c>
      <c r="Z359" s="492">
        <v>50</v>
      </c>
      <c r="AA359" s="362">
        <f>Z359*C359</f>
        <v>600000</v>
      </c>
      <c r="AB359" s="361"/>
      <c r="AC359" s="342"/>
      <c r="AD359" s="348"/>
    </row>
    <row r="360" spans="1:30" s="349" customFormat="1">
      <c r="A360" s="359" t="s">
        <v>214</v>
      </c>
      <c r="B360" s="359">
        <v>250</v>
      </c>
      <c r="C360" s="504">
        <v>20000</v>
      </c>
      <c r="D360" s="359">
        <v>20</v>
      </c>
      <c r="E360" s="362">
        <f>D360*C360</f>
        <v>400000</v>
      </c>
      <c r="F360" s="359">
        <v>20</v>
      </c>
      <c r="G360" s="362">
        <f>F360*C360</f>
        <v>400000</v>
      </c>
      <c r="H360" s="492">
        <v>20</v>
      </c>
      <c r="I360" s="362">
        <f>H360*C360</f>
        <v>400000</v>
      </c>
      <c r="J360" s="492">
        <v>20</v>
      </c>
      <c r="K360" s="362">
        <f>J360*C360</f>
        <v>400000</v>
      </c>
      <c r="L360" s="492">
        <v>20</v>
      </c>
      <c r="M360" s="362">
        <f>L360*C360</f>
        <v>400000</v>
      </c>
      <c r="N360" s="492">
        <v>20</v>
      </c>
      <c r="O360" s="362">
        <f>N360*C360</f>
        <v>400000</v>
      </c>
      <c r="P360" s="492">
        <v>40</v>
      </c>
      <c r="Q360" s="362">
        <f>P360*C360</f>
        <v>800000</v>
      </c>
      <c r="R360" s="492">
        <v>40</v>
      </c>
      <c r="S360" s="362">
        <f>R360*C360</f>
        <v>800000</v>
      </c>
      <c r="T360" s="492">
        <v>40</v>
      </c>
      <c r="U360" s="362">
        <f>T360*C360</f>
        <v>800000</v>
      </c>
      <c r="V360" s="492">
        <v>40</v>
      </c>
      <c r="W360" s="362">
        <f>V360*C360</f>
        <v>800000</v>
      </c>
      <c r="X360" s="492">
        <v>40</v>
      </c>
      <c r="Y360" s="362">
        <f>X360*C360</f>
        <v>800000</v>
      </c>
      <c r="Z360" s="492">
        <v>40</v>
      </c>
      <c r="AA360" s="362">
        <f>Z360*C360</f>
        <v>800000</v>
      </c>
      <c r="AB360" s="361"/>
      <c r="AC360" s="342"/>
      <c r="AD360" s="348"/>
    </row>
    <row r="361" spans="1:30" s="349" customFormat="1">
      <c r="A361" s="359" t="s">
        <v>214</v>
      </c>
      <c r="B361" s="359">
        <v>350</v>
      </c>
      <c r="C361" s="504">
        <v>28000</v>
      </c>
      <c r="D361" s="359">
        <v>14</v>
      </c>
      <c r="E361" s="362">
        <f>D361*C361</f>
        <v>392000</v>
      </c>
      <c r="F361" s="359">
        <v>14</v>
      </c>
      <c r="G361" s="362">
        <f>F361*C361</f>
        <v>392000</v>
      </c>
      <c r="H361" s="492">
        <v>14</v>
      </c>
      <c r="I361" s="362">
        <f>H361*C361</f>
        <v>392000</v>
      </c>
      <c r="J361" s="492">
        <v>14</v>
      </c>
      <c r="K361" s="362">
        <f>J361*C361</f>
        <v>392000</v>
      </c>
      <c r="L361" s="492">
        <v>14</v>
      </c>
      <c r="M361" s="362">
        <f>L361*C361</f>
        <v>392000</v>
      </c>
      <c r="N361" s="492">
        <v>14</v>
      </c>
      <c r="O361" s="362">
        <f>N361*C361</f>
        <v>392000</v>
      </c>
      <c r="P361" s="492">
        <v>30</v>
      </c>
      <c r="Q361" s="362">
        <f>P361*C361</f>
        <v>840000</v>
      </c>
      <c r="R361" s="492">
        <v>30</v>
      </c>
      <c r="S361" s="362">
        <f>R361*C361</f>
        <v>840000</v>
      </c>
      <c r="T361" s="492">
        <v>30</v>
      </c>
      <c r="U361" s="362">
        <f>T361*C361</f>
        <v>840000</v>
      </c>
      <c r="V361" s="492">
        <v>30</v>
      </c>
      <c r="W361" s="362">
        <f>V361*C361</f>
        <v>840000</v>
      </c>
      <c r="X361" s="492">
        <v>30</v>
      </c>
      <c r="Y361" s="362">
        <f>X361*C361</f>
        <v>840000</v>
      </c>
      <c r="Z361" s="492">
        <v>30</v>
      </c>
      <c r="AA361" s="362">
        <f>Z361*C361</f>
        <v>840000</v>
      </c>
      <c r="AB361" s="361"/>
      <c r="AC361" s="342"/>
      <c r="AD361" s="348"/>
    </row>
    <row r="362" spans="1:30" s="349" customFormat="1">
      <c r="A362" s="359" t="s">
        <v>214</v>
      </c>
      <c r="B362" s="359">
        <v>500</v>
      </c>
      <c r="C362" s="504">
        <v>50000</v>
      </c>
      <c r="D362" s="359">
        <v>7</v>
      </c>
      <c r="E362" s="362">
        <f>D362*C362</f>
        <v>350000</v>
      </c>
      <c r="F362" s="359">
        <v>7</v>
      </c>
      <c r="G362" s="362">
        <f>F362*C362</f>
        <v>350000</v>
      </c>
      <c r="H362" s="492">
        <v>7</v>
      </c>
      <c r="I362" s="362">
        <f>H362*C362</f>
        <v>350000</v>
      </c>
      <c r="J362" s="492">
        <v>7</v>
      </c>
      <c r="K362" s="362">
        <f>J362*C362</f>
        <v>350000</v>
      </c>
      <c r="L362" s="492">
        <v>7</v>
      </c>
      <c r="M362" s="362">
        <f>C362</f>
        <v>50000</v>
      </c>
      <c r="N362" s="492">
        <v>7</v>
      </c>
      <c r="O362" s="362">
        <f>N362*C362</f>
        <v>350000</v>
      </c>
      <c r="P362" s="359">
        <v>15</v>
      </c>
      <c r="Q362" s="362">
        <f>P362*C362</f>
        <v>750000</v>
      </c>
      <c r="R362" s="359">
        <v>15</v>
      </c>
      <c r="S362" s="362">
        <f>R362*C362</f>
        <v>750000</v>
      </c>
      <c r="T362" s="492">
        <v>15</v>
      </c>
      <c r="U362" s="362">
        <f>T362*C362</f>
        <v>750000</v>
      </c>
      <c r="V362" s="492">
        <v>15</v>
      </c>
      <c r="W362" s="362">
        <f>V362*C362</f>
        <v>750000</v>
      </c>
      <c r="X362" s="492">
        <v>15</v>
      </c>
      <c r="Y362" s="362">
        <f>X362*C362</f>
        <v>750000</v>
      </c>
      <c r="Z362" s="492">
        <v>15</v>
      </c>
      <c r="AA362" s="362">
        <f>Z362*C362</f>
        <v>750000</v>
      </c>
      <c r="AB362" s="361"/>
      <c r="AC362" s="342"/>
      <c r="AD362" s="348"/>
    </row>
    <row r="363" spans="1:30" s="349" customFormat="1">
      <c r="A363" s="359"/>
      <c r="B363" s="359"/>
      <c r="C363" s="504"/>
      <c r="D363" s="359"/>
      <c r="E363" s="362"/>
      <c r="F363" s="359"/>
      <c r="G363" s="362"/>
      <c r="H363" s="492"/>
      <c r="I363" s="362"/>
      <c r="J363" s="492"/>
      <c r="K363" s="362"/>
      <c r="L363" s="492"/>
      <c r="M363" s="362"/>
      <c r="N363" s="492"/>
      <c r="O363" s="362"/>
      <c r="P363" s="359"/>
      <c r="Q363" s="362"/>
      <c r="R363" s="359"/>
      <c r="S363" s="362"/>
      <c r="T363" s="492"/>
      <c r="U363" s="362"/>
      <c r="V363" s="492"/>
      <c r="W363" s="362"/>
      <c r="X363" s="492"/>
      <c r="Y363" s="362"/>
      <c r="Z363" s="492"/>
      <c r="AA363" s="362"/>
      <c r="AB363" s="360"/>
      <c r="AC363" s="342"/>
      <c r="AD363" s="348"/>
    </row>
    <row r="364" spans="1:30" s="479" customFormat="1">
      <c r="A364" s="474"/>
      <c r="B364" s="474"/>
      <c r="C364" s="505"/>
      <c r="D364" s="474">
        <v>0.1</v>
      </c>
      <c r="E364" s="475">
        <f>SUM(E342:E362)</f>
        <v>8522500</v>
      </c>
      <c r="F364" s="474">
        <v>0.1</v>
      </c>
      <c r="G364" s="475">
        <f>SUM(G342:G362)</f>
        <v>8522500</v>
      </c>
      <c r="H364" s="515">
        <v>0.1</v>
      </c>
      <c r="I364" s="475">
        <f>SUM(I342:I362)</f>
        <v>8522500</v>
      </c>
      <c r="J364" s="515">
        <v>0.1</v>
      </c>
      <c r="K364" s="475">
        <f>SUM(K342:K362)</f>
        <v>8522500</v>
      </c>
      <c r="L364" s="515">
        <v>0.1</v>
      </c>
      <c r="M364" s="475">
        <f>SUM(M342:M362)</f>
        <v>8222500</v>
      </c>
      <c r="N364" s="515">
        <v>0.1</v>
      </c>
      <c r="O364" s="475">
        <f>SUM(O342:O362)</f>
        <v>8522500</v>
      </c>
      <c r="P364" s="474">
        <v>0.1</v>
      </c>
      <c r="Q364" s="475">
        <f>SUM(Q342:Q362)</f>
        <v>16667500</v>
      </c>
      <c r="R364" s="474">
        <v>0.1</v>
      </c>
      <c r="S364" s="475">
        <f>SUM(S342:S362)</f>
        <v>16667500</v>
      </c>
      <c r="T364" s="515">
        <v>0.1</v>
      </c>
      <c r="U364" s="475">
        <f>SUM(U342:U362)</f>
        <v>16667500</v>
      </c>
      <c r="V364" s="515">
        <v>0.1</v>
      </c>
      <c r="W364" s="475">
        <f>SUM(W342:W362)</f>
        <v>16667500</v>
      </c>
      <c r="X364" s="515">
        <v>0.1</v>
      </c>
      <c r="Y364" s="475">
        <f>SUM(Y342:Y362)</f>
        <v>16667500</v>
      </c>
      <c r="Z364" s="515">
        <v>0.1</v>
      </c>
      <c r="AA364" s="475">
        <f>SUM(AA342:AA362)</f>
        <v>16667500</v>
      </c>
      <c r="AB364" s="476"/>
      <c r="AC364" s="477"/>
      <c r="AD364" s="478"/>
    </row>
    <row r="365" spans="1:30" s="485" customFormat="1">
      <c r="A365" s="480"/>
      <c r="B365" s="480"/>
      <c r="C365" s="507"/>
      <c r="D365" s="480"/>
      <c r="E365" s="481">
        <f>E364*D364</f>
        <v>852250</v>
      </c>
      <c r="F365" s="480"/>
      <c r="G365" s="482">
        <f>G364*F364</f>
        <v>852250</v>
      </c>
      <c r="H365" s="516"/>
      <c r="I365" s="481">
        <f>I364*H364</f>
        <v>852250</v>
      </c>
      <c r="J365" s="516"/>
      <c r="K365" s="481">
        <f>K364*J364</f>
        <v>852250</v>
      </c>
      <c r="L365" s="516"/>
      <c r="M365" s="481">
        <f>M364*L364</f>
        <v>822250</v>
      </c>
      <c r="N365" s="516"/>
      <c r="O365" s="481">
        <f>O364*N364</f>
        <v>852250</v>
      </c>
      <c r="P365" s="480"/>
      <c r="Q365" s="481">
        <f>Q364*P364</f>
        <v>1666750</v>
      </c>
      <c r="R365" s="480"/>
      <c r="S365" s="481">
        <f>S364*R364</f>
        <v>1666750</v>
      </c>
      <c r="T365" s="516"/>
      <c r="U365" s="481">
        <f>U364*T364</f>
        <v>1666750</v>
      </c>
      <c r="V365" s="516"/>
      <c r="W365" s="481">
        <f>W364*V364</f>
        <v>1666750</v>
      </c>
      <c r="X365" s="516"/>
      <c r="Y365" s="481">
        <f>Y364*X364</f>
        <v>1666750</v>
      </c>
      <c r="Z365" s="516"/>
      <c r="AA365" s="481">
        <f>AA364*Z364</f>
        <v>1666750</v>
      </c>
      <c r="AB365" s="481">
        <f>SUM(AA365,Y365,W365,U365,S365,Q365,O365,M365,K365,I365,G365,E365)</f>
        <v>15084000</v>
      </c>
      <c r="AC365" s="483"/>
      <c r="AD365" s="484"/>
    </row>
    <row r="366" spans="1:30" s="349" customFormat="1">
      <c r="A366" s="359"/>
      <c r="B366" s="359"/>
      <c r="C366" s="504"/>
      <c r="D366" s="359"/>
      <c r="E366" s="360"/>
      <c r="F366" s="359"/>
      <c r="G366" s="362"/>
      <c r="H366" s="492"/>
      <c r="I366" s="362"/>
      <c r="J366" s="492"/>
      <c r="K366" s="362"/>
      <c r="L366" s="492"/>
      <c r="M366" s="362"/>
      <c r="N366" s="492"/>
      <c r="O366" s="362"/>
      <c r="P366" s="359"/>
      <c r="Q366" s="362"/>
      <c r="R366" s="359"/>
      <c r="S366" s="362"/>
      <c r="T366" s="492"/>
      <c r="U366" s="362"/>
      <c r="V366" s="492"/>
      <c r="W366" s="362"/>
      <c r="X366" s="492"/>
      <c r="Y366" s="362"/>
      <c r="Z366" s="492"/>
      <c r="AA366" s="362"/>
      <c r="AB366" s="360"/>
      <c r="AC366" s="342"/>
      <c r="AD366" s="348"/>
    </row>
    <row r="367" spans="1:30" s="349" customFormat="1">
      <c r="A367" s="359" t="s">
        <v>221</v>
      </c>
      <c r="B367" s="359">
        <v>26</v>
      </c>
      <c r="C367" s="504">
        <v>18000</v>
      </c>
      <c r="D367" s="359">
        <v>170</v>
      </c>
      <c r="E367" s="362">
        <f>D367*C367</f>
        <v>3060000</v>
      </c>
      <c r="F367" s="359">
        <v>170</v>
      </c>
      <c r="G367" s="362">
        <f>F367*C367</f>
        <v>3060000</v>
      </c>
      <c r="H367" s="492">
        <v>170</v>
      </c>
      <c r="I367" s="362">
        <f>H367*C367</f>
        <v>3060000</v>
      </c>
      <c r="J367" s="492">
        <v>170</v>
      </c>
      <c r="K367" s="362">
        <f>J367*C367</f>
        <v>3060000</v>
      </c>
      <c r="L367" s="492">
        <v>170</v>
      </c>
      <c r="M367" s="362">
        <f>L367*C367</f>
        <v>3060000</v>
      </c>
      <c r="N367" s="492">
        <v>170</v>
      </c>
      <c r="O367" s="362">
        <f>N367*C367</f>
        <v>3060000</v>
      </c>
      <c r="P367" s="359">
        <v>300</v>
      </c>
      <c r="Q367" s="362">
        <f>P367*C367</f>
        <v>5400000</v>
      </c>
      <c r="R367" s="359">
        <v>300</v>
      </c>
      <c r="S367" s="362">
        <f>R367*C367</f>
        <v>5400000</v>
      </c>
      <c r="T367" s="492">
        <v>300</v>
      </c>
      <c r="U367" s="362">
        <f>T367*C367</f>
        <v>5400000</v>
      </c>
      <c r="V367" s="492">
        <v>300</v>
      </c>
      <c r="W367" s="362">
        <f>V367*C367</f>
        <v>5400000</v>
      </c>
      <c r="X367" s="492">
        <v>300</v>
      </c>
      <c r="Y367" s="362">
        <f>X367*C367</f>
        <v>5400000</v>
      </c>
      <c r="Z367" s="492">
        <v>300</v>
      </c>
      <c r="AA367" s="362">
        <f>Z367*C367</f>
        <v>5400000</v>
      </c>
      <c r="AB367" s="361"/>
      <c r="AC367" s="342"/>
      <c r="AD367" s="348"/>
    </row>
    <row r="368" spans="1:30" s="349" customFormat="1">
      <c r="A368" s="359" t="s">
        <v>221</v>
      </c>
      <c r="B368" s="359">
        <v>33</v>
      </c>
      <c r="C368" s="504">
        <v>30000</v>
      </c>
      <c r="D368" s="359">
        <v>70</v>
      </c>
      <c r="E368" s="362">
        <f>D368*C368</f>
        <v>2100000</v>
      </c>
      <c r="F368" s="359">
        <v>70</v>
      </c>
      <c r="G368" s="362">
        <f>F368*C368</f>
        <v>2100000</v>
      </c>
      <c r="H368" s="492">
        <v>70</v>
      </c>
      <c r="I368" s="362">
        <f>H368*C368</f>
        <v>2100000</v>
      </c>
      <c r="J368" s="492">
        <v>70</v>
      </c>
      <c r="K368" s="362">
        <f>J368*C368</f>
        <v>2100000</v>
      </c>
      <c r="L368" s="492">
        <v>70</v>
      </c>
      <c r="M368" s="362">
        <f>L368*C368</f>
        <v>2100000</v>
      </c>
      <c r="N368" s="492">
        <v>70</v>
      </c>
      <c r="O368" s="362">
        <f>N368*C368</f>
        <v>2100000</v>
      </c>
      <c r="P368" s="359">
        <v>140</v>
      </c>
      <c r="Q368" s="362">
        <f>P368*C368</f>
        <v>4200000</v>
      </c>
      <c r="R368" s="359">
        <v>140</v>
      </c>
      <c r="S368" s="362">
        <f>R368*C368</f>
        <v>4200000</v>
      </c>
      <c r="T368" s="492">
        <v>140</v>
      </c>
      <c r="U368" s="362">
        <f>T368*C368</f>
        <v>4200000</v>
      </c>
      <c r="V368" s="492">
        <v>140</v>
      </c>
      <c r="W368" s="362">
        <f>V368*C368</f>
        <v>4200000</v>
      </c>
      <c r="X368" s="492">
        <v>140</v>
      </c>
      <c r="Y368" s="362">
        <f>X368*C368</f>
        <v>4200000</v>
      </c>
      <c r="Z368" s="492">
        <v>140</v>
      </c>
      <c r="AA368" s="362">
        <f>Z368*C368</f>
        <v>4200000</v>
      </c>
      <c r="AB368" s="361"/>
      <c r="AC368" s="342"/>
      <c r="AD368" s="348"/>
    </row>
    <row r="369" spans="1:30" s="349" customFormat="1">
      <c r="A369" s="359" t="s">
        <v>221</v>
      </c>
      <c r="B369" s="359">
        <v>64</v>
      </c>
      <c r="C369" s="504">
        <v>60000</v>
      </c>
      <c r="D369" s="359">
        <v>30</v>
      </c>
      <c r="E369" s="362">
        <f>D369*C369</f>
        <v>1800000</v>
      </c>
      <c r="F369" s="359">
        <v>30</v>
      </c>
      <c r="G369" s="362">
        <f>F369*C369</f>
        <v>1800000</v>
      </c>
      <c r="H369" s="492">
        <v>30</v>
      </c>
      <c r="I369" s="362">
        <f>H369*C369</f>
        <v>1800000</v>
      </c>
      <c r="J369" s="492">
        <v>30</v>
      </c>
      <c r="K369" s="362">
        <f>J369*C369</f>
        <v>1800000</v>
      </c>
      <c r="L369" s="492">
        <v>30</v>
      </c>
      <c r="M369" s="362">
        <f>L369*C369</f>
        <v>1800000</v>
      </c>
      <c r="N369" s="492">
        <v>30</v>
      </c>
      <c r="O369" s="362">
        <f>N369*C369</f>
        <v>1800000</v>
      </c>
      <c r="P369" s="359">
        <v>60</v>
      </c>
      <c r="Q369" s="362">
        <f>P369*C369</f>
        <v>3600000</v>
      </c>
      <c r="R369" s="359">
        <v>60</v>
      </c>
      <c r="S369" s="362">
        <f>R369*C369</f>
        <v>3600000</v>
      </c>
      <c r="T369" s="492">
        <v>60</v>
      </c>
      <c r="U369" s="362">
        <f>T369*C369</f>
        <v>3600000</v>
      </c>
      <c r="V369" s="492">
        <v>60</v>
      </c>
      <c r="W369" s="362">
        <f>V369*C369</f>
        <v>3600000</v>
      </c>
      <c r="X369" s="492">
        <v>60</v>
      </c>
      <c r="Y369" s="362">
        <f>X369*C369</f>
        <v>3600000</v>
      </c>
      <c r="Z369" s="492">
        <v>60</v>
      </c>
      <c r="AA369" s="362">
        <f>Z369*C369</f>
        <v>3600000</v>
      </c>
      <c r="AB369" s="361"/>
      <c r="AC369" s="342"/>
      <c r="AD369" s="348"/>
    </row>
    <row r="370" spans="1:30" s="349" customFormat="1">
      <c r="A370" s="359" t="s">
        <v>221</v>
      </c>
      <c r="B370" s="359">
        <v>100</v>
      </c>
      <c r="C370" s="504">
        <v>80000</v>
      </c>
      <c r="D370" s="359">
        <v>7</v>
      </c>
      <c r="E370" s="362">
        <f>D370*C370</f>
        <v>560000</v>
      </c>
      <c r="F370" s="359">
        <v>7</v>
      </c>
      <c r="G370" s="362">
        <f>F370*C370</f>
        <v>560000</v>
      </c>
      <c r="H370" s="492">
        <v>7</v>
      </c>
      <c r="I370" s="362">
        <f>H370*C370</f>
        <v>560000</v>
      </c>
      <c r="J370" s="492">
        <v>7</v>
      </c>
      <c r="K370" s="362">
        <f>J370*C370</f>
        <v>560000</v>
      </c>
      <c r="L370" s="492">
        <v>7</v>
      </c>
      <c r="M370" s="362">
        <f>L370*C370</f>
        <v>560000</v>
      </c>
      <c r="N370" s="492">
        <v>7</v>
      </c>
      <c r="O370" s="362">
        <f>N370*C370</f>
        <v>560000</v>
      </c>
      <c r="P370" s="359">
        <v>15</v>
      </c>
      <c r="Q370" s="362">
        <f>P370*C370</f>
        <v>1200000</v>
      </c>
      <c r="R370" s="359">
        <v>15</v>
      </c>
      <c r="S370" s="362">
        <f>R370*C370</f>
        <v>1200000</v>
      </c>
      <c r="T370" s="492">
        <v>15</v>
      </c>
      <c r="U370" s="362">
        <f>T370*C370</f>
        <v>1200000</v>
      </c>
      <c r="V370" s="492">
        <v>15</v>
      </c>
      <c r="W370" s="362">
        <f>V370*C370</f>
        <v>1200000</v>
      </c>
      <c r="X370" s="492">
        <v>15</v>
      </c>
      <c r="Y370" s="362">
        <f>X370*C370</f>
        <v>1200000</v>
      </c>
      <c r="Z370" s="492">
        <v>15</v>
      </c>
      <c r="AA370" s="362">
        <f>Z370*C370</f>
        <v>1200000</v>
      </c>
      <c r="AB370" s="361"/>
      <c r="AC370" s="342"/>
      <c r="AD370" s="348"/>
    </row>
    <row r="371" spans="1:30" s="349" customFormat="1">
      <c r="A371" s="359"/>
      <c r="B371" s="359"/>
      <c r="C371" s="504"/>
      <c r="D371" s="359"/>
      <c r="E371" s="362"/>
      <c r="F371" s="359"/>
      <c r="G371" s="362"/>
      <c r="H371" s="492"/>
      <c r="I371" s="362"/>
      <c r="J371" s="492"/>
      <c r="K371" s="362"/>
      <c r="L371" s="492"/>
      <c r="M371" s="362"/>
      <c r="N371" s="492"/>
      <c r="O371" s="362"/>
      <c r="P371" s="359"/>
      <c r="Q371" s="362"/>
      <c r="R371" s="359"/>
      <c r="S371" s="362"/>
      <c r="T371" s="492"/>
      <c r="U371" s="362"/>
      <c r="V371" s="492"/>
      <c r="W371" s="362"/>
      <c r="X371" s="492"/>
      <c r="Y371" s="362"/>
      <c r="Z371" s="492"/>
      <c r="AA371" s="362"/>
      <c r="AB371" s="361"/>
      <c r="AC371" s="342"/>
      <c r="AD371" s="348"/>
    </row>
    <row r="372" spans="1:30" s="349" customFormat="1">
      <c r="A372" s="359" t="s">
        <v>220</v>
      </c>
      <c r="B372" s="359">
        <v>150</v>
      </c>
      <c r="C372" s="504">
        <v>120000</v>
      </c>
      <c r="D372" s="359">
        <v>170</v>
      </c>
      <c r="E372" s="362">
        <f>D372*C372</f>
        <v>20400000</v>
      </c>
      <c r="F372" s="359">
        <v>170</v>
      </c>
      <c r="G372" s="362">
        <f>F372*C372</f>
        <v>20400000</v>
      </c>
      <c r="H372" s="492">
        <v>170</v>
      </c>
      <c r="I372" s="362">
        <f>H372*C372</f>
        <v>20400000</v>
      </c>
      <c r="J372" s="492">
        <v>170</v>
      </c>
      <c r="K372" s="362">
        <f>J372*C372</f>
        <v>20400000</v>
      </c>
      <c r="L372" s="492">
        <v>170</v>
      </c>
      <c r="M372" s="362">
        <f>L372*C372</f>
        <v>20400000</v>
      </c>
      <c r="N372" s="492">
        <v>170</v>
      </c>
      <c r="O372" s="362">
        <f>N372*C372</f>
        <v>20400000</v>
      </c>
      <c r="P372" s="359">
        <v>300</v>
      </c>
      <c r="Q372" s="362">
        <f>P372*C372</f>
        <v>36000000</v>
      </c>
      <c r="R372" s="359">
        <v>300</v>
      </c>
      <c r="S372" s="362">
        <f>R372*C372</f>
        <v>36000000</v>
      </c>
      <c r="T372" s="492">
        <v>300</v>
      </c>
      <c r="U372" s="362">
        <f>T372*C372</f>
        <v>36000000</v>
      </c>
      <c r="V372" s="492">
        <v>300</v>
      </c>
      <c r="W372" s="362">
        <f>V372*C372</f>
        <v>36000000</v>
      </c>
      <c r="X372" s="492">
        <v>300</v>
      </c>
      <c r="Y372" s="362">
        <f>X372*C372</f>
        <v>36000000</v>
      </c>
      <c r="Z372" s="492">
        <v>300</v>
      </c>
      <c r="AA372" s="362">
        <f>Z372*C372</f>
        <v>36000000</v>
      </c>
      <c r="AB372" s="361"/>
      <c r="AC372" s="342"/>
      <c r="AD372" s="348"/>
    </row>
    <row r="373" spans="1:30" s="349" customFormat="1">
      <c r="A373" s="359" t="s">
        <v>220</v>
      </c>
      <c r="B373" s="359">
        <v>250</v>
      </c>
      <c r="C373" s="504">
        <v>200000</v>
      </c>
      <c r="D373" s="359">
        <v>70</v>
      </c>
      <c r="E373" s="362">
        <f>D373*C373</f>
        <v>14000000</v>
      </c>
      <c r="F373" s="359">
        <v>70</v>
      </c>
      <c r="G373" s="362">
        <f>F373*C373</f>
        <v>14000000</v>
      </c>
      <c r="H373" s="492">
        <v>70</v>
      </c>
      <c r="I373" s="362">
        <f>H373*C373</f>
        <v>14000000</v>
      </c>
      <c r="J373" s="492">
        <v>70</v>
      </c>
      <c r="K373" s="362">
        <f>J373*C373</f>
        <v>14000000</v>
      </c>
      <c r="L373" s="492">
        <v>70</v>
      </c>
      <c r="M373" s="362">
        <f>L373*C373</f>
        <v>14000000</v>
      </c>
      <c r="N373" s="492">
        <v>70</v>
      </c>
      <c r="O373" s="362">
        <f>N373*C373</f>
        <v>14000000</v>
      </c>
      <c r="P373" s="359">
        <v>140</v>
      </c>
      <c r="Q373" s="362">
        <f>P373*C373</f>
        <v>28000000</v>
      </c>
      <c r="R373" s="359">
        <v>140</v>
      </c>
      <c r="S373" s="362">
        <f>R373*C373</f>
        <v>28000000</v>
      </c>
      <c r="T373" s="492">
        <v>140</v>
      </c>
      <c r="U373" s="362">
        <f>T373*C373</f>
        <v>28000000</v>
      </c>
      <c r="V373" s="492">
        <v>140</v>
      </c>
      <c r="W373" s="362">
        <f>V373*C373</f>
        <v>28000000</v>
      </c>
      <c r="X373" s="492">
        <v>140</v>
      </c>
      <c r="Y373" s="362">
        <f>X373*C373</f>
        <v>28000000</v>
      </c>
      <c r="Z373" s="492">
        <v>140</v>
      </c>
      <c r="AA373" s="362">
        <f>Z373*C373</f>
        <v>28000000</v>
      </c>
      <c r="AB373" s="361"/>
      <c r="AC373" s="342"/>
      <c r="AD373" s="348"/>
    </row>
    <row r="374" spans="1:30" s="349" customFormat="1">
      <c r="A374" s="359" t="s">
        <v>220</v>
      </c>
      <c r="B374" s="359">
        <v>350</v>
      </c>
      <c r="C374" s="504">
        <v>270000</v>
      </c>
      <c r="D374" s="359">
        <v>30</v>
      </c>
      <c r="E374" s="362">
        <f>D374*C374</f>
        <v>8100000</v>
      </c>
      <c r="F374" s="359">
        <v>30</v>
      </c>
      <c r="G374" s="362">
        <f>F374*C374</f>
        <v>8100000</v>
      </c>
      <c r="H374" s="492">
        <v>30</v>
      </c>
      <c r="I374" s="362">
        <f>H374*C374</f>
        <v>8100000</v>
      </c>
      <c r="J374" s="492">
        <v>30</v>
      </c>
      <c r="K374" s="362">
        <f>J374*C374</f>
        <v>8100000</v>
      </c>
      <c r="L374" s="492">
        <v>30</v>
      </c>
      <c r="M374" s="362">
        <f>L374*C374</f>
        <v>8100000</v>
      </c>
      <c r="N374" s="492">
        <v>30</v>
      </c>
      <c r="O374" s="362">
        <f>N374*C374</f>
        <v>8100000</v>
      </c>
      <c r="P374" s="359">
        <v>60</v>
      </c>
      <c r="Q374" s="362">
        <f>P374*C374</f>
        <v>16200000</v>
      </c>
      <c r="R374" s="359">
        <v>60</v>
      </c>
      <c r="S374" s="362">
        <f>R374*C374</f>
        <v>16200000</v>
      </c>
      <c r="T374" s="492">
        <v>60</v>
      </c>
      <c r="U374" s="362">
        <f>T374*C374</f>
        <v>16200000</v>
      </c>
      <c r="V374" s="492">
        <v>60</v>
      </c>
      <c r="W374" s="362">
        <f>V374*C374</f>
        <v>16200000</v>
      </c>
      <c r="X374" s="492">
        <v>60</v>
      </c>
      <c r="Y374" s="362">
        <f>X374*C374</f>
        <v>16200000</v>
      </c>
      <c r="Z374" s="492">
        <v>60</v>
      </c>
      <c r="AA374" s="362">
        <f>Z374*C374</f>
        <v>16200000</v>
      </c>
      <c r="AB374" s="361"/>
      <c r="AC374" s="342"/>
      <c r="AD374" s="348"/>
    </row>
    <row r="375" spans="1:30" s="349" customFormat="1">
      <c r="A375" s="359" t="s">
        <v>220</v>
      </c>
      <c r="B375" s="359">
        <v>500</v>
      </c>
      <c r="C375" s="504">
        <v>350000</v>
      </c>
      <c r="D375" s="359">
        <v>7</v>
      </c>
      <c r="E375" s="362">
        <f>D375*C375</f>
        <v>2450000</v>
      </c>
      <c r="F375" s="359">
        <v>7</v>
      </c>
      <c r="G375" s="362">
        <f>F375*C375</f>
        <v>2450000</v>
      </c>
      <c r="H375" s="492">
        <v>7</v>
      </c>
      <c r="I375" s="362">
        <f>H375*C375</f>
        <v>2450000</v>
      </c>
      <c r="J375" s="492">
        <v>7</v>
      </c>
      <c r="K375" s="362">
        <f>J375*C375</f>
        <v>2450000</v>
      </c>
      <c r="L375" s="492">
        <v>7</v>
      </c>
      <c r="M375" s="362">
        <f>L375*C375</f>
        <v>2450000</v>
      </c>
      <c r="N375" s="492">
        <v>7</v>
      </c>
      <c r="O375" s="362">
        <f>N375*C375</f>
        <v>2450000</v>
      </c>
      <c r="P375" s="359">
        <v>15</v>
      </c>
      <c r="Q375" s="362">
        <f>P375*C375</f>
        <v>5250000</v>
      </c>
      <c r="R375" s="359">
        <v>15</v>
      </c>
      <c r="S375" s="362">
        <f>R375*C375</f>
        <v>5250000</v>
      </c>
      <c r="T375" s="492">
        <v>15</v>
      </c>
      <c r="U375" s="362">
        <f>T375*C375</f>
        <v>5250000</v>
      </c>
      <c r="V375" s="492">
        <v>15</v>
      </c>
      <c r="W375" s="362">
        <f>V375*C375</f>
        <v>5250000</v>
      </c>
      <c r="X375" s="492">
        <v>15</v>
      </c>
      <c r="Y375" s="362">
        <f>X375*C375</f>
        <v>5250000</v>
      </c>
      <c r="Z375" s="492">
        <v>15</v>
      </c>
      <c r="AA375" s="362">
        <f>Z375*C375</f>
        <v>5250000</v>
      </c>
      <c r="AB375" s="361"/>
      <c r="AC375" s="342"/>
      <c r="AD375" s="348"/>
    </row>
    <row r="376" spans="1:30" s="349" customFormat="1">
      <c r="A376" s="359"/>
      <c r="B376" s="359"/>
      <c r="C376" s="504"/>
      <c r="D376" s="359"/>
      <c r="E376" s="362"/>
      <c r="F376" s="359"/>
      <c r="G376" s="362"/>
      <c r="H376" s="492"/>
      <c r="I376" s="362"/>
      <c r="J376" s="492"/>
      <c r="K376" s="362"/>
      <c r="L376" s="492"/>
      <c r="M376" s="362"/>
      <c r="N376" s="492"/>
      <c r="O376" s="362"/>
      <c r="P376" s="359"/>
      <c r="Q376" s="362"/>
      <c r="R376" s="359"/>
      <c r="S376" s="362"/>
      <c r="T376" s="492"/>
      <c r="U376" s="362"/>
      <c r="V376" s="492"/>
      <c r="W376" s="362"/>
      <c r="X376" s="492"/>
      <c r="Y376" s="362"/>
      <c r="Z376" s="492"/>
      <c r="AA376" s="362"/>
      <c r="AB376" s="361"/>
      <c r="AC376" s="342"/>
      <c r="AD376" s="348"/>
    </row>
    <row r="377" spans="1:30" s="349" customFormat="1">
      <c r="A377" s="359" t="s">
        <v>219</v>
      </c>
      <c r="B377" s="359">
        <v>100</v>
      </c>
      <c r="C377" s="504"/>
      <c r="D377" s="359">
        <v>30</v>
      </c>
      <c r="E377" s="362">
        <f>D377*C377</f>
        <v>0</v>
      </c>
      <c r="F377" s="359">
        <v>30</v>
      </c>
      <c r="G377" s="362">
        <f>F377*C377</f>
        <v>0</v>
      </c>
      <c r="H377" s="492">
        <v>30</v>
      </c>
      <c r="I377" s="362">
        <f>H377*C377</f>
        <v>0</v>
      </c>
      <c r="J377" s="492">
        <v>30</v>
      </c>
      <c r="K377" s="362">
        <f>J377*C377</f>
        <v>0</v>
      </c>
      <c r="L377" s="492">
        <v>30</v>
      </c>
      <c r="M377" s="362">
        <f>L377*C377</f>
        <v>0</v>
      </c>
      <c r="N377" s="492">
        <v>30</v>
      </c>
      <c r="O377" s="362">
        <f>N377*C377</f>
        <v>0</v>
      </c>
      <c r="P377" s="491">
        <v>60</v>
      </c>
      <c r="Q377" s="362">
        <f>P377*C377</f>
        <v>0</v>
      </c>
      <c r="R377" s="491">
        <v>60</v>
      </c>
      <c r="S377" s="362">
        <f>R377*C377</f>
        <v>0</v>
      </c>
      <c r="T377" s="492">
        <v>60</v>
      </c>
      <c r="U377" s="362">
        <f>T377*C377</f>
        <v>0</v>
      </c>
      <c r="V377" s="492">
        <v>60</v>
      </c>
      <c r="W377" s="362">
        <f>V377*C377</f>
        <v>0</v>
      </c>
      <c r="X377" s="492">
        <v>60</v>
      </c>
      <c r="Y377" s="362">
        <f>X377*C377</f>
        <v>0</v>
      </c>
      <c r="Z377" s="492">
        <v>60</v>
      </c>
      <c r="AA377" s="362">
        <f>Z377*C377</f>
        <v>0</v>
      </c>
      <c r="AB377" s="361"/>
      <c r="AC377" s="342"/>
      <c r="AD377" s="348"/>
    </row>
    <row r="378" spans="1:30" s="349" customFormat="1">
      <c r="A378" s="359" t="s">
        <v>219</v>
      </c>
      <c r="B378" s="359">
        <v>150</v>
      </c>
      <c r="C378" s="504"/>
      <c r="D378" s="359">
        <v>27</v>
      </c>
      <c r="E378" s="362">
        <f>D378*C378</f>
        <v>0</v>
      </c>
      <c r="F378" s="359">
        <v>27</v>
      </c>
      <c r="G378" s="362">
        <f>F378*C378</f>
        <v>0</v>
      </c>
      <c r="H378" s="492">
        <v>27</v>
      </c>
      <c r="I378" s="362">
        <f>H378*C378</f>
        <v>0</v>
      </c>
      <c r="J378" s="492">
        <v>27</v>
      </c>
      <c r="K378" s="362">
        <f>J378*C378</f>
        <v>0</v>
      </c>
      <c r="L378" s="492">
        <v>27</v>
      </c>
      <c r="M378" s="362">
        <f>L378*C378</f>
        <v>0</v>
      </c>
      <c r="N378" s="492">
        <v>27</v>
      </c>
      <c r="O378" s="362">
        <f>N378*C378</f>
        <v>0</v>
      </c>
      <c r="P378" s="492">
        <v>50</v>
      </c>
      <c r="Q378" s="362">
        <f>P378*C378</f>
        <v>0</v>
      </c>
      <c r="R378" s="492">
        <v>50</v>
      </c>
      <c r="S378" s="362">
        <f>R378*C378</f>
        <v>0</v>
      </c>
      <c r="T378" s="492">
        <v>50</v>
      </c>
      <c r="U378" s="362">
        <f>T378*C378</f>
        <v>0</v>
      </c>
      <c r="V378" s="492">
        <v>50</v>
      </c>
      <c r="W378" s="362">
        <f>V378*C378</f>
        <v>0</v>
      </c>
      <c r="X378" s="492">
        <v>50</v>
      </c>
      <c r="Y378" s="362">
        <f>X378*C378</f>
        <v>0</v>
      </c>
      <c r="Z378" s="492">
        <v>50</v>
      </c>
      <c r="AA378" s="362">
        <f>Z378*C378</f>
        <v>0</v>
      </c>
      <c r="AB378" s="361"/>
      <c r="AC378" s="342"/>
      <c r="AD378" s="348"/>
    </row>
    <row r="379" spans="1:30" s="349" customFormat="1">
      <c r="A379" s="359" t="s">
        <v>219</v>
      </c>
      <c r="B379" s="359">
        <v>250</v>
      </c>
      <c r="C379" s="504"/>
      <c r="D379" s="359">
        <v>20</v>
      </c>
      <c r="E379" s="362">
        <f>D379*C379</f>
        <v>0</v>
      </c>
      <c r="F379" s="359">
        <v>20</v>
      </c>
      <c r="G379" s="362">
        <f>F379*C379</f>
        <v>0</v>
      </c>
      <c r="H379" s="492">
        <v>20</v>
      </c>
      <c r="I379" s="362">
        <f>H379*C379</f>
        <v>0</v>
      </c>
      <c r="J379" s="492">
        <v>20</v>
      </c>
      <c r="K379" s="362">
        <f>J379*C379</f>
        <v>0</v>
      </c>
      <c r="L379" s="492">
        <v>20</v>
      </c>
      <c r="M379" s="362">
        <f>L379*C379</f>
        <v>0</v>
      </c>
      <c r="N379" s="492">
        <v>20</v>
      </c>
      <c r="O379" s="362">
        <f>N379*C379</f>
        <v>0</v>
      </c>
      <c r="P379" s="492">
        <v>40</v>
      </c>
      <c r="Q379" s="362">
        <f>P379*C379</f>
        <v>0</v>
      </c>
      <c r="R379" s="492">
        <v>40</v>
      </c>
      <c r="S379" s="362">
        <f>R379*C379</f>
        <v>0</v>
      </c>
      <c r="T379" s="492">
        <v>40</v>
      </c>
      <c r="U379" s="362">
        <f>T379*C379</f>
        <v>0</v>
      </c>
      <c r="V379" s="492">
        <v>40</v>
      </c>
      <c r="W379" s="362">
        <f>V379*C379</f>
        <v>0</v>
      </c>
      <c r="X379" s="492">
        <v>40</v>
      </c>
      <c r="Y379" s="362">
        <f>X379*C379</f>
        <v>0</v>
      </c>
      <c r="Z379" s="492">
        <v>40</v>
      </c>
      <c r="AA379" s="362">
        <f>Z379*C379</f>
        <v>0</v>
      </c>
      <c r="AB379" s="361"/>
      <c r="AC379" s="342"/>
      <c r="AD379" s="348"/>
    </row>
    <row r="380" spans="1:30" s="349" customFormat="1">
      <c r="A380" s="359" t="s">
        <v>219</v>
      </c>
      <c r="B380" s="359">
        <v>350</v>
      </c>
      <c r="C380" s="504"/>
      <c r="D380" s="359">
        <v>14</v>
      </c>
      <c r="E380" s="362">
        <f>D380*C380</f>
        <v>0</v>
      </c>
      <c r="F380" s="359">
        <v>14</v>
      </c>
      <c r="G380" s="362">
        <f>F380*C380</f>
        <v>0</v>
      </c>
      <c r="H380" s="492">
        <v>14</v>
      </c>
      <c r="I380" s="362">
        <f>H380*C380</f>
        <v>0</v>
      </c>
      <c r="J380" s="492">
        <v>14</v>
      </c>
      <c r="K380" s="362">
        <f>J380*C380</f>
        <v>0</v>
      </c>
      <c r="L380" s="492">
        <v>14</v>
      </c>
      <c r="M380" s="362">
        <f>L380*C380</f>
        <v>0</v>
      </c>
      <c r="N380" s="492">
        <v>14</v>
      </c>
      <c r="O380" s="362">
        <f>N380*C380</f>
        <v>0</v>
      </c>
      <c r="P380" s="492">
        <v>30</v>
      </c>
      <c r="Q380" s="362">
        <f>P380*C380</f>
        <v>0</v>
      </c>
      <c r="R380" s="492">
        <v>30</v>
      </c>
      <c r="S380" s="362">
        <f>R380*C380</f>
        <v>0</v>
      </c>
      <c r="T380" s="492">
        <v>30</v>
      </c>
      <c r="U380" s="362">
        <f>T380*C380</f>
        <v>0</v>
      </c>
      <c r="V380" s="492">
        <v>30</v>
      </c>
      <c r="W380" s="362">
        <f>V380*C380</f>
        <v>0</v>
      </c>
      <c r="X380" s="492">
        <v>30</v>
      </c>
      <c r="Y380" s="362">
        <f>X380*C380</f>
        <v>0</v>
      </c>
      <c r="Z380" s="492">
        <v>30</v>
      </c>
      <c r="AA380" s="362">
        <f>Z380*C380</f>
        <v>0</v>
      </c>
      <c r="AB380" s="361"/>
      <c r="AC380" s="342"/>
      <c r="AD380" s="348"/>
    </row>
    <row r="381" spans="1:30" s="349" customFormat="1">
      <c r="A381" s="359" t="s">
        <v>219</v>
      </c>
      <c r="B381" s="359">
        <v>500</v>
      </c>
      <c r="C381" s="504"/>
      <c r="D381" s="359">
        <v>7</v>
      </c>
      <c r="E381" s="362">
        <f>D381*C381</f>
        <v>0</v>
      </c>
      <c r="F381" s="359">
        <v>7</v>
      </c>
      <c r="G381" s="362">
        <f>F381*C381</f>
        <v>0</v>
      </c>
      <c r="H381" s="492">
        <v>7</v>
      </c>
      <c r="I381" s="362">
        <f>H381*C381</f>
        <v>0</v>
      </c>
      <c r="J381" s="492">
        <v>7</v>
      </c>
      <c r="K381" s="362">
        <f>J381*C381</f>
        <v>0</v>
      </c>
      <c r="L381" s="492">
        <v>7</v>
      </c>
      <c r="M381" s="362">
        <f>L381*C381</f>
        <v>0</v>
      </c>
      <c r="N381" s="492">
        <v>7</v>
      </c>
      <c r="O381" s="362">
        <f>N381*C381</f>
        <v>0</v>
      </c>
      <c r="P381" s="359">
        <v>15</v>
      </c>
      <c r="Q381" s="362">
        <f>P381*C381</f>
        <v>0</v>
      </c>
      <c r="R381" s="359">
        <v>15</v>
      </c>
      <c r="S381" s="362">
        <f>R381*C381</f>
        <v>0</v>
      </c>
      <c r="T381" s="492">
        <v>15</v>
      </c>
      <c r="U381" s="362">
        <f>T381*C381</f>
        <v>0</v>
      </c>
      <c r="V381" s="492">
        <v>15</v>
      </c>
      <c r="W381" s="362">
        <f>V381*C381</f>
        <v>0</v>
      </c>
      <c r="X381" s="492">
        <v>15</v>
      </c>
      <c r="Y381" s="362">
        <f>X381*C381</f>
        <v>0</v>
      </c>
      <c r="Z381" s="492">
        <v>15</v>
      </c>
      <c r="AA381" s="362">
        <f>Z381*C381</f>
        <v>0</v>
      </c>
      <c r="AB381" s="361"/>
      <c r="AC381" s="342"/>
      <c r="AD381" s="348"/>
    </row>
    <row r="382" spans="1:30">
      <c r="A382" s="359"/>
      <c r="B382" s="359"/>
      <c r="C382" s="504"/>
      <c r="D382" s="359"/>
      <c r="E382" s="362"/>
      <c r="F382" s="359"/>
      <c r="G382" s="362"/>
      <c r="H382" s="492"/>
      <c r="I382" s="362"/>
      <c r="J382" s="492"/>
      <c r="K382" s="362"/>
      <c r="L382" s="492"/>
      <c r="M382" s="362"/>
      <c r="N382" s="492"/>
      <c r="O382" s="362"/>
      <c r="P382" s="359"/>
      <c r="Q382" s="362"/>
      <c r="R382" s="359"/>
      <c r="S382" s="362"/>
      <c r="T382" s="492"/>
      <c r="U382" s="362"/>
      <c r="V382" s="492"/>
      <c r="W382" s="362"/>
      <c r="X382" s="492"/>
      <c r="Y382" s="362"/>
      <c r="Z382" s="492"/>
      <c r="AA382" s="362"/>
      <c r="AB382" s="361"/>
      <c r="AD382" s="350"/>
    </row>
    <row r="383" spans="1:30" s="349" customFormat="1">
      <c r="A383" s="359" t="s">
        <v>218</v>
      </c>
      <c r="B383" s="359">
        <v>100</v>
      </c>
      <c r="C383" s="504">
        <v>80000</v>
      </c>
      <c r="D383" s="359">
        <v>30</v>
      </c>
      <c r="E383" s="362">
        <f>D383*C383</f>
        <v>2400000</v>
      </c>
      <c r="F383" s="359">
        <v>30</v>
      </c>
      <c r="G383" s="362">
        <f>F383*C383</f>
        <v>2400000</v>
      </c>
      <c r="H383" s="492">
        <v>30</v>
      </c>
      <c r="I383" s="362">
        <f>H383*C383</f>
        <v>2400000</v>
      </c>
      <c r="J383" s="492">
        <v>30</v>
      </c>
      <c r="K383" s="362">
        <f>J383*C383</f>
        <v>2400000</v>
      </c>
      <c r="L383" s="492">
        <v>30</v>
      </c>
      <c r="M383" s="362">
        <f>L383*C383</f>
        <v>2400000</v>
      </c>
      <c r="N383" s="492">
        <v>30</v>
      </c>
      <c r="O383" s="362">
        <f>N383*C383</f>
        <v>2400000</v>
      </c>
      <c r="P383" s="491">
        <v>60</v>
      </c>
      <c r="Q383" s="362">
        <f>P383*C383</f>
        <v>4800000</v>
      </c>
      <c r="R383" s="491">
        <v>60</v>
      </c>
      <c r="S383" s="362">
        <f>R383*C383</f>
        <v>4800000</v>
      </c>
      <c r="T383" s="492">
        <v>60</v>
      </c>
      <c r="U383" s="362">
        <f>T383*C383</f>
        <v>4800000</v>
      </c>
      <c r="V383" s="492">
        <v>60</v>
      </c>
      <c r="W383" s="362">
        <f>V383*C383</f>
        <v>4800000</v>
      </c>
      <c r="X383" s="492">
        <v>60</v>
      </c>
      <c r="Y383" s="362">
        <f>X383*C383</f>
        <v>4800000</v>
      </c>
      <c r="Z383" s="492">
        <v>60</v>
      </c>
      <c r="AA383" s="362">
        <f>Z383*C383</f>
        <v>4800000</v>
      </c>
      <c r="AB383" s="361"/>
      <c r="AC383" s="342"/>
      <c r="AD383" s="348"/>
    </row>
    <row r="384" spans="1:30" s="349" customFormat="1">
      <c r="A384" s="359" t="s">
        <v>218</v>
      </c>
      <c r="B384" s="359">
        <v>150</v>
      </c>
      <c r="C384" s="504">
        <v>120000</v>
      </c>
      <c r="D384" s="359">
        <v>27</v>
      </c>
      <c r="E384" s="362">
        <f>D384*C384</f>
        <v>3240000</v>
      </c>
      <c r="F384" s="359">
        <v>27</v>
      </c>
      <c r="G384" s="362">
        <f>F384*C384</f>
        <v>3240000</v>
      </c>
      <c r="H384" s="492">
        <v>27</v>
      </c>
      <c r="I384" s="362">
        <f>H384*C384</f>
        <v>3240000</v>
      </c>
      <c r="J384" s="492">
        <v>27</v>
      </c>
      <c r="K384" s="362">
        <f>J384*C384</f>
        <v>3240000</v>
      </c>
      <c r="L384" s="492">
        <v>27</v>
      </c>
      <c r="M384" s="362">
        <f>L384*C384</f>
        <v>3240000</v>
      </c>
      <c r="N384" s="492">
        <v>27</v>
      </c>
      <c r="O384" s="362">
        <f>N384*C384</f>
        <v>3240000</v>
      </c>
      <c r="P384" s="492">
        <v>50</v>
      </c>
      <c r="Q384" s="362">
        <f>P384*C384</f>
        <v>6000000</v>
      </c>
      <c r="R384" s="492">
        <v>50</v>
      </c>
      <c r="S384" s="362">
        <f>R384*C384</f>
        <v>6000000</v>
      </c>
      <c r="T384" s="492">
        <v>50</v>
      </c>
      <c r="U384" s="362">
        <f>T384*C384</f>
        <v>6000000</v>
      </c>
      <c r="V384" s="492">
        <v>50</v>
      </c>
      <c r="W384" s="362">
        <f>V384*C384</f>
        <v>6000000</v>
      </c>
      <c r="X384" s="492">
        <v>50</v>
      </c>
      <c r="Y384" s="362">
        <f>X384*C384</f>
        <v>6000000</v>
      </c>
      <c r="Z384" s="492">
        <v>50</v>
      </c>
      <c r="AA384" s="362">
        <f>Z384*C384</f>
        <v>6000000</v>
      </c>
      <c r="AB384" s="361"/>
      <c r="AC384" s="342"/>
      <c r="AD384" s="348"/>
    </row>
    <row r="385" spans="1:30" s="349" customFormat="1">
      <c r="A385" s="359" t="s">
        <v>218</v>
      </c>
      <c r="B385" s="359">
        <v>250</v>
      </c>
      <c r="C385" s="504">
        <v>200000</v>
      </c>
      <c r="D385" s="359">
        <v>20</v>
      </c>
      <c r="E385" s="362">
        <f>D385*C385</f>
        <v>4000000</v>
      </c>
      <c r="F385" s="359">
        <v>20</v>
      </c>
      <c r="G385" s="362">
        <f>F385*C385</f>
        <v>4000000</v>
      </c>
      <c r="H385" s="492">
        <v>20</v>
      </c>
      <c r="I385" s="362">
        <f>H385*C385</f>
        <v>4000000</v>
      </c>
      <c r="J385" s="492">
        <v>20</v>
      </c>
      <c r="K385" s="362">
        <f>J385*C385</f>
        <v>4000000</v>
      </c>
      <c r="L385" s="492">
        <v>20</v>
      </c>
      <c r="M385" s="362">
        <f>L385*C385</f>
        <v>4000000</v>
      </c>
      <c r="N385" s="492">
        <v>20</v>
      </c>
      <c r="O385" s="362">
        <f>N385*C385</f>
        <v>4000000</v>
      </c>
      <c r="P385" s="492">
        <v>40</v>
      </c>
      <c r="Q385" s="362">
        <f>P385*C385</f>
        <v>8000000</v>
      </c>
      <c r="R385" s="492">
        <v>40</v>
      </c>
      <c r="S385" s="362">
        <f>R385*C385</f>
        <v>8000000</v>
      </c>
      <c r="T385" s="492">
        <v>40</v>
      </c>
      <c r="U385" s="362">
        <f>T385*C385</f>
        <v>8000000</v>
      </c>
      <c r="V385" s="492">
        <v>40</v>
      </c>
      <c r="W385" s="362">
        <f>V385*C385</f>
        <v>8000000</v>
      </c>
      <c r="X385" s="492">
        <v>40</v>
      </c>
      <c r="Y385" s="362">
        <f>X385*C385</f>
        <v>8000000</v>
      </c>
      <c r="Z385" s="492">
        <v>40</v>
      </c>
      <c r="AA385" s="362">
        <f>Z385*C385</f>
        <v>8000000</v>
      </c>
      <c r="AB385" s="361"/>
      <c r="AC385" s="342"/>
      <c r="AD385" s="348"/>
    </row>
    <row r="386" spans="1:30" s="349" customFormat="1">
      <c r="A386" s="359" t="s">
        <v>218</v>
      </c>
      <c r="B386" s="359">
        <v>350</v>
      </c>
      <c r="C386" s="504">
        <v>270000</v>
      </c>
      <c r="D386" s="359">
        <v>14</v>
      </c>
      <c r="E386" s="362">
        <f>D386*C386</f>
        <v>3780000</v>
      </c>
      <c r="F386" s="359">
        <v>14</v>
      </c>
      <c r="G386" s="362">
        <f>F386*C386</f>
        <v>3780000</v>
      </c>
      <c r="H386" s="492">
        <v>14</v>
      </c>
      <c r="I386" s="362">
        <f>H386*C386</f>
        <v>3780000</v>
      </c>
      <c r="J386" s="492">
        <v>14</v>
      </c>
      <c r="K386" s="362">
        <f>J386*C386</f>
        <v>3780000</v>
      </c>
      <c r="L386" s="492">
        <v>14</v>
      </c>
      <c r="M386" s="362">
        <f>L386*C386</f>
        <v>3780000</v>
      </c>
      <c r="N386" s="492">
        <v>14</v>
      </c>
      <c r="O386" s="362">
        <f>N386*C386</f>
        <v>3780000</v>
      </c>
      <c r="P386" s="492">
        <v>30</v>
      </c>
      <c r="Q386" s="362">
        <f>P386*C386</f>
        <v>8100000</v>
      </c>
      <c r="R386" s="492">
        <v>30</v>
      </c>
      <c r="S386" s="362">
        <f>R386*C386</f>
        <v>8100000</v>
      </c>
      <c r="T386" s="492">
        <v>30</v>
      </c>
      <c r="U386" s="362">
        <f>T386*C386</f>
        <v>8100000</v>
      </c>
      <c r="V386" s="492">
        <v>30</v>
      </c>
      <c r="W386" s="362">
        <f>V386*C386</f>
        <v>8100000</v>
      </c>
      <c r="X386" s="492">
        <v>30</v>
      </c>
      <c r="Y386" s="362">
        <f>X386*C386</f>
        <v>8100000</v>
      </c>
      <c r="Z386" s="492">
        <v>30</v>
      </c>
      <c r="AA386" s="362">
        <f>Z386*C386</f>
        <v>8100000</v>
      </c>
      <c r="AB386" s="361"/>
      <c r="AC386" s="342"/>
      <c r="AD386" s="348"/>
    </row>
    <row r="387" spans="1:30" s="349" customFormat="1">
      <c r="A387" s="359" t="s">
        <v>218</v>
      </c>
      <c r="B387" s="359">
        <v>500</v>
      </c>
      <c r="C387" s="504">
        <v>350000</v>
      </c>
      <c r="D387" s="359">
        <v>7</v>
      </c>
      <c r="E387" s="362">
        <f>D387*C387</f>
        <v>2450000</v>
      </c>
      <c r="F387" s="359">
        <v>7</v>
      </c>
      <c r="G387" s="362">
        <f>F387*C387</f>
        <v>2450000</v>
      </c>
      <c r="H387" s="492">
        <v>7</v>
      </c>
      <c r="I387" s="362">
        <f>H387*C387</f>
        <v>2450000</v>
      </c>
      <c r="J387" s="492">
        <v>7</v>
      </c>
      <c r="K387" s="362">
        <f>J387*C387</f>
        <v>2450000</v>
      </c>
      <c r="L387" s="492">
        <v>7</v>
      </c>
      <c r="M387" s="362">
        <f>C387</f>
        <v>350000</v>
      </c>
      <c r="N387" s="492">
        <v>7</v>
      </c>
      <c r="O387" s="362">
        <f>N387*C387</f>
        <v>2450000</v>
      </c>
      <c r="P387" s="359">
        <v>15</v>
      </c>
      <c r="Q387" s="362">
        <f>P387*C387</f>
        <v>5250000</v>
      </c>
      <c r="R387" s="359">
        <v>15</v>
      </c>
      <c r="S387" s="362">
        <f>R387*C387</f>
        <v>5250000</v>
      </c>
      <c r="T387" s="492">
        <v>15</v>
      </c>
      <c r="U387" s="362">
        <f>T387*C387</f>
        <v>5250000</v>
      </c>
      <c r="V387" s="492">
        <v>15</v>
      </c>
      <c r="W387" s="362">
        <f>V387*C387</f>
        <v>5250000</v>
      </c>
      <c r="X387" s="492">
        <v>15</v>
      </c>
      <c r="Y387" s="362">
        <f>X387*C387</f>
        <v>5250000</v>
      </c>
      <c r="Z387" s="492">
        <v>15</v>
      </c>
      <c r="AA387" s="362">
        <f>Z387*C387</f>
        <v>5250000</v>
      </c>
      <c r="AB387" s="361"/>
      <c r="AC387" s="342"/>
      <c r="AD387" s="348"/>
    </row>
    <row r="388" spans="1:30" s="349" customFormat="1">
      <c r="A388" s="359"/>
      <c r="B388" s="359"/>
      <c r="C388" s="504"/>
      <c r="D388" s="359"/>
      <c r="E388" s="362"/>
      <c r="F388" s="359"/>
      <c r="G388" s="362"/>
      <c r="H388" s="492"/>
      <c r="I388" s="362"/>
      <c r="J388" s="492"/>
      <c r="K388" s="362"/>
      <c r="L388" s="492"/>
      <c r="M388" s="362"/>
      <c r="N388" s="492"/>
      <c r="O388" s="362"/>
      <c r="P388" s="359"/>
      <c r="Q388" s="362"/>
      <c r="R388" s="359"/>
      <c r="S388" s="362"/>
      <c r="T388" s="492"/>
      <c r="U388" s="362"/>
      <c r="V388" s="492"/>
      <c r="W388" s="362"/>
      <c r="X388" s="492"/>
      <c r="Y388" s="362"/>
      <c r="Z388" s="492"/>
      <c r="AA388" s="362"/>
      <c r="AB388" s="360"/>
      <c r="AC388" s="342"/>
      <c r="AD388" s="348"/>
    </row>
    <row r="389" spans="1:30" s="479" customFormat="1">
      <c r="A389" s="474"/>
      <c r="B389" s="474"/>
      <c r="C389" s="505"/>
      <c r="D389" s="474">
        <v>0.1</v>
      </c>
      <c r="E389" s="475">
        <f>SUM(E367:E387)</f>
        <v>68340000</v>
      </c>
      <c r="F389" s="474">
        <v>0.1</v>
      </c>
      <c r="G389" s="475">
        <f>SUM(G367:G387)</f>
        <v>68340000</v>
      </c>
      <c r="H389" s="515">
        <v>0.1</v>
      </c>
      <c r="I389" s="475">
        <f>SUM(I367:I387)</f>
        <v>68340000</v>
      </c>
      <c r="J389" s="515">
        <v>0.1</v>
      </c>
      <c r="K389" s="475">
        <f>SUM(K367:K387)</f>
        <v>68340000</v>
      </c>
      <c r="L389" s="515">
        <v>0.1</v>
      </c>
      <c r="M389" s="475">
        <f>SUM(M367:M387)</f>
        <v>66240000</v>
      </c>
      <c r="N389" s="515">
        <v>0.1</v>
      </c>
      <c r="O389" s="475">
        <f>SUM(O367:O387)</f>
        <v>68340000</v>
      </c>
      <c r="P389" s="474">
        <v>0.1</v>
      </c>
      <c r="Q389" s="475">
        <f>SUM(Q367:Q387)</f>
        <v>132000000</v>
      </c>
      <c r="R389" s="474">
        <v>0.1</v>
      </c>
      <c r="S389" s="475">
        <f>SUM(S367:S387)</f>
        <v>132000000</v>
      </c>
      <c r="T389" s="515">
        <v>0.1</v>
      </c>
      <c r="U389" s="475">
        <f>SUM(U367:U387)</f>
        <v>132000000</v>
      </c>
      <c r="V389" s="515">
        <v>0.1</v>
      </c>
      <c r="W389" s="475">
        <f>SUM(W367:W387)</f>
        <v>132000000</v>
      </c>
      <c r="X389" s="515">
        <v>0.1</v>
      </c>
      <c r="Y389" s="475">
        <f>SUM(Y367:Y387)</f>
        <v>132000000</v>
      </c>
      <c r="Z389" s="515">
        <v>0.1</v>
      </c>
      <c r="AA389" s="475">
        <f>SUM(AA367:AA387)</f>
        <v>132000000</v>
      </c>
      <c r="AB389" s="476"/>
      <c r="AC389" s="477"/>
      <c r="AD389" s="478"/>
    </row>
    <row r="390" spans="1:30" s="485" customFormat="1">
      <c r="A390" s="480"/>
      <c r="B390" s="480"/>
      <c r="C390" s="507"/>
      <c r="D390" s="480"/>
      <c r="E390" s="481">
        <f>E389*D389</f>
        <v>6834000</v>
      </c>
      <c r="F390" s="480"/>
      <c r="G390" s="482">
        <f>G389*F389</f>
        <v>6834000</v>
      </c>
      <c r="H390" s="516"/>
      <c r="I390" s="481">
        <f>I389*H389</f>
        <v>6834000</v>
      </c>
      <c r="J390" s="516"/>
      <c r="K390" s="481">
        <f>K389*J389</f>
        <v>6834000</v>
      </c>
      <c r="L390" s="516"/>
      <c r="M390" s="481">
        <f>M389*L389</f>
        <v>6624000</v>
      </c>
      <c r="N390" s="516"/>
      <c r="O390" s="481">
        <f>O389*N389</f>
        <v>6834000</v>
      </c>
      <c r="P390" s="480"/>
      <c r="Q390" s="481">
        <f>Q389*P389</f>
        <v>13200000</v>
      </c>
      <c r="R390" s="480"/>
      <c r="S390" s="481">
        <f>S389*R389</f>
        <v>13200000</v>
      </c>
      <c r="T390" s="516"/>
      <c r="U390" s="481">
        <f>U389*T389</f>
        <v>13200000</v>
      </c>
      <c r="V390" s="516"/>
      <c r="W390" s="481">
        <f>W389*V389</f>
        <v>13200000</v>
      </c>
      <c r="X390" s="516"/>
      <c r="Y390" s="481">
        <f>Y389*X389</f>
        <v>13200000</v>
      </c>
      <c r="Z390" s="516"/>
      <c r="AA390" s="481">
        <f>AA389*Z389</f>
        <v>13200000</v>
      </c>
      <c r="AB390" s="481">
        <f>SUM(AA390,Y390,W390,U390,S390,Q390,O390,M390,K390,I390,G390,E390)</f>
        <v>119994000</v>
      </c>
      <c r="AC390" s="483"/>
      <c r="AD390" s="484"/>
    </row>
    <row r="391" spans="1:30" s="349" customFormat="1">
      <c r="A391" s="359"/>
      <c r="B391" s="359"/>
      <c r="C391" s="504"/>
      <c r="D391" s="359"/>
      <c r="E391" s="360"/>
      <c r="F391" s="359"/>
      <c r="G391" s="362"/>
      <c r="H391" s="492"/>
      <c r="I391" s="362"/>
      <c r="J391" s="492"/>
      <c r="K391" s="362"/>
      <c r="L391" s="492"/>
      <c r="M391" s="362"/>
      <c r="N391" s="492"/>
      <c r="O391" s="362"/>
      <c r="P391" s="359"/>
      <c r="Q391" s="362"/>
      <c r="R391" s="359"/>
      <c r="S391" s="362"/>
      <c r="T391" s="492"/>
      <c r="U391" s="362"/>
      <c r="V391" s="492"/>
      <c r="W391" s="362"/>
      <c r="X391" s="492"/>
      <c r="Y391" s="362"/>
      <c r="Z391" s="492"/>
      <c r="AA391" s="362"/>
      <c r="AB391" s="360"/>
      <c r="AC391" s="342"/>
      <c r="AD391" s="348"/>
    </row>
    <row r="392" spans="1:30" s="349" customFormat="1">
      <c r="A392" s="359" t="s">
        <v>225</v>
      </c>
      <c r="B392" s="359">
        <v>26</v>
      </c>
      <c r="C392" s="504">
        <v>25000</v>
      </c>
      <c r="D392" s="359">
        <v>170</v>
      </c>
      <c r="E392" s="362">
        <f>D392*C392</f>
        <v>4250000</v>
      </c>
      <c r="F392" s="359">
        <v>170</v>
      </c>
      <c r="G392" s="362">
        <f>F392*C392</f>
        <v>4250000</v>
      </c>
      <c r="H392" s="492">
        <v>170</v>
      </c>
      <c r="I392" s="362">
        <f>H392*C392</f>
        <v>4250000</v>
      </c>
      <c r="J392" s="492">
        <v>170</v>
      </c>
      <c r="K392" s="362">
        <f>J392*C392</f>
        <v>4250000</v>
      </c>
      <c r="L392" s="492">
        <v>170</v>
      </c>
      <c r="M392" s="362">
        <f>L392*C392</f>
        <v>4250000</v>
      </c>
      <c r="N392" s="492">
        <v>170</v>
      </c>
      <c r="O392" s="362">
        <f>N392*C392</f>
        <v>4250000</v>
      </c>
      <c r="P392" s="359">
        <v>300</v>
      </c>
      <c r="Q392" s="362">
        <f>P392*C392</f>
        <v>7500000</v>
      </c>
      <c r="R392" s="359">
        <v>300</v>
      </c>
      <c r="S392" s="362">
        <f>R392*C392</f>
        <v>7500000</v>
      </c>
      <c r="T392" s="492">
        <v>300</v>
      </c>
      <c r="U392" s="362">
        <f>T392*C392</f>
        <v>7500000</v>
      </c>
      <c r="V392" s="492">
        <v>300</v>
      </c>
      <c r="W392" s="362">
        <f>V392*C392</f>
        <v>7500000</v>
      </c>
      <c r="X392" s="492">
        <v>300</v>
      </c>
      <c r="Y392" s="362">
        <f>X392*C392</f>
        <v>7500000</v>
      </c>
      <c r="Z392" s="492">
        <v>300</v>
      </c>
      <c r="AA392" s="362">
        <f>Z392*C392</f>
        <v>7500000</v>
      </c>
      <c r="AB392" s="361"/>
      <c r="AC392" s="342"/>
      <c r="AD392" s="348"/>
    </row>
    <row r="393" spans="1:30" s="349" customFormat="1">
      <c r="A393" s="359" t="s">
        <v>225</v>
      </c>
      <c r="B393" s="359">
        <v>33</v>
      </c>
      <c r="C393" s="504">
        <v>45000</v>
      </c>
      <c r="D393" s="359">
        <v>70</v>
      </c>
      <c r="E393" s="362">
        <f>D393*C393</f>
        <v>3150000</v>
      </c>
      <c r="F393" s="359">
        <v>70</v>
      </c>
      <c r="G393" s="362">
        <f>F393*C393</f>
        <v>3150000</v>
      </c>
      <c r="H393" s="492">
        <v>70</v>
      </c>
      <c r="I393" s="362">
        <f>H393*C393</f>
        <v>3150000</v>
      </c>
      <c r="J393" s="492">
        <v>70</v>
      </c>
      <c r="K393" s="362">
        <f>J393*C393</f>
        <v>3150000</v>
      </c>
      <c r="L393" s="492">
        <v>70</v>
      </c>
      <c r="M393" s="362">
        <f>L393*C393</f>
        <v>3150000</v>
      </c>
      <c r="N393" s="492">
        <v>70</v>
      </c>
      <c r="O393" s="362">
        <f>N393*C393</f>
        <v>3150000</v>
      </c>
      <c r="P393" s="359">
        <v>140</v>
      </c>
      <c r="Q393" s="362">
        <f>P393*C393</f>
        <v>6300000</v>
      </c>
      <c r="R393" s="359">
        <v>140</v>
      </c>
      <c r="S393" s="362">
        <f>R393*C393</f>
        <v>6300000</v>
      </c>
      <c r="T393" s="492">
        <v>140</v>
      </c>
      <c r="U393" s="362">
        <f>T393*C393</f>
        <v>6300000</v>
      </c>
      <c r="V393" s="492">
        <v>140</v>
      </c>
      <c r="W393" s="362">
        <f>V393*C393</f>
        <v>6300000</v>
      </c>
      <c r="X393" s="492">
        <v>140</v>
      </c>
      <c r="Y393" s="362">
        <f>X393*C393</f>
        <v>6300000</v>
      </c>
      <c r="Z393" s="492">
        <v>140</v>
      </c>
      <c r="AA393" s="362">
        <f>Z393*C393</f>
        <v>6300000</v>
      </c>
      <c r="AB393" s="361"/>
      <c r="AC393" s="342"/>
      <c r="AD393" s="348"/>
    </row>
    <row r="394" spans="1:30" s="349" customFormat="1">
      <c r="A394" s="359" t="s">
        <v>225</v>
      </c>
      <c r="B394" s="359">
        <v>64</v>
      </c>
      <c r="C394" s="504">
        <v>85000</v>
      </c>
      <c r="D394" s="359">
        <v>30</v>
      </c>
      <c r="E394" s="362">
        <f>D394*C394</f>
        <v>2550000</v>
      </c>
      <c r="F394" s="359">
        <v>30</v>
      </c>
      <c r="G394" s="362">
        <f>F394*C394</f>
        <v>2550000</v>
      </c>
      <c r="H394" s="492">
        <v>30</v>
      </c>
      <c r="I394" s="362">
        <f>H394*C394</f>
        <v>2550000</v>
      </c>
      <c r="J394" s="492">
        <v>30</v>
      </c>
      <c r="K394" s="362">
        <f>J394*C394</f>
        <v>2550000</v>
      </c>
      <c r="L394" s="492">
        <v>30</v>
      </c>
      <c r="M394" s="362">
        <f>L394*C394</f>
        <v>2550000</v>
      </c>
      <c r="N394" s="492">
        <v>30</v>
      </c>
      <c r="O394" s="362">
        <f>N394*C394</f>
        <v>2550000</v>
      </c>
      <c r="P394" s="359">
        <v>60</v>
      </c>
      <c r="Q394" s="362">
        <f>P394*C394</f>
        <v>5100000</v>
      </c>
      <c r="R394" s="359">
        <v>60</v>
      </c>
      <c r="S394" s="362">
        <f>R394*C394</f>
        <v>5100000</v>
      </c>
      <c r="T394" s="492">
        <v>60</v>
      </c>
      <c r="U394" s="362">
        <f>T394*C394</f>
        <v>5100000</v>
      </c>
      <c r="V394" s="492">
        <v>60</v>
      </c>
      <c r="W394" s="362">
        <f>V394*C394</f>
        <v>5100000</v>
      </c>
      <c r="X394" s="492">
        <v>60</v>
      </c>
      <c r="Y394" s="362">
        <f>X394*C394</f>
        <v>5100000</v>
      </c>
      <c r="Z394" s="492">
        <v>60</v>
      </c>
      <c r="AA394" s="362">
        <f>Z394*C394</f>
        <v>5100000</v>
      </c>
      <c r="AB394" s="361"/>
      <c r="AC394" s="342"/>
      <c r="AD394" s="348"/>
    </row>
    <row r="395" spans="1:30" s="349" customFormat="1">
      <c r="A395" s="359" t="s">
        <v>225</v>
      </c>
      <c r="B395" s="359">
        <v>100</v>
      </c>
      <c r="C395" s="504">
        <v>120000</v>
      </c>
      <c r="D395" s="359">
        <v>7</v>
      </c>
      <c r="E395" s="362">
        <f>D395*C395</f>
        <v>840000</v>
      </c>
      <c r="F395" s="359">
        <v>7</v>
      </c>
      <c r="G395" s="362">
        <f>F395*C395</f>
        <v>840000</v>
      </c>
      <c r="H395" s="492">
        <v>7</v>
      </c>
      <c r="I395" s="362">
        <f>H395*C395</f>
        <v>840000</v>
      </c>
      <c r="J395" s="492">
        <v>7</v>
      </c>
      <c r="K395" s="362">
        <f>J395*C395</f>
        <v>840000</v>
      </c>
      <c r="L395" s="492">
        <v>7</v>
      </c>
      <c r="M395" s="362">
        <f>L395*C395</f>
        <v>840000</v>
      </c>
      <c r="N395" s="492">
        <v>7</v>
      </c>
      <c r="O395" s="362">
        <f>N395*C395</f>
        <v>840000</v>
      </c>
      <c r="P395" s="359">
        <v>15</v>
      </c>
      <c r="Q395" s="362">
        <f>P395*C395</f>
        <v>1800000</v>
      </c>
      <c r="R395" s="359">
        <v>15</v>
      </c>
      <c r="S395" s="362">
        <f>R395*C395</f>
        <v>1800000</v>
      </c>
      <c r="T395" s="492">
        <v>15</v>
      </c>
      <c r="U395" s="362">
        <f>T395*C395</f>
        <v>1800000</v>
      </c>
      <c r="V395" s="492">
        <v>15</v>
      </c>
      <c r="W395" s="362">
        <f>V395*C395</f>
        <v>1800000</v>
      </c>
      <c r="X395" s="492">
        <v>15</v>
      </c>
      <c r="Y395" s="362">
        <f>X395*C395</f>
        <v>1800000</v>
      </c>
      <c r="Z395" s="492">
        <v>15</v>
      </c>
      <c r="AA395" s="362">
        <f>Z395*C395</f>
        <v>1800000</v>
      </c>
      <c r="AB395" s="361"/>
      <c r="AC395" s="342"/>
      <c r="AD395" s="348"/>
    </row>
    <row r="396" spans="1:30" s="349" customFormat="1">
      <c r="A396" s="359"/>
      <c r="B396" s="359"/>
      <c r="C396" s="504"/>
      <c r="D396" s="359"/>
      <c r="E396" s="362"/>
      <c r="F396" s="359"/>
      <c r="G396" s="362"/>
      <c r="H396" s="492"/>
      <c r="I396" s="362"/>
      <c r="J396" s="492"/>
      <c r="K396" s="362"/>
      <c r="L396" s="492"/>
      <c r="M396" s="362"/>
      <c r="N396" s="492"/>
      <c r="O396" s="362"/>
      <c r="P396" s="359"/>
      <c r="Q396" s="362"/>
      <c r="R396" s="359"/>
      <c r="S396" s="362"/>
      <c r="T396" s="492"/>
      <c r="U396" s="362"/>
      <c r="V396" s="492"/>
      <c r="W396" s="362"/>
      <c r="X396" s="492"/>
      <c r="Y396" s="362"/>
      <c r="Z396" s="492"/>
      <c r="AA396" s="362"/>
      <c r="AB396" s="361"/>
      <c r="AC396" s="342"/>
      <c r="AD396" s="348"/>
    </row>
    <row r="397" spans="1:30" s="349" customFormat="1">
      <c r="A397" s="359" t="s">
        <v>224</v>
      </c>
      <c r="B397" s="359">
        <v>150</v>
      </c>
      <c r="C397" s="504">
        <v>150000</v>
      </c>
      <c r="D397" s="359">
        <v>170</v>
      </c>
      <c r="E397" s="362">
        <f>D397*C397</f>
        <v>25500000</v>
      </c>
      <c r="F397" s="359">
        <v>170</v>
      </c>
      <c r="G397" s="362">
        <f>F397*C397</f>
        <v>25500000</v>
      </c>
      <c r="H397" s="492">
        <v>170</v>
      </c>
      <c r="I397" s="362">
        <f>H397*C397</f>
        <v>25500000</v>
      </c>
      <c r="J397" s="492">
        <v>170</v>
      </c>
      <c r="K397" s="362">
        <f>J397*C397</f>
        <v>25500000</v>
      </c>
      <c r="L397" s="492">
        <v>170</v>
      </c>
      <c r="M397" s="362">
        <f>L397*C397</f>
        <v>25500000</v>
      </c>
      <c r="N397" s="492">
        <v>170</v>
      </c>
      <c r="O397" s="362">
        <f>N397*C397</f>
        <v>25500000</v>
      </c>
      <c r="P397" s="359">
        <v>300</v>
      </c>
      <c r="Q397" s="362">
        <f>P397*C397</f>
        <v>45000000</v>
      </c>
      <c r="R397" s="359">
        <v>300</v>
      </c>
      <c r="S397" s="362">
        <f>R397*C397</f>
        <v>45000000</v>
      </c>
      <c r="T397" s="492">
        <v>300</v>
      </c>
      <c r="U397" s="362">
        <f>T397*C397</f>
        <v>45000000</v>
      </c>
      <c r="V397" s="492">
        <v>300</v>
      </c>
      <c r="W397" s="362">
        <f>V397*C397</f>
        <v>45000000</v>
      </c>
      <c r="X397" s="492">
        <v>300</v>
      </c>
      <c r="Y397" s="362">
        <f>X397*C397</f>
        <v>45000000</v>
      </c>
      <c r="Z397" s="492">
        <v>300</v>
      </c>
      <c r="AA397" s="362">
        <f>Z397*C397</f>
        <v>45000000</v>
      </c>
      <c r="AB397" s="361"/>
      <c r="AC397" s="342"/>
      <c r="AD397" s="348"/>
    </row>
    <row r="398" spans="1:30" s="349" customFormat="1">
      <c r="A398" s="359" t="s">
        <v>224</v>
      </c>
      <c r="B398" s="359">
        <v>250</v>
      </c>
      <c r="C398" s="504">
        <v>250000</v>
      </c>
      <c r="D398" s="359">
        <v>70</v>
      </c>
      <c r="E398" s="362">
        <f>D398*C398</f>
        <v>17500000</v>
      </c>
      <c r="F398" s="359">
        <v>70</v>
      </c>
      <c r="G398" s="362">
        <f>F398*C398</f>
        <v>17500000</v>
      </c>
      <c r="H398" s="492">
        <v>70</v>
      </c>
      <c r="I398" s="362">
        <f>H398*C398</f>
        <v>17500000</v>
      </c>
      <c r="J398" s="492">
        <v>70</v>
      </c>
      <c r="K398" s="362">
        <f>J398*C398</f>
        <v>17500000</v>
      </c>
      <c r="L398" s="492">
        <v>70</v>
      </c>
      <c r="M398" s="362">
        <f>L398*C398</f>
        <v>17500000</v>
      </c>
      <c r="N398" s="492">
        <v>70</v>
      </c>
      <c r="O398" s="362">
        <f>N398*C398</f>
        <v>17500000</v>
      </c>
      <c r="P398" s="359">
        <v>140</v>
      </c>
      <c r="Q398" s="362">
        <f>P398*C398</f>
        <v>35000000</v>
      </c>
      <c r="R398" s="359">
        <v>140</v>
      </c>
      <c r="S398" s="362">
        <f>R398*C398</f>
        <v>35000000</v>
      </c>
      <c r="T398" s="492">
        <v>140</v>
      </c>
      <c r="U398" s="362">
        <f>T398*C398</f>
        <v>35000000</v>
      </c>
      <c r="V398" s="492">
        <v>140</v>
      </c>
      <c r="W398" s="362">
        <f>V398*C398</f>
        <v>35000000</v>
      </c>
      <c r="X398" s="492">
        <v>140</v>
      </c>
      <c r="Y398" s="362">
        <f>X398*C398</f>
        <v>35000000</v>
      </c>
      <c r="Z398" s="492">
        <v>140</v>
      </c>
      <c r="AA398" s="362">
        <f>Z398*C398</f>
        <v>35000000</v>
      </c>
      <c r="AB398" s="361"/>
      <c r="AC398" s="342"/>
      <c r="AD398" s="348"/>
    </row>
    <row r="399" spans="1:30" s="349" customFormat="1">
      <c r="A399" s="359" t="s">
        <v>224</v>
      </c>
      <c r="B399" s="359">
        <v>350</v>
      </c>
      <c r="C399" s="504">
        <v>320000</v>
      </c>
      <c r="D399" s="359">
        <v>30</v>
      </c>
      <c r="E399" s="362">
        <f>D399*C399</f>
        <v>9600000</v>
      </c>
      <c r="F399" s="359">
        <v>30</v>
      </c>
      <c r="G399" s="362">
        <f>F399*C399</f>
        <v>9600000</v>
      </c>
      <c r="H399" s="492">
        <v>30</v>
      </c>
      <c r="I399" s="362">
        <f>H399*C399</f>
        <v>9600000</v>
      </c>
      <c r="J399" s="492">
        <v>30</v>
      </c>
      <c r="K399" s="362">
        <f>J399*C399</f>
        <v>9600000</v>
      </c>
      <c r="L399" s="492">
        <v>30</v>
      </c>
      <c r="M399" s="362">
        <f>L399*C399</f>
        <v>9600000</v>
      </c>
      <c r="N399" s="492">
        <v>30</v>
      </c>
      <c r="O399" s="362">
        <f>N399*C399</f>
        <v>9600000</v>
      </c>
      <c r="P399" s="359">
        <v>60</v>
      </c>
      <c r="Q399" s="362">
        <f>P399*C399</f>
        <v>19200000</v>
      </c>
      <c r="R399" s="359">
        <v>60</v>
      </c>
      <c r="S399" s="362">
        <f>R399*C399</f>
        <v>19200000</v>
      </c>
      <c r="T399" s="492">
        <v>60</v>
      </c>
      <c r="U399" s="362">
        <f>T399*C399</f>
        <v>19200000</v>
      </c>
      <c r="V399" s="492">
        <v>60</v>
      </c>
      <c r="W399" s="362">
        <f>V399*C399</f>
        <v>19200000</v>
      </c>
      <c r="X399" s="492">
        <v>60</v>
      </c>
      <c r="Y399" s="362">
        <f>X399*C399</f>
        <v>19200000</v>
      </c>
      <c r="Z399" s="492">
        <v>60</v>
      </c>
      <c r="AA399" s="362">
        <f>Z399*C399</f>
        <v>19200000</v>
      </c>
      <c r="AB399" s="361"/>
      <c r="AC399" s="342"/>
      <c r="AD399" s="348"/>
    </row>
    <row r="400" spans="1:30" s="349" customFormat="1">
      <c r="A400" s="359" t="s">
        <v>224</v>
      </c>
      <c r="B400" s="359">
        <v>500</v>
      </c>
      <c r="C400" s="504">
        <v>480000</v>
      </c>
      <c r="D400" s="359">
        <v>7</v>
      </c>
      <c r="E400" s="362">
        <f>D400*C400</f>
        <v>3360000</v>
      </c>
      <c r="F400" s="359">
        <v>7</v>
      </c>
      <c r="G400" s="362">
        <f>F400*C400</f>
        <v>3360000</v>
      </c>
      <c r="H400" s="492">
        <v>7</v>
      </c>
      <c r="I400" s="362">
        <f>H400*C400</f>
        <v>3360000</v>
      </c>
      <c r="J400" s="492">
        <v>7</v>
      </c>
      <c r="K400" s="362">
        <f>J400*C400</f>
        <v>3360000</v>
      </c>
      <c r="L400" s="492">
        <v>7</v>
      </c>
      <c r="M400" s="362">
        <f>L400*C400</f>
        <v>3360000</v>
      </c>
      <c r="N400" s="492">
        <v>7</v>
      </c>
      <c r="O400" s="362">
        <f>N400*C400</f>
        <v>3360000</v>
      </c>
      <c r="P400" s="359">
        <v>15</v>
      </c>
      <c r="Q400" s="362">
        <f>P400*C400</f>
        <v>7200000</v>
      </c>
      <c r="R400" s="359">
        <v>15</v>
      </c>
      <c r="S400" s="362">
        <f>R400*C400</f>
        <v>7200000</v>
      </c>
      <c r="T400" s="492">
        <v>15</v>
      </c>
      <c r="U400" s="362">
        <f>T400*C400</f>
        <v>7200000</v>
      </c>
      <c r="V400" s="492">
        <v>15</v>
      </c>
      <c r="W400" s="362">
        <f>V400*C400</f>
        <v>7200000</v>
      </c>
      <c r="X400" s="492">
        <v>15</v>
      </c>
      <c r="Y400" s="362">
        <f>X400*C400</f>
        <v>7200000</v>
      </c>
      <c r="Z400" s="492">
        <v>15</v>
      </c>
      <c r="AA400" s="362">
        <f>Z400*C400</f>
        <v>7200000</v>
      </c>
      <c r="AB400" s="361"/>
      <c r="AC400" s="342"/>
      <c r="AD400" s="348"/>
    </row>
    <row r="401" spans="1:30" s="349" customFormat="1">
      <c r="A401" s="359"/>
      <c r="B401" s="359"/>
      <c r="C401" s="504"/>
      <c r="D401" s="359"/>
      <c r="E401" s="362"/>
      <c r="F401" s="359"/>
      <c r="G401" s="362"/>
      <c r="H401" s="492"/>
      <c r="I401" s="362"/>
      <c r="J401" s="492"/>
      <c r="K401" s="362"/>
      <c r="L401" s="492"/>
      <c r="M401" s="362"/>
      <c r="N401" s="492"/>
      <c r="O401" s="362"/>
      <c r="P401" s="359"/>
      <c r="Q401" s="362"/>
      <c r="R401" s="359"/>
      <c r="S401" s="362"/>
      <c r="T401" s="492"/>
      <c r="U401" s="362"/>
      <c r="V401" s="492"/>
      <c r="W401" s="362"/>
      <c r="X401" s="492"/>
      <c r="Y401" s="362"/>
      <c r="Z401" s="492"/>
      <c r="AA401" s="362"/>
      <c r="AB401" s="361"/>
      <c r="AC401" s="342"/>
      <c r="AD401" s="348"/>
    </row>
    <row r="402" spans="1:30" s="349" customFormat="1">
      <c r="A402" s="359" t="s">
        <v>223</v>
      </c>
      <c r="B402" s="359">
        <v>100</v>
      </c>
      <c r="C402" s="504">
        <v>120000</v>
      </c>
      <c r="D402" s="359">
        <v>30</v>
      </c>
      <c r="E402" s="362">
        <f>D402*C402</f>
        <v>3600000</v>
      </c>
      <c r="F402" s="359">
        <v>30</v>
      </c>
      <c r="G402" s="362">
        <f>F402*C402</f>
        <v>3600000</v>
      </c>
      <c r="H402" s="492">
        <v>30</v>
      </c>
      <c r="I402" s="362">
        <f>H402*C402</f>
        <v>3600000</v>
      </c>
      <c r="J402" s="492">
        <v>30</v>
      </c>
      <c r="K402" s="362">
        <f>J402*C402</f>
        <v>3600000</v>
      </c>
      <c r="L402" s="492">
        <v>30</v>
      </c>
      <c r="M402" s="362">
        <f>L402*C402</f>
        <v>3600000</v>
      </c>
      <c r="N402" s="492">
        <v>30</v>
      </c>
      <c r="O402" s="362">
        <f>N402*C402</f>
        <v>3600000</v>
      </c>
      <c r="P402" s="491">
        <v>60</v>
      </c>
      <c r="Q402" s="362">
        <f>P402*C402</f>
        <v>7200000</v>
      </c>
      <c r="R402" s="491">
        <v>60</v>
      </c>
      <c r="S402" s="362">
        <f>R402*C402</f>
        <v>7200000</v>
      </c>
      <c r="T402" s="492">
        <v>60</v>
      </c>
      <c r="U402" s="362">
        <f>T402*C402</f>
        <v>7200000</v>
      </c>
      <c r="V402" s="492">
        <v>60</v>
      </c>
      <c r="W402" s="362">
        <f>V402*C402</f>
        <v>7200000</v>
      </c>
      <c r="X402" s="492">
        <v>60</v>
      </c>
      <c r="Y402" s="362">
        <f>X402*C402</f>
        <v>7200000</v>
      </c>
      <c r="Z402" s="492">
        <v>60</v>
      </c>
      <c r="AA402" s="362">
        <f>Z402*C402</f>
        <v>7200000</v>
      </c>
      <c r="AB402" s="361"/>
      <c r="AC402" s="342"/>
      <c r="AD402" s="348"/>
    </row>
    <row r="403" spans="1:30" s="349" customFormat="1">
      <c r="A403" s="359" t="s">
        <v>223</v>
      </c>
      <c r="B403" s="359">
        <v>150</v>
      </c>
      <c r="C403" s="504">
        <v>150000</v>
      </c>
      <c r="D403" s="359">
        <v>27</v>
      </c>
      <c r="E403" s="362">
        <f>D403*C403</f>
        <v>4050000</v>
      </c>
      <c r="F403" s="359">
        <v>27</v>
      </c>
      <c r="G403" s="362">
        <f>F403*C403</f>
        <v>4050000</v>
      </c>
      <c r="H403" s="492">
        <v>27</v>
      </c>
      <c r="I403" s="362">
        <f>H403*C403</f>
        <v>4050000</v>
      </c>
      <c r="J403" s="492">
        <v>27</v>
      </c>
      <c r="K403" s="362">
        <f>J403*C403</f>
        <v>4050000</v>
      </c>
      <c r="L403" s="492">
        <v>27</v>
      </c>
      <c r="M403" s="362">
        <f>L403*C403</f>
        <v>4050000</v>
      </c>
      <c r="N403" s="492">
        <v>27</v>
      </c>
      <c r="O403" s="362">
        <f>N403*C403</f>
        <v>4050000</v>
      </c>
      <c r="P403" s="492">
        <v>50</v>
      </c>
      <c r="Q403" s="362">
        <f>P403*C403</f>
        <v>7500000</v>
      </c>
      <c r="R403" s="492">
        <v>50</v>
      </c>
      <c r="S403" s="362">
        <f>R403*C403</f>
        <v>7500000</v>
      </c>
      <c r="T403" s="492">
        <v>50</v>
      </c>
      <c r="U403" s="362">
        <f>T403*C403</f>
        <v>7500000</v>
      </c>
      <c r="V403" s="492">
        <v>50</v>
      </c>
      <c r="W403" s="362">
        <f>V403*C403</f>
        <v>7500000</v>
      </c>
      <c r="X403" s="492">
        <v>50</v>
      </c>
      <c r="Y403" s="362">
        <f>X403*C403</f>
        <v>7500000</v>
      </c>
      <c r="Z403" s="492">
        <v>50</v>
      </c>
      <c r="AA403" s="362">
        <f>Z403*C403</f>
        <v>7500000</v>
      </c>
      <c r="AB403" s="361"/>
      <c r="AC403" s="342"/>
      <c r="AD403" s="348"/>
    </row>
    <row r="404" spans="1:30" s="349" customFormat="1">
      <c r="A404" s="359" t="s">
        <v>223</v>
      </c>
      <c r="B404" s="359">
        <v>250</v>
      </c>
      <c r="C404" s="504">
        <v>250000</v>
      </c>
      <c r="D404" s="359">
        <v>20</v>
      </c>
      <c r="E404" s="362">
        <f>D404*C404</f>
        <v>5000000</v>
      </c>
      <c r="F404" s="359">
        <v>20</v>
      </c>
      <c r="G404" s="362">
        <f>F404*C404</f>
        <v>5000000</v>
      </c>
      <c r="H404" s="492">
        <v>20</v>
      </c>
      <c r="I404" s="362">
        <f>H404*C404</f>
        <v>5000000</v>
      </c>
      <c r="J404" s="492">
        <v>20</v>
      </c>
      <c r="K404" s="362">
        <f>J404*C404</f>
        <v>5000000</v>
      </c>
      <c r="L404" s="492">
        <v>20</v>
      </c>
      <c r="M404" s="362">
        <f>L404*C404</f>
        <v>5000000</v>
      </c>
      <c r="N404" s="492">
        <v>20</v>
      </c>
      <c r="O404" s="362">
        <f>N404*C404</f>
        <v>5000000</v>
      </c>
      <c r="P404" s="492">
        <v>40</v>
      </c>
      <c r="Q404" s="362">
        <f>P404*C404</f>
        <v>10000000</v>
      </c>
      <c r="R404" s="492">
        <v>40</v>
      </c>
      <c r="S404" s="362">
        <f>R404*C404</f>
        <v>10000000</v>
      </c>
      <c r="T404" s="492">
        <v>40</v>
      </c>
      <c r="U404" s="362">
        <f>T404*C404</f>
        <v>10000000</v>
      </c>
      <c r="V404" s="492">
        <v>40</v>
      </c>
      <c r="W404" s="362">
        <f>V404*C404</f>
        <v>10000000</v>
      </c>
      <c r="X404" s="492">
        <v>40</v>
      </c>
      <c r="Y404" s="362">
        <f>X404*C404</f>
        <v>10000000</v>
      </c>
      <c r="Z404" s="492">
        <v>40</v>
      </c>
      <c r="AA404" s="362">
        <f>Z404*C404</f>
        <v>10000000</v>
      </c>
      <c r="AB404" s="361"/>
      <c r="AC404" s="342"/>
      <c r="AD404" s="348"/>
    </row>
    <row r="405" spans="1:30" s="349" customFormat="1">
      <c r="A405" s="359" t="s">
        <v>223</v>
      </c>
      <c r="B405" s="359">
        <v>350</v>
      </c>
      <c r="C405" s="504">
        <v>320000</v>
      </c>
      <c r="D405" s="359">
        <v>14</v>
      </c>
      <c r="E405" s="362">
        <f>D405*C405</f>
        <v>4480000</v>
      </c>
      <c r="F405" s="359">
        <v>14</v>
      </c>
      <c r="G405" s="362">
        <f>F405*C405</f>
        <v>4480000</v>
      </c>
      <c r="H405" s="492">
        <v>14</v>
      </c>
      <c r="I405" s="362">
        <f>H405*C405</f>
        <v>4480000</v>
      </c>
      <c r="J405" s="492">
        <v>14</v>
      </c>
      <c r="K405" s="362">
        <f>J405*C405</f>
        <v>4480000</v>
      </c>
      <c r="L405" s="492">
        <v>14</v>
      </c>
      <c r="M405" s="362">
        <f>L405*C405</f>
        <v>4480000</v>
      </c>
      <c r="N405" s="492">
        <v>14</v>
      </c>
      <c r="O405" s="362">
        <f>N405*C405</f>
        <v>4480000</v>
      </c>
      <c r="P405" s="492">
        <v>30</v>
      </c>
      <c r="Q405" s="362">
        <f>P405*C405</f>
        <v>9600000</v>
      </c>
      <c r="R405" s="492">
        <v>30</v>
      </c>
      <c r="S405" s="362">
        <f>R405*C405</f>
        <v>9600000</v>
      </c>
      <c r="T405" s="492">
        <v>30</v>
      </c>
      <c r="U405" s="362">
        <f>T405*C405</f>
        <v>9600000</v>
      </c>
      <c r="V405" s="492">
        <v>30</v>
      </c>
      <c r="W405" s="362">
        <f>V405*C405</f>
        <v>9600000</v>
      </c>
      <c r="X405" s="492">
        <v>30</v>
      </c>
      <c r="Y405" s="362">
        <f>X405*C405</f>
        <v>9600000</v>
      </c>
      <c r="Z405" s="492">
        <v>30</v>
      </c>
      <c r="AA405" s="362">
        <f>Z405*C405</f>
        <v>9600000</v>
      </c>
      <c r="AB405" s="361"/>
      <c r="AC405" s="342"/>
      <c r="AD405" s="348"/>
    </row>
    <row r="406" spans="1:30" s="349" customFormat="1">
      <c r="A406" s="359" t="s">
        <v>223</v>
      </c>
      <c r="B406" s="359">
        <v>500</v>
      </c>
      <c r="C406" s="504">
        <v>480000</v>
      </c>
      <c r="D406" s="359">
        <v>7</v>
      </c>
      <c r="E406" s="362">
        <f>D406*C406</f>
        <v>3360000</v>
      </c>
      <c r="F406" s="359">
        <v>7</v>
      </c>
      <c r="G406" s="362">
        <f>F406*C406</f>
        <v>3360000</v>
      </c>
      <c r="H406" s="492">
        <v>7</v>
      </c>
      <c r="I406" s="362">
        <f>H406*C406</f>
        <v>3360000</v>
      </c>
      <c r="J406" s="492">
        <v>7</v>
      </c>
      <c r="K406" s="362">
        <f>J406*C406</f>
        <v>3360000</v>
      </c>
      <c r="L406" s="492">
        <v>7</v>
      </c>
      <c r="M406" s="362">
        <f>L406*C406</f>
        <v>3360000</v>
      </c>
      <c r="N406" s="492">
        <v>7</v>
      </c>
      <c r="O406" s="362">
        <f>N406*C406</f>
        <v>3360000</v>
      </c>
      <c r="P406" s="359">
        <v>15</v>
      </c>
      <c r="Q406" s="362">
        <f>P406*C406</f>
        <v>7200000</v>
      </c>
      <c r="R406" s="359">
        <v>15</v>
      </c>
      <c r="S406" s="362">
        <f>R406*C406</f>
        <v>7200000</v>
      </c>
      <c r="T406" s="492">
        <v>15</v>
      </c>
      <c r="U406" s="362">
        <f>T406*C406</f>
        <v>7200000</v>
      </c>
      <c r="V406" s="492">
        <v>15</v>
      </c>
      <c r="W406" s="362">
        <f>V406*C406</f>
        <v>7200000</v>
      </c>
      <c r="X406" s="492">
        <v>15</v>
      </c>
      <c r="Y406" s="362">
        <f>X406*C406</f>
        <v>7200000</v>
      </c>
      <c r="Z406" s="492">
        <v>15</v>
      </c>
      <c r="AA406" s="362">
        <f>Z406*C406</f>
        <v>7200000</v>
      </c>
      <c r="AB406" s="361"/>
      <c r="AC406" s="342"/>
      <c r="AD406" s="348"/>
    </row>
    <row r="407" spans="1:30">
      <c r="A407" s="359"/>
      <c r="B407" s="359"/>
      <c r="C407" s="504"/>
      <c r="D407" s="359"/>
      <c r="E407" s="362"/>
      <c r="F407" s="359"/>
      <c r="G407" s="362"/>
      <c r="H407" s="492"/>
      <c r="I407" s="362"/>
      <c r="J407" s="492"/>
      <c r="K407" s="362"/>
      <c r="L407" s="492"/>
      <c r="M407" s="362"/>
      <c r="N407" s="492"/>
      <c r="O407" s="362"/>
      <c r="P407" s="359"/>
      <c r="Q407" s="362"/>
      <c r="R407" s="359"/>
      <c r="S407" s="362"/>
      <c r="T407" s="492"/>
      <c r="U407" s="362"/>
      <c r="V407" s="492"/>
      <c r="W407" s="362"/>
      <c r="X407" s="492"/>
      <c r="Y407" s="362"/>
      <c r="Z407" s="492"/>
      <c r="AA407" s="362"/>
      <c r="AB407" s="361"/>
      <c r="AD407" s="350"/>
    </row>
    <row r="408" spans="1:30" s="349" customFormat="1">
      <c r="A408" s="359" t="s">
        <v>222</v>
      </c>
      <c r="B408" s="359">
        <v>100</v>
      </c>
      <c r="C408" s="504">
        <v>120000</v>
      </c>
      <c r="D408" s="359">
        <v>30</v>
      </c>
      <c r="E408" s="362">
        <f>D408*C408</f>
        <v>3600000</v>
      </c>
      <c r="F408" s="359">
        <v>30</v>
      </c>
      <c r="G408" s="362">
        <f>F408*C408</f>
        <v>3600000</v>
      </c>
      <c r="H408" s="492">
        <v>30</v>
      </c>
      <c r="I408" s="362">
        <f>H408*C408</f>
        <v>3600000</v>
      </c>
      <c r="J408" s="492">
        <v>30</v>
      </c>
      <c r="K408" s="362">
        <f>J408*C408</f>
        <v>3600000</v>
      </c>
      <c r="L408" s="492">
        <v>30</v>
      </c>
      <c r="M408" s="362">
        <f>L408*C408</f>
        <v>3600000</v>
      </c>
      <c r="N408" s="492">
        <v>30</v>
      </c>
      <c r="O408" s="362">
        <f>N408*C408</f>
        <v>3600000</v>
      </c>
      <c r="P408" s="491">
        <v>60</v>
      </c>
      <c r="Q408" s="362">
        <f>P408*C408</f>
        <v>7200000</v>
      </c>
      <c r="R408" s="491">
        <v>60</v>
      </c>
      <c r="S408" s="362">
        <f>R408*C408</f>
        <v>7200000</v>
      </c>
      <c r="T408" s="492">
        <v>60</v>
      </c>
      <c r="U408" s="362">
        <f>T408*C408</f>
        <v>7200000</v>
      </c>
      <c r="V408" s="492">
        <v>60</v>
      </c>
      <c r="W408" s="362">
        <f>V408*C408</f>
        <v>7200000</v>
      </c>
      <c r="X408" s="492">
        <v>60</v>
      </c>
      <c r="Y408" s="362">
        <f>X408*C408</f>
        <v>7200000</v>
      </c>
      <c r="Z408" s="492">
        <v>60</v>
      </c>
      <c r="AA408" s="362">
        <f>Z408*C408</f>
        <v>7200000</v>
      </c>
      <c r="AB408" s="361"/>
      <c r="AC408" s="342"/>
      <c r="AD408" s="348"/>
    </row>
    <row r="409" spans="1:30" s="349" customFormat="1">
      <c r="A409" s="359" t="s">
        <v>222</v>
      </c>
      <c r="B409" s="359">
        <v>150</v>
      </c>
      <c r="C409" s="504">
        <v>150000</v>
      </c>
      <c r="D409" s="359">
        <v>27</v>
      </c>
      <c r="E409" s="362">
        <f>D409*C409</f>
        <v>4050000</v>
      </c>
      <c r="F409" s="359">
        <v>27</v>
      </c>
      <c r="G409" s="362">
        <f>F409*C409</f>
        <v>4050000</v>
      </c>
      <c r="H409" s="492">
        <v>27</v>
      </c>
      <c r="I409" s="362">
        <f>H409*C409</f>
        <v>4050000</v>
      </c>
      <c r="J409" s="492">
        <v>27</v>
      </c>
      <c r="K409" s="362">
        <f>J409*C409</f>
        <v>4050000</v>
      </c>
      <c r="L409" s="492">
        <v>27</v>
      </c>
      <c r="M409" s="362">
        <f>L409*C409</f>
        <v>4050000</v>
      </c>
      <c r="N409" s="492">
        <v>27</v>
      </c>
      <c r="O409" s="362">
        <f>N409*C409</f>
        <v>4050000</v>
      </c>
      <c r="P409" s="492">
        <v>50</v>
      </c>
      <c r="Q409" s="362">
        <f>P409*C409</f>
        <v>7500000</v>
      </c>
      <c r="R409" s="492">
        <v>50</v>
      </c>
      <c r="S409" s="362">
        <f>R409*C409</f>
        <v>7500000</v>
      </c>
      <c r="T409" s="492">
        <v>50</v>
      </c>
      <c r="U409" s="362">
        <f>T409*C409</f>
        <v>7500000</v>
      </c>
      <c r="V409" s="492">
        <v>50</v>
      </c>
      <c r="W409" s="362">
        <f>V409*C409</f>
        <v>7500000</v>
      </c>
      <c r="X409" s="492">
        <v>50</v>
      </c>
      <c r="Y409" s="362">
        <f>X409*C409</f>
        <v>7500000</v>
      </c>
      <c r="Z409" s="492">
        <v>50</v>
      </c>
      <c r="AA409" s="362">
        <f>Z409*C409</f>
        <v>7500000</v>
      </c>
      <c r="AB409" s="361"/>
      <c r="AC409" s="342"/>
      <c r="AD409" s="348"/>
    </row>
    <row r="410" spans="1:30" s="349" customFormat="1">
      <c r="A410" s="359" t="s">
        <v>222</v>
      </c>
      <c r="B410" s="359">
        <v>250</v>
      </c>
      <c r="C410" s="504">
        <v>250000</v>
      </c>
      <c r="D410" s="359">
        <v>20</v>
      </c>
      <c r="E410" s="362">
        <f>D410*C410</f>
        <v>5000000</v>
      </c>
      <c r="F410" s="359">
        <v>20</v>
      </c>
      <c r="G410" s="362">
        <f>F410*C410</f>
        <v>5000000</v>
      </c>
      <c r="H410" s="492">
        <v>20</v>
      </c>
      <c r="I410" s="362">
        <f>H410*C410</f>
        <v>5000000</v>
      </c>
      <c r="J410" s="492">
        <v>20</v>
      </c>
      <c r="K410" s="362">
        <f>J410*C410</f>
        <v>5000000</v>
      </c>
      <c r="L410" s="492">
        <v>20</v>
      </c>
      <c r="M410" s="362">
        <f>L410*C410</f>
        <v>5000000</v>
      </c>
      <c r="N410" s="492">
        <v>20</v>
      </c>
      <c r="O410" s="362">
        <f>N410*C410</f>
        <v>5000000</v>
      </c>
      <c r="P410" s="492">
        <v>40</v>
      </c>
      <c r="Q410" s="362">
        <f>P410*C410</f>
        <v>10000000</v>
      </c>
      <c r="R410" s="492">
        <v>40</v>
      </c>
      <c r="S410" s="362">
        <f>R410*C410</f>
        <v>10000000</v>
      </c>
      <c r="T410" s="492">
        <v>40</v>
      </c>
      <c r="U410" s="362">
        <f>T410*C410</f>
        <v>10000000</v>
      </c>
      <c r="V410" s="492">
        <v>40</v>
      </c>
      <c r="W410" s="362">
        <f>V410*C410</f>
        <v>10000000</v>
      </c>
      <c r="X410" s="492">
        <v>40</v>
      </c>
      <c r="Y410" s="362">
        <f>X410*C410</f>
        <v>10000000</v>
      </c>
      <c r="Z410" s="492">
        <v>40</v>
      </c>
      <c r="AA410" s="362">
        <f>Z410*C410</f>
        <v>10000000</v>
      </c>
      <c r="AB410" s="361"/>
      <c r="AC410" s="342"/>
      <c r="AD410" s="348"/>
    </row>
    <row r="411" spans="1:30" s="349" customFormat="1">
      <c r="A411" s="359" t="s">
        <v>222</v>
      </c>
      <c r="B411" s="359">
        <v>350</v>
      </c>
      <c r="C411" s="504">
        <v>320000</v>
      </c>
      <c r="D411" s="359">
        <v>14</v>
      </c>
      <c r="E411" s="362">
        <f>D411*C411</f>
        <v>4480000</v>
      </c>
      <c r="F411" s="359">
        <v>14</v>
      </c>
      <c r="G411" s="362">
        <f>F411*C411</f>
        <v>4480000</v>
      </c>
      <c r="H411" s="492">
        <v>14</v>
      </c>
      <c r="I411" s="362">
        <f>H411*C411</f>
        <v>4480000</v>
      </c>
      <c r="J411" s="492">
        <v>14</v>
      </c>
      <c r="K411" s="362">
        <f>J411*C411</f>
        <v>4480000</v>
      </c>
      <c r="L411" s="492">
        <v>14</v>
      </c>
      <c r="M411" s="362">
        <f>L411*C411</f>
        <v>4480000</v>
      </c>
      <c r="N411" s="492">
        <v>14</v>
      </c>
      <c r="O411" s="362">
        <f>N411*C411</f>
        <v>4480000</v>
      </c>
      <c r="P411" s="492">
        <v>30</v>
      </c>
      <c r="Q411" s="362">
        <f>P411*C411</f>
        <v>9600000</v>
      </c>
      <c r="R411" s="492">
        <v>30</v>
      </c>
      <c r="S411" s="362">
        <f>R411*C411</f>
        <v>9600000</v>
      </c>
      <c r="T411" s="492">
        <v>30</v>
      </c>
      <c r="U411" s="362">
        <f>T411*C411</f>
        <v>9600000</v>
      </c>
      <c r="V411" s="492">
        <v>30</v>
      </c>
      <c r="W411" s="362">
        <f>V411*C411</f>
        <v>9600000</v>
      </c>
      <c r="X411" s="492">
        <v>30</v>
      </c>
      <c r="Y411" s="362">
        <f>X411*C411</f>
        <v>9600000</v>
      </c>
      <c r="Z411" s="492">
        <v>30</v>
      </c>
      <c r="AA411" s="362">
        <f>Z411*C411</f>
        <v>9600000</v>
      </c>
      <c r="AB411" s="361"/>
      <c r="AC411" s="342"/>
      <c r="AD411" s="348"/>
    </row>
    <row r="412" spans="1:30" s="349" customFormat="1">
      <c r="A412" s="359" t="s">
        <v>222</v>
      </c>
      <c r="B412" s="359">
        <v>500</v>
      </c>
      <c r="C412" s="504">
        <v>480000</v>
      </c>
      <c r="D412" s="359">
        <v>7</v>
      </c>
      <c r="E412" s="362">
        <f>D412*C412</f>
        <v>3360000</v>
      </c>
      <c r="F412" s="359">
        <v>7</v>
      </c>
      <c r="G412" s="362">
        <f>F412*C412</f>
        <v>3360000</v>
      </c>
      <c r="H412" s="492">
        <v>7</v>
      </c>
      <c r="I412" s="362">
        <f>H412*C412</f>
        <v>3360000</v>
      </c>
      <c r="J412" s="492">
        <v>7</v>
      </c>
      <c r="K412" s="362">
        <f>J412*C412</f>
        <v>3360000</v>
      </c>
      <c r="L412" s="492">
        <v>7</v>
      </c>
      <c r="M412" s="362">
        <f>C412</f>
        <v>480000</v>
      </c>
      <c r="N412" s="492">
        <v>7</v>
      </c>
      <c r="O412" s="362">
        <f>N412*C412</f>
        <v>3360000</v>
      </c>
      <c r="P412" s="359">
        <v>15</v>
      </c>
      <c r="Q412" s="362">
        <f>P412*C412</f>
        <v>7200000</v>
      </c>
      <c r="R412" s="359">
        <v>15</v>
      </c>
      <c r="S412" s="362">
        <f>R412*C412</f>
        <v>7200000</v>
      </c>
      <c r="T412" s="492">
        <v>15</v>
      </c>
      <c r="U412" s="362">
        <f>T412*C412</f>
        <v>7200000</v>
      </c>
      <c r="V412" s="492">
        <v>15</v>
      </c>
      <c r="W412" s="362">
        <f>V412*C412</f>
        <v>7200000</v>
      </c>
      <c r="X412" s="492">
        <v>15</v>
      </c>
      <c r="Y412" s="362">
        <f>X412*C412</f>
        <v>7200000</v>
      </c>
      <c r="Z412" s="492">
        <v>15</v>
      </c>
      <c r="AA412" s="362">
        <f>Z412*C412</f>
        <v>7200000</v>
      </c>
      <c r="AB412" s="361"/>
      <c r="AC412" s="342"/>
      <c r="AD412" s="348"/>
    </row>
    <row r="413" spans="1:30" s="349" customFormat="1">
      <c r="A413" s="359"/>
      <c r="B413" s="359"/>
      <c r="C413" s="504"/>
      <c r="D413" s="359"/>
      <c r="E413" s="362"/>
      <c r="F413" s="359"/>
      <c r="G413" s="362"/>
      <c r="H413" s="492"/>
      <c r="I413" s="362"/>
      <c r="J413" s="492"/>
      <c r="K413" s="362"/>
      <c r="L413" s="492"/>
      <c r="M413" s="362"/>
      <c r="N413" s="492"/>
      <c r="O413" s="362"/>
      <c r="P413" s="359"/>
      <c r="Q413" s="362"/>
      <c r="R413" s="359"/>
      <c r="S413" s="362"/>
      <c r="T413" s="492"/>
      <c r="U413" s="362"/>
      <c r="V413" s="492"/>
      <c r="W413" s="362"/>
      <c r="X413" s="492"/>
      <c r="Y413" s="362"/>
      <c r="Z413" s="492"/>
      <c r="AA413" s="362"/>
      <c r="AB413" s="360"/>
      <c r="AC413" s="342"/>
      <c r="AD413" s="348"/>
    </row>
    <row r="414" spans="1:30" s="479" customFormat="1">
      <c r="A414" s="474"/>
      <c r="B414" s="474"/>
      <c r="C414" s="505"/>
      <c r="D414" s="474">
        <v>0.1</v>
      </c>
      <c r="E414" s="475">
        <f>SUM(E392:E412)</f>
        <v>107730000</v>
      </c>
      <c r="F414" s="474">
        <v>0.1</v>
      </c>
      <c r="G414" s="475">
        <f>SUM(G392:G412)</f>
        <v>107730000</v>
      </c>
      <c r="H414" s="515">
        <v>0.1</v>
      </c>
      <c r="I414" s="475">
        <f>SUM(I392:I412)</f>
        <v>107730000</v>
      </c>
      <c r="J414" s="515">
        <v>0.1</v>
      </c>
      <c r="K414" s="475">
        <f>SUM(K392:K412)</f>
        <v>107730000</v>
      </c>
      <c r="L414" s="515">
        <v>0.1</v>
      </c>
      <c r="M414" s="475">
        <f>SUM(M392:M412)</f>
        <v>104850000</v>
      </c>
      <c r="N414" s="515">
        <v>0.1</v>
      </c>
      <c r="O414" s="475">
        <f>SUM(O392:O412)</f>
        <v>107730000</v>
      </c>
      <c r="P414" s="474">
        <v>0.1</v>
      </c>
      <c r="Q414" s="475">
        <f>SUM(Q392:Q412)</f>
        <v>210100000</v>
      </c>
      <c r="R414" s="474">
        <v>0.1</v>
      </c>
      <c r="S414" s="475">
        <f>SUM(S392:S412)</f>
        <v>210100000</v>
      </c>
      <c r="T414" s="515">
        <v>0.1</v>
      </c>
      <c r="U414" s="475">
        <f>SUM(U392:U412)</f>
        <v>210100000</v>
      </c>
      <c r="V414" s="515">
        <v>0.1</v>
      </c>
      <c r="W414" s="475">
        <f>SUM(W392:W412)</f>
        <v>210100000</v>
      </c>
      <c r="X414" s="515">
        <v>0.1</v>
      </c>
      <c r="Y414" s="475">
        <f>SUM(Y392:Y412)</f>
        <v>210100000</v>
      </c>
      <c r="Z414" s="515">
        <v>0.1</v>
      </c>
      <c r="AA414" s="475">
        <f>SUM(AA392:AA412)</f>
        <v>210100000</v>
      </c>
      <c r="AB414" s="476"/>
      <c r="AC414" s="477"/>
      <c r="AD414" s="478"/>
    </row>
    <row r="415" spans="1:30" s="485" customFormat="1">
      <c r="A415" s="480"/>
      <c r="B415" s="480"/>
      <c r="C415" s="507"/>
      <c r="D415" s="480"/>
      <c r="E415" s="481">
        <f>E414*D414</f>
        <v>10773000</v>
      </c>
      <c r="F415" s="480"/>
      <c r="G415" s="482">
        <f>G414*F414</f>
        <v>10773000</v>
      </c>
      <c r="H415" s="516"/>
      <c r="I415" s="481">
        <f>I414*H414</f>
        <v>10773000</v>
      </c>
      <c r="J415" s="516"/>
      <c r="K415" s="481">
        <f>K414*J414</f>
        <v>10773000</v>
      </c>
      <c r="L415" s="516"/>
      <c r="M415" s="481">
        <f>M414*L414</f>
        <v>10485000</v>
      </c>
      <c r="N415" s="516"/>
      <c r="O415" s="481">
        <f>O414*N414</f>
        <v>10773000</v>
      </c>
      <c r="P415" s="480"/>
      <c r="Q415" s="481">
        <f>Q414*P414</f>
        <v>21010000</v>
      </c>
      <c r="R415" s="480"/>
      <c r="S415" s="481">
        <f>S414*R414</f>
        <v>21010000</v>
      </c>
      <c r="T415" s="516"/>
      <c r="U415" s="481">
        <f>U414*T414</f>
        <v>21010000</v>
      </c>
      <c r="V415" s="516"/>
      <c r="W415" s="481">
        <f>W414*V414</f>
        <v>21010000</v>
      </c>
      <c r="X415" s="516"/>
      <c r="Y415" s="481">
        <f>Y414*X414</f>
        <v>21010000</v>
      </c>
      <c r="Z415" s="516"/>
      <c r="AA415" s="481">
        <f>AA414*Z414</f>
        <v>21010000</v>
      </c>
      <c r="AB415" s="481">
        <f>SUM(AA415,Y415,W415,U415,S415,Q415,O415,M415,K415,I415,G415,E415)</f>
        <v>190410000</v>
      </c>
      <c r="AC415" s="483"/>
      <c r="AD415" s="484"/>
    </row>
    <row r="416" spans="1:30" s="349" customFormat="1">
      <c r="A416" s="359"/>
      <c r="B416" s="359"/>
      <c r="C416" s="504"/>
      <c r="D416" s="359"/>
      <c r="E416" s="360"/>
      <c r="F416" s="359"/>
      <c r="G416" s="362"/>
      <c r="H416" s="492"/>
      <c r="I416" s="362"/>
      <c r="J416" s="492"/>
      <c r="K416" s="362"/>
      <c r="L416" s="492"/>
      <c r="M416" s="362"/>
      <c r="N416" s="492"/>
      <c r="O416" s="362"/>
      <c r="P416" s="359"/>
      <c r="Q416" s="362"/>
      <c r="R416" s="359"/>
      <c r="S416" s="362"/>
      <c r="T416" s="492"/>
      <c r="U416" s="362"/>
      <c r="V416" s="492"/>
      <c r="W416" s="362"/>
      <c r="X416" s="492"/>
      <c r="Y416" s="362"/>
      <c r="Z416" s="492"/>
      <c r="AA416" s="362"/>
      <c r="AB416" s="360"/>
      <c r="AC416" s="342"/>
      <c r="AD416" s="348"/>
    </row>
    <row r="417" spans="1:30" s="349" customFormat="1">
      <c r="A417" s="359" t="s">
        <v>229</v>
      </c>
      <c r="B417" s="359">
        <v>26</v>
      </c>
      <c r="C417" s="504">
        <v>25000</v>
      </c>
      <c r="D417" s="359">
        <v>100</v>
      </c>
      <c r="E417" s="362">
        <f>D417*C417</f>
        <v>2500000</v>
      </c>
      <c r="F417" s="359">
        <v>100</v>
      </c>
      <c r="G417" s="362">
        <f>F417*C417</f>
        <v>2500000</v>
      </c>
      <c r="H417" s="492">
        <v>100</v>
      </c>
      <c r="I417" s="362">
        <f>H417*C417</f>
        <v>2500000</v>
      </c>
      <c r="J417" s="492">
        <v>100</v>
      </c>
      <c r="K417" s="362">
        <f>J417*C417</f>
        <v>2500000</v>
      </c>
      <c r="L417" s="492">
        <v>100</v>
      </c>
      <c r="M417" s="362">
        <f>L417*C417</f>
        <v>2500000</v>
      </c>
      <c r="N417" s="492">
        <v>100</v>
      </c>
      <c r="O417" s="362">
        <f>N417*C417</f>
        <v>2500000</v>
      </c>
      <c r="P417" s="491">
        <v>200</v>
      </c>
      <c r="Q417" s="362">
        <f>P417*C417</f>
        <v>5000000</v>
      </c>
      <c r="R417" s="491">
        <v>200</v>
      </c>
      <c r="S417" s="362">
        <f>R417*C417</f>
        <v>5000000</v>
      </c>
      <c r="T417" s="492">
        <v>200</v>
      </c>
      <c r="U417" s="362">
        <f>T417*C417</f>
        <v>5000000</v>
      </c>
      <c r="V417" s="492">
        <v>200</v>
      </c>
      <c r="W417" s="362">
        <f>V417*C417</f>
        <v>5000000</v>
      </c>
      <c r="X417" s="492">
        <v>200</v>
      </c>
      <c r="Y417" s="362">
        <f>X417*C417</f>
        <v>5000000</v>
      </c>
      <c r="Z417" s="492">
        <v>200</v>
      </c>
      <c r="AA417" s="362">
        <f>Z417*C417</f>
        <v>5000000</v>
      </c>
      <c r="AB417" s="361"/>
      <c r="AC417" s="342"/>
      <c r="AD417" s="348"/>
    </row>
    <row r="418" spans="1:30" s="349" customFormat="1">
      <c r="A418" s="359" t="s">
        <v>229</v>
      </c>
      <c r="B418" s="359">
        <v>33</v>
      </c>
      <c r="C418" s="504">
        <v>45000</v>
      </c>
      <c r="D418" s="359">
        <v>30</v>
      </c>
      <c r="E418" s="362">
        <f>D418*C418</f>
        <v>1350000</v>
      </c>
      <c r="F418" s="359">
        <v>30</v>
      </c>
      <c r="G418" s="362">
        <f>F418*C418</f>
        <v>1350000</v>
      </c>
      <c r="H418" s="492">
        <v>30</v>
      </c>
      <c r="I418" s="362">
        <f>H418*C418</f>
        <v>1350000</v>
      </c>
      <c r="J418" s="492">
        <v>30</v>
      </c>
      <c r="K418" s="362">
        <f>J418*C418</f>
        <v>1350000</v>
      </c>
      <c r="L418" s="492">
        <v>30</v>
      </c>
      <c r="M418" s="362">
        <f>L418*C418</f>
        <v>1350000</v>
      </c>
      <c r="N418" s="492">
        <v>30</v>
      </c>
      <c r="O418" s="362">
        <f>N418*C418</f>
        <v>1350000</v>
      </c>
      <c r="P418" s="492">
        <v>60</v>
      </c>
      <c r="Q418" s="362">
        <f>P418*C418</f>
        <v>2700000</v>
      </c>
      <c r="R418" s="492">
        <v>60</v>
      </c>
      <c r="S418" s="362">
        <f>R418*C418</f>
        <v>2700000</v>
      </c>
      <c r="T418" s="492">
        <v>60</v>
      </c>
      <c r="U418" s="362">
        <f>T418*C418</f>
        <v>2700000</v>
      </c>
      <c r="V418" s="492">
        <v>60</v>
      </c>
      <c r="W418" s="362">
        <f>V418*C418</f>
        <v>2700000</v>
      </c>
      <c r="X418" s="492">
        <v>60</v>
      </c>
      <c r="Y418" s="362">
        <f>X418*C418</f>
        <v>2700000</v>
      </c>
      <c r="Z418" s="492">
        <v>60</v>
      </c>
      <c r="AA418" s="362">
        <f>Z418*C418</f>
        <v>2700000</v>
      </c>
      <c r="AB418" s="361"/>
      <c r="AC418" s="342"/>
      <c r="AD418" s="348"/>
    </row>
    <row r="419" spans="1:30" s="349" customFormat="1">
      <c r="A419" s="359" t="s">
        <v>229</v>
      </c>
      <c r="B419" s="359">
        <v>64</v>
      </c>
      <c r="C419" s="504">
        <v>85000</v>
      </c>
      <c r="D419" s="359">
        <v>30</v>
      </c>
      <c r="E419" s="362">
        <f>D419*C419</f>
        <v>2550000</v>
      </c>
      <c r="F419" s="359">
        <v>30</v>
      </c>
      <c r="G419" s="362">
        <f>F419*C419</f>
        <v>2550000</v>
      </c>
      <c r="H419" s="492">
        <v>30</v>
      </c>
      <c r="I419" s="362">
        <f>H419*C419</f>
        <v>2550000</v>
      </c>
      <c r="J419" s="492">
        <v>30</v>
      </c>
      <c r="K419" s="362">
        <f>J419*C419</f>
        <v>2550000</v>
      </c>
      <c r="L419" s="492">
        <v>30</v>
      </c>
      <c r="M419" s="362">
        <f>L419*C419</f>
        <v>2550000</v>
      </c>
      <c r="N419" s="492">
        <v>30</v>
      </c>
      <c r="O419" s="362">
        <f>N419*C419</f>
        <v>2550000</v>
      </c>
      <c r="P419" s="492">
        <v>60</v>
      </c>
      <c r="Q419" s="362">
        <f>P419*C419</f>
        <v>5100000</v>
      </c>
      <c r="R419" s="492">
        <v>60</v>
      </c>
      <c r="S419" s="362">
        <f>R419*C419</f>
        <v>5100000</v>
      </c>
      <c r="T419" s="492">
        <v>60</v>
      </c>
      <c r="U419" s="362">
        <f>T419*C419</f>
        <v>5100000</v>
      </c>
      <c r="V419" s="492">
        <v>60</v>
      </c>
      <c r="W419" s="362">
        <f>V419*C419</f>
        <v>5100000</v>
      </c>
      <c r="X419" s="492">
        <v>60</v>
      </c>
      <c r="Y419" s="362">
        <f>X419*C419</f>
        <v>5100000</v>
      </c>
      <c r="Z419" s="492">
        <v>60</v>
      </c>
      <c r="AA419" s="362">
        <f>Z419*C419</f>
        <v>5100000</v>
      </c>
      <c r="AB419" s="361"/>
      <c r="AC419" s="342"/>
      <c r="AD419" s="348"/>
    </row>
    <row r="420" spans="1:30" s="349" customFormat="1">
      <c r="A420" s="359" t="s">
        <v>229</v>
      </c>
      <c r="B420" s="359">
        <v>100</v>
      </c>
      <c r="C420" s="504">
        <v>120000</v>
      </c>
      <c r="D420" s="359">
        <v>7</v>
      </c>
      <c r="E420" s="362">
        <f>D420*C420</f>
        <v>840000</v>
      </c>
      <c r="F420" s="359">
        <v>7</v>
      </c>
      <c r="G420" s="362">
        <f>F420*C420</f>
        <v>840000</v>
      </c>
      <c r="H420" s="492">
        <v>7</v>
      </c>
      <c r="I420" s="362">
        <f>H420*C420</f>
        <v>840000</v>
      </c>
      <c r="J420" s="492">
        <v>7</v>
      </c>
      <c r="K420" s="362">
        <f>J420*C420</f>
        <v>840000</v>
      </c>
      <c r="L420" s="492">
        <v>7</v>
      </c>
      <c r="M420" s="362">
        <f>L420*C420</f>
        <v>840000</v>
      </c>
      <c r="N420" s="492">
        <v>7</v>
      </c>
      <c r="O420" s="362">
        <f>N420*C420</f>
        <v>840000</v>
      </c>
      <c r="P420" s="492">
        <v>15</v>
      </c>
      <c r="Q420" s="362">
        <f>P420*C420</f>
        <v>1800000</v>
      </c>
      <c r="R420" s="492">
        <v>15</v>
      </c>
      <c r="S420" s="362">
        <f>R420*C420</f>
        <v>1800000</v>
      </c>
      <c r="T420" s="492">
        <v>15</v>
      </c>
      <c r="U420" s="362">
        <f>T420*C420</f>
        <v>1800000</v>
      </c>
      <c r="V420" s="492">
        <v>15</v>
      </c>
      <c r="W420" s="362">
        <f>V420*C420</f>
        <v>1800000</v>
      </c>
      <c r="X420" s="492">
        <v>15</v>
      </c>
      <c r="Y420" s="362">
        <f>X420*C420</f>
        <v>1800000</v>
      </c>
      <c r="Z420" s="492">
        <v>15</v>
      </c>
      <c r="AA420" s="362">
        <f>Z420*C420</f>
        <v>1800000</v>
      </c>
      <c r="AB420" s="361"/>
      <c r="AC420" s="342"/>
      <c r="AD420" s="348"/>
    </row>
    <row r="421" spans="1:30" s="349" customFormat="1">
      <c r="A421" s="359"/>
      <c r="B421" s="359"/>
      <c r="C421" s="504"/>
      <c r="D421" s="359"/>
      <c r="E421" s="362"/>
      <c r="F421" s="359"/>
      <c r="G421" s="362"/>
      <c r="H421" s="492"/>
      <c r="I421" s="362"/>
      <c r="J421" s="492"/>
      <c r="K421" s="362"/>
      <c r="L421" s="492"/>
      <c r="M421" s="362"/>
      <c r="N421" s="492"/>
      <c r="O421" s="362"/>
      <c r="P421" s="492"/>
      <c r="Q421" s="362"/>
      <c r="R421" s="492"/>
      <c r="S421" s="362"/>
      <c r="T421" s="492"/>
      <c r="U421" s="362"/>
      <c r="V421" s="492"/>
      <c r="W421" s="362"/>
      <c r="X421" s="492"/>
      <c r="Y421" s="362"/>
      <c r="Z421" s="492"/>
      <c r="AA421" s="362"/>
      <c r="AB421" s="361"/>
      <c r="AC421" s="342"/>
      <c r="AD421" s="348"/>
    </row>
    <row r="422" spans="1:30" s="349" customFormat="1">
      <c r="A422" s="359" t="s">
        <v>228</v>
      </c>
      <c r="B422" s="359">
        <v>150</v>
      </c>
      <c r="C422" s="504">
        <v>150000</v>
      </c>
      <c r="D422" s="359">
        <v>100</v>
      </c>
      <c r="E422" s="362">
        <f>D422*C422</f>
        <v>15000000</v>
      </c>
      <c r="F422" s="359">
        <v>100</v>
      </c>
      <c r="G422" s="362">
        <f>F422*C422</f>
        <v>15000000</v>
      </c>
      <c r="H422" s="492">
        <v>100</v>
      </c>
      <c r="I422" s="362">
        <f>H422*C422</f>
        <v>15000000</v>
      </c>
      <c r="J422" s="492">
        <v>100</v>
      </c>
      <c r="K422" s="362">
        <f>J422*C422</f>
        <v>15000000</v>
      </c>
      <c r="L422" s="492">
        <v>100</v>
      </c>
      <c r="M422" s="362">
        <f>L422*C422</f>
        <v>15000000</v>
      </c>
      <c r="N422" s="492">
        <v>100</v>
      </c>
      <c r="O422" s="362">
        <f>N422*C422</f>
        <v>15000000</v>
      </c>
      <c r="P422" s="492">
        <v>200</v>
      </c>
      <c r="Q422" s="362">
        <f>P422*C422</f>
        <v>30000000</v>
      </c>
      <c r="R422" s="492">
        <v>200</v>
      </c>
      <c r="S422" s="362">
        <f>R422*C422</f>
        <v>30000000</v>
      </c>
      <c r="T422" s="492">
        <v>200</v>
      </c>
      <c r="U422" s="362">
        <f>T422*C422</f>
        <v>30000000</v>
      </c>
      <c r="V422" s="492">
        <v>200</v>
      </c>
      <c r="W422" s="362">
        <f>V422*C422</f>
        <v>30000000</v>
      </c>
      <c r="X422" s="492">
        <v>200</v>
      </c>
      <c r="Y422" s="362">
        <f>X422*C422</f>
        <v>30000000</v>
      </c>
      <c r="Z422" s="492">
        <v>200</v>
      </c>
      <c r="AA422" s="362">
        <f>Z422*C422</f>
        <v>30000000</v>
      </c>
      <c r="AB422" s="361"/>
      <c r="AC422" s="342"/>
      <c r="AD422" s="348"/>
    </row>
    <row r="423" spans="1:30" s="349" customFormat="1">
      <c r="A423" s="359" t="s">
        <v>228</v>
      </c>
      <c r="B423" s="359">
        <v>250</v>
      </c>
      <c r="C423" s="504">
        <v>250000</v>
      </c>
      <c r="D423" s="359">
        <v>30</v>
      </c>
      <c r="E423" s="362">
        <f>D423*C423</f>
        <v>7500000</v>
      </c>
      <c r="F423" s="359">
        <v>30</v>
      </c>
      <c r="G423" s="362">
        <f>F423*C423</f>
        <v>7500000</v>
      </c>
      <c r="H423" s="492">
        <v>30</v>
      </c>
      <c r="I423" s="362">
        <f>H423*C423</f>
        <v>7500000</v>
      </c>
      <c r="J423" s="492">
        <v>30</v>
      </c>
      <c r="K423" s="362">
        <f>J423*C423</f>
        <v>7500000</v>
      </c>
      <c r="L423" s="492">
        <v>30</v>
      </c>
      <c r="M423" s="362">
        <f>L423*C423</f>
        <v>7500000</v>
      </c>
      <c r="N423" s="492">
        <v>30</v>
      </c>
      <c r="O423" s="362">
        <f>N423*C423</f>
        <v>7500000</v>
      </c>
      <c r="P423" s="492">
        <v>60</v>
      </c>
      <c r="Q423" s="362">
        <f>P423*C423</f>
        <v>15000000</v>
      </c>
      <c r="R423" s="492">
        <v>60</v>
      </c>
      <c r="S423" s="362">
        <f>R423*C423</f>
        <v>15000000</v>
      </c>
      <c r="T423" s="492">
        <v>60</v>
      </c>
      <c r="U423" s="362">
        <f>T423*C423</f>
        <v>15000000</v>
      </c>
      <c r="V423" s="492">
        <v>60</v>
      </c>
      <c r="W423" s="362">
        <f>V423*C423</f>
        <v>15000000</v>
      </c>
      <c r="X423" s="492">
        <v>60</v>
      </c>
      <c r="Y423" s="362">
        <f>X423*C423</f>
        <v>15000000</v>
      </c>
      <c r="Z423" s="492">
        <v>60</v>
      </c>
      <c r="AA423" s="362">
        <f>Z423*C423</f>
        <v>15000000</v>
      </c>
      <c r="AB423" s="361"/>
      <c r="AC423" s="342"/>
      <c r="AD423" s="348"/>
    </row>
    <row r="424" spans="1:30" s="349" customFormat="1">
      <c r="A424" s="359" t="s">
        <v>228</v>
      </c>
      <c r="B424" s="359">
        <v>350</v>
      </c>
      <c r="C424" s="504">
        <v>320000</v>
      </c>
      <c r="D424" s="359">
        <v>30</v>
      </c>
      <c r="E424" s="362">
        <f>D424*C424</f>
        <v>9600000</v>
      </c>
      <c r="F424" s="359">
        <v>30</v>
      </c>
      <c r="G424" s="362">
        <f>F424*C424</f>
        <v>9600000</v>
      </c>
      <c r="H424" s="492">
        <v>30</v>
      </c>
      <c r="I424" s="362">
        <f>H424*C424</f>
        <v>9600000</v>
      </c>
      <c r="J424" s="492">
        <v>30</v>
      </c>
      <c r="K424" s="362">
        <f>J424*C424</f>
        <v>9600000</v>
      </c>
      <c r="L424" s="492">
        <v>30</v>
      </c>
      <c r="M424" s="362">
        <f>L424*C424</f>
        <v>9600000</v>
      </c>
      <c r="N424" s="492">
        <v>30</v>
      </c>
      <c r="O424" s="362">
        <f>N424*C424</f>
        <v>9600000</v>
      </c>
      <c r="P424" s="492">
        <v>60</v>
      </c>
      <c r="Q424" s="362">
        <f>P424*C424</f>
        <v>19200000</v>
      </c>
      <c r="R424" s="492">
        <v>60</v>
      </c>
      <c r="S424" s="362">
        <f>R424*C424</f>
        <v>19200000</v>
      </c>
      <c r="T424" s="492">
        <v>60</v>
      </c>
      <c r="U424" s="362">
        <f>T424*C424</f>
        <v>19200000</v>
      </c>
      <c r="V424" s="492">
        <v>60</v>
      </c>
      <c r="W424" s="362">
        <f>V424*C424</f>
        <v>19200000</v>
      </c>
      <c r="X424" s="492">
        <v>60</v>
      </c>
      <c r="Y424" s="362">
        <f>X424*C424</f>
        <v>19200000</v>
      </c>
      <c r="Z424" s="492">
        <v>60</v>
      </c>
      <c r="AA424" s="362">
        <f>Z424*C424</f>
        <v>19200000</v>
      </c>
      <c r="AB424" s="361"/>
      <c r="AC424" s="342"/>
      <c r="AD424" s="348"/>
    </row>
    <row r="425" spans="1:30" s="349" customFormat="1">
      <c r="A425" s="359" t="s">
        <v>228</v>
      </c>
      <c r="B425" s="359">
        <v>500</v>
      </c>
      <c r="C425" s="504">
        <v>480000</v>
      </c>
      <c r="D425" s="359">
        <v>7</v>
      </c>
      <c r="E425" s="362">
        <f>D425*C425</f>
        <v>3360000</v>
      </c>
      <c r="F425" s="359">
        <v>7</v>
      </c>
      <c r="G425" s="362">
        <f>F425*C425</f>
        <v>3360000</v>
      </c>
      <c r="H425" s="492">
        <v>7</v>
      </c>
      <c r="I425" s="362">
        <f>H425*C425</f>
        <v>3360000</v>
      </c>
      <c r="J425" s="492">
        <v>7</v>
      </c>
      <c r="K425" s="362">
        <f>J425*C425</f>
        <v>3360000</v>
      </c>
      <c r="L425" s="492">
        <v>7</v>
      </c>
      <c r="M425" s="362">
        <f>L425*C425</f>
        <v>3360000</v>
      </c>
      <c r="N425" s="492">
        <v>7</v>
      </c>
      <c r="O425" s="362">
        <f>N425*C425</f>
        <v>3360000</v>
      </c>
      <c r="P425" s="492">
        <v>15</v>
      </c>
      <c r="Q425" s="362">
        <f>P425*C425</f>
        <v>7200000</v>
      </c>
      <c r="R425" s="492">
        <v>15</v>
      </c>
      <c r="S425" s="362">
        <f>R425*C425</f>
        <v>7200000</v>
      </c>
      <c r="T425" s="492">
        <v>15</v>
      </c>
      <c r="U425" s="362">
        <f>T425*C425</f>
        <v>7200000</v>
      </c>
      <c r="V425" s="492">
        <v>15</v>
      </c>
      <c r="W425" s="362">
        <f>V425*C425</f>
        <v>7200000</v>
      </c>
      <c r="X425" s="492">
        <v>15</v>
      </c>
      <c r="Y425" s="362">
        <f>X425*C425</f>
        <v>7200000</v>
      </c>
      <c r="Z425" s="492">
        <v>15</v>
      </c>
      <c r="AA425" s="362">
        <f>Z425*C425</f>
        <v>7200000</v>
      </c>
      <c r="AB425" s="361"/>
      <c r="AC425" s="342"/>
      <c r="AD425" s="348"/>
    </row>
    <row r="426" spans="1:30" s="349" customFormat="1">
      <c r="A426" s="359"/>
      <c r="B426" s="359"/>
      <c r="C426" s="504"/>
      <c r="D426" s="359"/>
      <c r="E426" s="362"/>
      <c r="F426" s="359"/>
      <c r="G426" s="362"/>
      <c r="H426" s="492"/>
      <c r="I426" s="362"/>
      <c r="J426" s="492"/>
      <c r="K426" s="362"/>
      <c r="L426" s="492"/>
      <c r="M426" s="362"/>
      <c r="N426" s="492"/>
      <c r="O426" s="362"/>
      <c r="P426" s="492"/>
      <c r="Q426" s="362"/>
      <c r="R426" s="492"/>
      <c r="S426" s="362"/>
      <c r="T426" s="492"/>
      <c r="U426" s="362"/>
      <c r="V426" s="492"/>
      <c r="W426" s="362"/>
      <c r="X426" s="492"/>
      <c r="Y426" s="362"/>
      <c r="Z426" s="492"/>
      <c r="AA426" s="362"/>
      <c r="AB426" s="361"/>
      <c r="AC426" s="342"/>
      <c r="AD426" s="348"/>
    </row>
    <row r="427" spans="1:30" s="349" customFormat="1">
      <c r="A427" s="359" t="s">
        <v>227</v>
      </c>
      <c r="B427" s="359">
        <v>100</v>
      </c>
      <c r="C427" s="504">
        <v>120000</v>
      </c>
      <c r="D427" s="359">
        <v>30</v>
      </c>
      <c r="E427" s="362">
        <f>D427*C427</f>
        <v>3600000</v>
      </c>
      <c r="F427" s="359">
        <v>30</v>
      </c>
      <c r="G427" s="362">
        <f>F427*C427</f>
        <v>3600000</v>
      </c>
      <c r="H427" s="492">
        <v>30</v>
      </c>
      <c r="I427" s="362">
        <f>H427*C427</f>
        <v>3600000</v>
      </c>
      <c r="J427" s="492">
        <v>30</v>
      </c>
      <c r="K427" s="362">
        <f>J427*C427</f>
        <v>3600000</v>
      </c>
      <c r="L427" s="492">
        <v>30</v>
      </c>
      <c r="M427" s="362">
        <f>L427*C427</f>
        <v>3600000</v>
      </c>
      <c r="N427" s="492">
        <v>30</v>
      </c>
      <c r="O427" s="362">
        <f>N427*C427</f>
        <v>3600000</v>
      </c>
      <c r="P427" s="492">
        <v>60</v>
      </c>
      <c r="Q427" s="362">
        <f>P427*C427</f>
        <v>7200000</v>
      </c>
      <c r="R427" s="492">
        <v>60</v>
      </c>
      <c r="S427" s="362">
        <f>R427*C427</f>
        <v>7200000</v>
      </c>
      <c r="T427" s="492">
        <v>60</v>
      </c>
      <c r="U427" s="362">
        <f>T427*C427</f>
        <v>7200000</v>
      </c>
      <c r="V427" s="492">
        <v>60</v>
      </c>
      <c r="W427" s="362">
        <f>V427*C427</f>
        <v>7200000</v>
      </c>
      <c r="X427" s="492">
        <v>60</v>
      </c>
      <c r="Y427" s="362">
        <f>X427*C427</f>
        <v>7200000</v>
      </c>
      <c r="Z427" s="492">
        <v>60</v>
      </c>
      <c r="AA427" s="362">
        <f>Z427*C427</f>
        <v>7200000</v>
      </c>
      <c r="AB427" s="361"/>
      <c r="AC427" s="342"/>
      <c r="AD427" s="348"/>
    </row>
    <row r="428" spans="1:30" s="349" customFormat="1">
      <c r="A428" s="359" t="s">
        <v>227</v>
      </c>
      <c r="B428" s="359">
        <v>150</v>
      </c>
      <c r="C428" s="504">
        <v>150000</v>
      </c>
      <c r="D428" s="359">
        <v>30</v>
      </c>
      <c r="E428" s="362">
        <f>D428*C428</f>
        <v>4500000</v>
      </c>
      <c r="F428" s="359">
        <v>30</v>
      </c>
      <c r="G428" s="362">
        <f>F428*C428</f>
        <v>4500000</v>
      </c>
      <c r="H428" s="492">
        <v>30</v>
      </c>
      <c r="I428" s="362">
        <f>H428*C428</f>
        <v>4500000</v>
      </c>
      <c r="J428" s="492">
        <v>30</v>
      </c>
      <c r="K428" s="362">
        <f>J428*C428</f>
        <v>4500000</v>
      </c>
      <c r="L428" s="492">
        <v>30</v>
      </c>
      <c r="M428" s="362">
        <f>L428*C428</f>
        <v>4500000</v>
      </c>
      <c r="N428" s="492">
        <v>30</v>
      </c>
      <c r="O428" s="362">
        <f>N428*C428</f>
        <v>4500000</v>
      </c>
      <c r="P428" s="492">
        <v>60</v>
      </c>
      <c r="Q428" s="362">
        <f>P428*C428</f>
        <v>9000000</v>
      </c>
      <c r="R428" s="492">
        <v>60</v>
      </c>
      <c r="S428" s="362">
        <f>R428*C428</f>
        <v>9000000</v>
      </c>
      <c r="T428" s="492">
        <v>60</v>
      </c>
      <c r="U428" s="362">
        <f>T428*C428</f>
        <v>9000000</v>
      </c>
      <c r="V428" s="492">
        <v>60</v>
      </c>
      <c r="W428" s="362">
        <f>V428*C428</f>
        <v>9000000</v>
      </c>
      <c r="X428" s="492">
        <v>60</v>
      </c>
      <c r="Y428" s="362">
        <f>X428*C428</f>
        <v>9000000</v>
      </c>
      <c r="Z428" s="492">
        <v>60</v>
      </c>
      <c r="AA428" s="362">
        <f>Z428*C428</f>
        <v>9000000</v>
      </c>
      <c r="AB428" s="361"/>
      <c r="AC428" s="342"/>
      <c r="AD428" s="348"/>
    </row>
    <row r="429" spans="1:30" s="349" customFormat="1">
      <c r="A429" s="359" t="s">
        <v>227</v>
      </c>
      <c r="B429" s="359">
        <v>250</v>
      </c>
      <c r="C429" s="504">
        <v>250000</v>
      </c>
      <c r="D429" s="359">
        <v>20</v>
      </c>
      <c r="E429" s="362">
        <f>D429*C429</f>
        <v>5000000</v>
      </c>
      <c r="F429" s="359">
        <v>20</v>
      </c>
      <c r="G429" s="362">
        <f>F429*C429</f>
        <v>5000000</v>
      </c>
      <c r="H429" s="492">
        <v>20</v>
      </c>
      <c r="I429" s="362">
        <f>H429*C429</f>
        <v>5000000</v>
      </c>
      <c r="J429" s="492">
        <v>20</v>
      </c>
      <c r="K429" s="362">
        <f>J429*C429</f>
        <v>5000000</v>
      </c>
      <c r="L429" s="492">
        <v>20</v>
      </c>
      <c r="M429" s="362">
        <f>L429*C429</f>
        <v>5000000</v>
      </c>
      <c r="N429" s="492">
        <v>20</v>
      </c>
      <c r="O429" s="362">
        <f>N429*C429</f>
        <v>5000000</v>
      </c>
      <c r="P429" s="492">
        <v>40</v>
      </c>
      <c r="Q429" s="362">
        <f>P429*C429</f>
        <v>10000000</v>
      </c>
      <c r="R429" s="492">
        <v>40</v>
      </c>
      <c r="S429" s="362">
        <f>R429*C429</f>
        <v>10000000</v>
      </c>
      <c r="T429" s="492">
        <v>40</v>
      </c>
      <c r="U429" s="362">
        <f>T429*C429</f>
        <v>10000000</v>
      </c>
      <c r="V429" s="492">
        <v>40</v>
      </c>
      <c r="W429" s="362">
        <f>V429*C429</f>
        <v>10000000</v>
      </c>
      <c r="X429" s="492">
        <v>40</v>
      </c>
      <c r="Y429" s="362">
        <f>X429*C429</f>
        <v>10000000</v>
      </c>
      <c r="Z429" s="492">
        <v>40</v>
      </c>
      <c r="AA429" s="362">
        <f>Z429*C429</f>
        <v>10000000</v>
      </c>
      <c r="AB429" s="361"/>
      <c r="AC429" s="342"/>
      <c r="AD429" s="348"/>
    </row>
    <row r="430" spans="1:30" s="349" customFormat="1">
      <c r="A430" s="359" t="s">
        <v>227</v>
      </c>
      <c r="B430" s="359">
        <v>350</v>
      </c>
      <c r="C430" s="504">
        <v>320000</v>
      </c>
      <c r="D430" s="359">
        <v>15</v>
      </c>
      <c r="E430" s="362">
        <f>D430*C430</f>
        <v>4800000</v>
      </c>
      <c r="F430" s="359">
        <v>15</v>
      </c>
      <c r="G430" s="362">
        <f>F430*C430</f>
        <v>4800000</v>
      </c>
      <c r="H430" s="492">
        <v>15</v>
      </c>
      <c r="I430" s="362">
        <f>H430*C430</f>
        <v>4800000</v>
      </c>
      <c r="J430" s="492">
        <v>15</v>
      </c>
      <c r="K430" s="362">
        <f>J430*C430</f>
        <v>4800000</v>
      </c>
      <c r="L430" s="492">
        <v>15</v>
      </c>
      <c r="M430" s="362">
        <f>L430*C430</f>
        <v>4800000</v>
      </c>
      <c r="N430" s="492">
        <v>15</v>
      </c>
      <c r="O430" s="362">
        <f>N430*C430</f>
        <v>4800000</v>
      </c>
      <c r="P430" s="492">
        <v>30</v>
      </c>
      <c r="Q430" s="362">
        <f>P430*C430</f>
        <v>9600000</v>
      </c>
      <c r="R430" s="492">
        <v>30</v>
      </c>
      <c r="S430" s="362">
        <f>R430*C430</f>
        <v>9600000</v>
      </c>
      <c r="T430" s="492">
        <v>30</v>
      </c>
      <c r="U430" s="362">
        <f>T430*C430</f>
        <v>9600000</v>
      </c>
      <c r="V430" s="492">
        <v>30</v>
      </c>
      <c r="W430" s="362">
        <f>V430*C430</f>
        <v>9600000</v>
      </c>
      <c r="X430" s="492">
        <v>30</v>
      </c>
      <c r="Y430" s="362">
        <f>X430*C430</f>
        <v>9600000</v>
      </c>
      <c r="Z430" s="492">
        <v>30</v>
      </c>
      <c r="AA430" s="362">
        <f>Z430*C430</f>
        <v>9600000</v>
      </c>
      <c r="AB430" s="361"/>
      <c r="AC430" s="342"/>
      <c r="AD430" s="348"/>
    </row>
    <row r="431" spans="1:30" s="349" customFormat="1">
      <c r="A431" s="359" t="s">
        <v>227</v>
      </c>
      <c r="B431" s="359">
        <v>500</v>
      </c>
      <c r="C431" s="504">
        <v>480000</v>
      </c>
      <c r="D431" s="359">
        <v>7</v>
      </c>
      <c r="E431" s="362">
        <f>D431*C431</f>
        <v>3360000</v>
      </c>
      <c r="F431" s="359">
        <v>7</v>
      </c>
      <c r="G431" s="362">
        <f>F431*C431</f>
        <v>3360000</v>
      </c>
      <c r="H431" s="492">
        <v>7</v>
      </c>
      <c r="I431" s="362">
        <f>H431*C431</f>
        <v>3360000</v>
      </c>
      <c r="J431" s="492">
        <v>7</v>
      </c>
      <c r="K431" s="362">
        <f>J431*C431</f>
        <v>3360000</v>
      </c>
      <c r="L431" s="492">
        <v>7</v>
      </c>
      <c r="M431" s="362">
        <f>L431*C431</f>
        <v>3360000</v>
      </c>
      <c r="N431" s="492">
        <v>7</v>
      </c>
      <c r="O431" s="362">
        <f>N431*C431</f>
        <v>3360000</v>
      </c>
      <c r="P431" s="492">
        <v>15</v>
      </c>
      <c r="Q431" s="362">
        <f>P431*C431</f>
        <v>7200000</v>
      </c>
      <c r="R431" s="492">
        <v>15</v>
      </c>
      <c r="S431" s="362">
        <f>R431*C431</f>
        <v>7200000</v>
      </c>
      <c r="T431" s="492">
        <v>15</v>
      </c>
      <c r="U431" s="362">
        <f>T431*C431</f>
        <v>7200000</v>
      </c>
      <c r="V431" s="492">
        <v>15</v>
      </c>
      <c r="W431" s="362">
        <f>V431*C431</f>
        <v>7200000</v>
      </c>
      <c r="X431" s="492">
        <v>15</v>
      </c>
      <c r="Y431" s="362">
        <f>X431*C431</f>
        <v>7200000</v>
      </c>
      <c r="Z431" s="492">
        <v>15</v>
      </c>
      <c r="AA431" s="362">
        <f>Z431*C431</f>
        <v>7200000</v>
      </c>
      <c r="AB431" s="361"/>
      <c r="AC431" s="342"/>
      <c r="AD431" s="348"/>
    </row>
    <row r="432" spans="1:30">
      <c r="A432" s="359"/>
      <c r="B432" s="359"/>
      <c r="C432" s="504"/>
      <c r="D432" s="359"/>
      <c r="E432" s="362"/>
      <c r="F432" s="359"/>
      <c r="G432" s="362"/>
      <c r="H432" s="492"/>
      <c r="I432" s="362"/>
      <c r="J432" s="492"/>
      <c r="K432" s="362"/>
      <c r="L432" s="492"/>
      <c r="M432" s="362"/>
      <c r="N432" s="492"/>
      <c r="O432" s="362"/>
      <c r="P432" s="359"/>
      <c r="Q432" s="362"/>
      <c r="R432" s="359"/>
      <c r="S432" s="362"/>
      <c r="T432" s="492"/>
      <c r="U432" s="362"/>
      <c r="V432" s="492"/>
      <c r="W432" s="362"/>
      <c r="X432" s="492"/>
      <c r="Y432" s="362"/>
      <c r="Z432" s="492"/>
      <c r="AA432" s="362"/>
      <c r="AB432" s="361"/>
      <c r="AD432" s="350"/>
    </row>
    <row r="433" spans="1:30" s="349" customFormat="1">
      <c r="A433" s="359" t="s">
        <v>226</v>
      </c>
      <c r="B433" s="359">
        <v>100</v>
      </c>
      <c r="C433" s="504"/>
      <c r="D433" s="359">
        <v>30</v>
      </c>
      <c r="E433" s="362">
        <f>D433*C433</f>
        <v>0</v>
      </c>
      <c r="F433" s="359">
        <v>30</v>
      </c>
      <c r="G433" s="362">
        <f>F433*C433</f>
        <v>0</v>
      </c>
      <c r="H433" s="492">
        <v>30</v>
      </c>
      <c r="I433" s="362">
        <f>H433*C433</f>
        <v>0</v>
      </c>
      <c r="J433" s="492">
        <v>30</v>
      </c>
      <c r="K433" s="362">
        <f>J433*C433</f>
        <v>0</v>
      </c>
      <c r="L433" s="492">
        <v>30</v>
      </c>
      <c r="M433" s="362">
        <f>L433*C433</f>
        <v>0</v>
      </c>
      <c r="N433" s="492">
        <v>30</v>
      </c>
      <c r="O433" s="362">
        <f>N433*C433</f>
        <v>0</v>
      </c>
      <c r="P433" s="359">
        <v>60</v>
      </c>
      <c r="Q433" s="362">
        <f>P433*C433</f>
        <v>0</v>
      </c>
      <c r="R433" s="359">
        <v>60</v>
      </c>
      <c r="S433" s="362">
        <f>R433*C433</f>
        <v>0</v>
      </c>
      <c r="T433" s="492">
        <v>60</v>
      </c>
      <c r="U433" s="362">
        <f>T433*C433</f>
        <v>0</v>
      </c>
      <c r="V433" s="492">
        <v>60</v>
      </c>
      <c r="W433" s="362">
        <f>V433*C433</f>
        <v>0</v>
      </c>
      <c r="X433" s="492">
        <v>60</v>
      </c>
      <c r="Y433" s="362">
        <f>X433*C433</f>
        <v>0</v>
      </c>
      <c r="Z433" s="492">
        <v>60</v>
      </c>
      <c r="AA433" s="362">
        <f>Z433*C433</f>
        <v>0</v>
      </c>
      <c r="AB433" s="361"/>
      <c r="AC433" s="342"/>
      <c r="AD433" s="348"/>
    </row>
    <row r="434" spans="1:30" s="349" customFormat="1">
      <c r="A434" s="359" t="s">
        <v>226</v>
      </c>
      <c r="B434" s="359">
        <v>150</v>
      </c>
      <c r="C434" s="504"/>
      <c r="D434" s="359">
        <v>30</v>
      </c>
      <c r="E434" s="362">
        <f>D434*C434</f>
        <v>0</v>
      </c>
      <c r="F434" s="359">
        <v>30</v>
      </c>
      <c r="G434" s="362">
        <f>F434*C434</f>
        <v>0</v>
      </c>
      <c r="H434" s="492">
        <v>30</v>
      </c>
      <c r="I434" s="362">
        <f>H434*C434</f>
        <v>0</v>
      </c>
      <c r="J434" s="492">
        <v>30</v>
      </c>
      <c r="K434" s="362">
        <f>J434*C434</f>
        <v>0</v>
      </c>
      <c r="L434" s="492">
        <v>30</v>
      </c>
      <c r="M434" s="362">
        <f>L434*C434</f>
        <v>0</v>
      </c>
      <c r="N434" s="492">
        <v>30</v>
      </c>
      <c r="O434" s="362">
        <f>N434*C434</f>
        <v>0</v>
      </c>
      <c r="P434" s="359">
        <v>60</v>
      </c>
      <c r="Q434" s="362">
        <f>P434*C434</f>
        <v>0</v>
      </c>
      <c r="R434" s="359">
        <v>60</v>
      </c>
      <c r="S434" s="362">
        <f>R434*C434</f>
        <v>0</v>
      </c>
      <c r="T434" s="492">
        <v>60</v>
      </c>
      <c r="U434" s="362">
        <f>T434*C434</f>
        <v>0</v>
      </c>
      <c r="V434" s="492">
        <v>60</v>
      </c>
      <c r="W434" s="362">
        <f>V434*C434</f>
        <v>0</v>
      </c>
      <c r="X434" s="492">
        <v>60</v>
      </c>
      <c r="Y434" s="362">
        <f>X434*C434</f>
        <v>0</v>
      </c>
      <c r="Z434" s="492">
        <v>60</v>
      </c>
      <c r="AA434" s="362">
        <f>Z434*C434</f>
        <v>0</v>
      </c>
      <c r="AB434" s="361"/>
      <c r="AC434" s="342"/>
      <c r="AD434" s="348"/>
    </row>
    <row r="435" spans="1:30" s="349" customFormat="1">
      <c r="A435" s="359" t="s">
        <v>226</v>
      </c>
      <c r="B435" s="359">
        <v>250</v>
      </c>
      <c r="C435" s="504"/>
      <c r="D435" s="359">
        <v>20</v>
      </c>
      <c r="E435" s="362">
        <f>D435*C435</f>
        <v>0</v>
      </c>
      <c r="F435" s="359">
        <v>20</v>
      </c>
      <c r="G435" s="362">
        <f>F435*C435</f>
        <v>0</v>
      </c>
      <c r="H435" s="492">
        <v>20</v>
      </c>
      <c r="I435" s="362">
        <f>H435*C435</f>
        <v>0</v>
      </c>
      <c r="J435" s="492">
        <v>20</v>
      </c>
      <c r="K435" s="362">
        <f>J435*C435</f>
        <v>0</v>
      </c>
      <c r="L435" s="492">
        <v>20</v>
      </c>
      <c r="M435" s="362">
        <f>L435*C435</f>
        <v>0</v>
      </c>
      <c r="N435" s="492">
        <v>20</v>
      </c>
      <c r="O435" s="362">
        <f>N435*C435</f>
        <v>0</v>
      </c>
      <c r="P435" s="359">
        <v>40</v>
      </c>
      <c r="Q435" s="362">
        <f>P435*C435</f>
        <v>0</v>
      </c>
      <c r="R435" s="359">
        <v>40</v>
      </c>
      <c r="S435" s="362">
        <f>R435*C435</f>
        <v>0</v>
      </c>
      <c r="T435" s="492">
        <v>40</v>
      </c>
      <c r="U435" s="362">
        <f>T435*C435</f>
        <v>0</v>
      </c>
      <c r="V435" s="492">
        <v>40</v>
      </c>
      <c r="W435" s="362">
        <f>V435*C435</f>
        <v>0</v>
      </c>
      <c r="X435" s="492">
        <v>40</v>
      </c>
      <c r="Y435" s="362">
        <f>X435*C435</f>
        <v>0</v>
      </c>
      <c r="Z435" s="492">
        <v>40</v>
      </c>
      <c r="AA435" s="362">
        <f>Z435*C435</f>
        <v>0</v>
      </c>
      <c r="AB435" s="361"/>
      <c r="AC435" s="342"/>
      <c r="AD435" s="348"/>
    </row>
    <row r="436" spans="1:30" s="349" customFormat="1">
      <c r="A436" s="359" t="s">
        <v>226</v>
      </c>
      <c r="B436" s="359">
        <v>350</v>
      </c>
      <c r="C436" s="504"/>
      <c r="D436" s="359">
        <v>15</v>
      </c>
      <c r="E436" s="362">
        <f>D436*C436</f>
        <v>0</v>
      </c>
      <c r="F436" s="359">
        <v>15</v>
      </c>
      <c r="G436" s="362">
        <f>F436*C436</f>
        <v>0</v>
      </c>
      <c r="H436" s="492">
        <v>15</v>
      </c>
      <c r="I436" s="362">
        <f>H436*C436</f>
        <v>0</v>
      </c>
      <c r="J436" s="492">
        <v>15</v>
      </c>
      <c r="K436" s="362">
        <f>J436*C436</f>
        <v>0</v>
      </c>
      <c r="L436" s="492">
        <v>15</v>
      </c>
      <c r="M436" s="362">
        <f>L436*C436</f>
        <v>0</v>
      </c>
      <c r="N436" s="492">
        <v>15</v>
      </c>
      <c r="O436" s="362">
        <f>N436*C436</f>
        <v>0</v>
      </c>
      <c r="P436" s="359">
        <v>30</v>
      </c>
      <c r="Q436" s="362">
        <f>P436*C436</f>
        <v>0</v>
      </c>
      <c r="R436" s="359">
        <v>30</v>
      </c>
      <c r="S436" s="362">
        <f>R436*C436</f>
        <v>0</v>
      </c>
      <c r="T436" s="492">
        <v>30</v>
      </c>
      <c r="U436" s="362">
        <f>T436*C436</f>
        <v>0</v>
      </c>
      <c r="V436" s="492">
        <v>30</v>
      </c>
      <c r="W436" s="362">
        <f>V436*C436</f>
        <v>0</v>
      </c>
      <c r="X436" s="492">
        <v>30</v>
      </c>
      <c r="Y436" s="362">
        <f>X436*C436</f>
        <v>0</v>
      </c>
      <c r="Z436" s="492">
        <v>30</v>
      </c>
      <c r="AA436" s="362">
        <f>Z436*C436</f>
        <v>0</v>
      </c>
      <c r="AB436" s="361"/>
      <c r="AC436" s="342"/>
      <c r="AD436" s="348"/>
    </row>
    <row r="437" spans="1:30" s="349" customFormat="1">
      <c r="A437" s="359" t="s">
        <v>226</v>
      </c>
      <c r="B437" s="359">
        <v>500</v>
      </c>
      <c r="C437" s="504"/>
      <c r="D437" s="359">
        <v>7</v>
      </c>
      <c r="E437" s="362">
        <f>D437*C437</f>
        <v>0</v>
      </c>
      <c r="F437" s="359">
        <v>7</v>
      </c>
      <c r="G437" s="362">
        <f>F437*C437</f>
        <v>0</v>
      </c>
      <c r="H437" s="492">
        <v>7</v>
      </c>
      <c r="I437" s="362">
        <f>H437*C437</f>
        <v>0</v>
      </c>
      <c r="J437" s="492">
        <v>7</v>
      </c>
      <c r="K437" s="362">
        <f>J437*C437</f>
        <v>0</v>
      </c>
      <c r="L437" s="492">
        <v>7</v>
      </c>
      <c r="M437" s="362">
        <f>C437</f>
        <v>0</v>
      </c>
      <c r="N437" s="492">
        <v>7</v>
      </c>
      <c r="O437" s="362">
        <f>N437*C437</f>
        <v>0</v>
      </c>
      <c r="P437" s="359">
        <v>15</v>
      </c>
      <c r="Q437" s="362">
        <f>P437*C437</f>
        <v>0</v>
      </c>
      <c r="R437" s="359">
        <v>15</v>
      </c>
      <c r="S437" s="362">
        <f>R437*C437</f>
        <v>0</v>
      </c>
      <c r="T437" s="492">
        <v>15</v>
      </c>
      <c r="U437" s="362">
        <f>T437*C437</f>
        <v>0</v>
      </c>
      <c r="V437" s="492">
        <v>15</v>
      </c>
      <c r="W437" s="362">
        <f>V437*C437</f>
        <v>0</v>
      </c>
      <c r="X437" s="492">
        <v>15</v>
      </c>
      <c r="Y437" s="362">
        <f>X437*C437</f>
        <v>0</v>
      </c>
      <c r="Z437" s="492">
        <v>15</v>
      </c>
      <c r="AA437" s="362">
        <f>Z437*C437</f>
        <v>0</v>
      </c>
      <c r="AB437" s="361"/>
      <c r="AC437" s="342"/>
      <c r="AD437" s="348"/>
    </row>
    <row r="438" spans="1:30" s="349" customFormat="1">
      <c r="A438" s="359"/>
      <c r="B438" s="359"/>
      <c r="C438" s="504"/>
      <c r="D438" s="359"/>
      <c r="E438" s="362"/>
      <c r="F438" s="359"/>
      <c r="G438" s="362"/>
      <c r="H438" s="492"/>
      <c r="I438" s="362"/>
      <c r="J438" s="492"/>
      <c r="K438" s="362"/>
      <c r="L438" s="492"/>
      <c r="M438" s="362"/>
      <c r="N438" s="492"/>
      <c r="O438" s="362"/>
      <c r="P438" s="359"/>
      <c r="Q438" s="362"/>
      <c r="R438" s="359"/>
      <c r="S438" s="362"/>
      <c r="T438" s="492"/>
      <c r="U438" s="362"/>
      <c r="V438" s="492"/>
      <c r="W438" s="362"/>
      <c r="X438" s="492"/>
      <c r="Y438" s="362"/>
      <c r="Z438" s="492"/>
      <c r="AA438" s="362"/>
      <c r="AB438" s="360"/>
      <c r="AC438" s="342"/>
      <c r="AD438" s="348"/>
    </row>
    <row r="439" spans="1:30" s="479" customFormat="1">
      <c r="A439" s="474"/>
      <c r="B439" s="474"/>
      <c r="C439" s="505"/>
      <c r="D439" s="474">
        <v>0.1</v>
      </c>
      <c r="E439" s="475">
        <f>SUM(E417:E437)</f>
        <v>63960000</v>
      </c>
      <c r="F439" s="474">
        <v>0.1</v>
      </c>
      <c r="G439" s="475">
        <f>SUM(G417:G437)</f>
        <v>63960000</v>
      </c>
      <c r="H439" s="515">
        <v>0.1</v>
      </c>
      <c r="I439" s="475">
        <f>SUM(I417:I437)</f>
        <v>63960000</v>
      </c>
      <c r="J439" s="515">
        <v>0.1</v>
      </c>
      <c r="K439" s="475">
        <f>SUM(K417:K437)</f>
        <v>63960000</v>
      </c>
      <c r="L439" s="515">
        <v>0.1</v>
      </c>
      <c r="M439" s="475">
        <f>SUM(M417:M437)</f>
        <v>63960000</v>
      </c>
      <c r="N439" s="515">
        <v>0.1</v>
      </c>
      <c r="O439" s="475">
        <f>SUM(O417:O437)</f>
        <v>63960000</v>
      </c>
      <c r="P439" s="474">
        <v>0.1</v>
      </c>
      <c r="Q439" s="475">
        <f>SUM(Q417:Q437)</f>
        <v>129000000</v>
      </c>
      <c r="R439" s="474">
        <v>0.1</v>
      </c>
      <c r="S439" s="475">
        <f>SUM(S417:S437)</f>
        <v>129000000</v>
      </c>
      <c r="T439" s="515">
        <v>0.1</v>
      </c>
      <c r="U439" s="475">
        <f>SUM(U417:U437)</f>
        <v>129000000</v>
      </c>
      <c r="V439" s="515">
        <v>0.1</v>
      </c>
      <c r="W439" s="475">
        <f>SUM(W417:W437)</f>
        <v>129000000</v>
      </c>
      <c r="X439" s="515">
        <v>0.1</v>
      </c>
      <c r="Y439" s="475">
        <f>SUM(Y417:Y437)</f>
        <v>129000000</v>
      </c>
      <c r="Z439" s="515">
        <v>0.1</v>
      </c>
      <c r="AA439" s="475">
        <f>SUM(AA417:AA437)</f>
        <v>129000000</v>
      </c>
      <c r="AB439" s="476"/>
      <c r="AC439" s="477"/>
      <c r="AD439" s="478"/>
    </row>
    <row r="440" spans="1:30" s="485" customFormat="1">
      <c r="A440" s="480"/>
      <c r="B440" s="480"/>
      <c r="C440" s="507"/>
      <c r="D440" s="480"/>
      <c r="E440" s="481">
        <f>E439*D439</f>
        <v>6396000</v>
      </c>
      <c r="F440" s="480"/>
      <c r="G440" s="482">
        <f>G439*F439</f>
        <v>6396000</v>
      </c>
      <c r="H440" s="516"/>
      <c r="I440" s="481">
        <f>I439*H439</f>
        <v>6396000</v>
      </c>
      <c r="J440" s="516"/>
      <c r="K440" s="481">
        <f>K439*J439</f>
        <v>6396000</v>
      </c>
      <c r="L440" s="516"/>
      <c r="M440" s="481">
        <f>M439*L439</f>
        <v>6396000</v>
      </c>
      <c r="N440" s="516"/>
      <c r="O440" s="481">
        <f>O439*N439</f>
        <v>6396000</v>
      </c>
      <c r="P440" s="480"/>
      <c r="Q440" s="481">
        <f>Q439*P439</f>
        <v>12900000</v>
      </c>
      <c r="R440" s="480"/>
      <c r="S440" s="481">
        <f>S439*R439</f>
        <v>12900000</v>
      </c>
      <c r="T440" s="516"/>
      <c r="U440" s="481">
        <f>U439*T439</f>
        <v>12900000</v>
      </c>
      <c r="V440" s="516"/>
      <c r="W440" s="481">
        <f>W439*V439</f>
        <v>12900000</v>
      </c>
      <c r="X440" s="516"/>
      <c r="Y440" s="481">
        <f>Y439*X439</f>
        <v>12900000</v>
      </c>
      <c r="Z440" s="516"/>
      <c r="AA440" s="481">
        <f>AA439*Z439</f>
        <v>12900000</v>
      </c>
      <c r="AB440" s="481">
        <f>SUM(AA440,Y440,W440,U440,S440,Q440,O440,M440,K440,I440,G440,E440)</f>
        <v>115776000</v>
      </c>
      <c r="AC440" s="483"/>
      <c r="AD440" s="484"/>
    </row>
    <row r="441" spans="1:30" s="349" customFormat="1">
      <c r="A441" s="359"/>
      <c r="B441" s="359"/>
      <c r="C441" s="504"/>
      <c r="D441" s="359"/>
      <c r="E441" s="472"/>
      <c r="F441" s="359"/>
      <c r="G441" s="471"/>
      <c r="H441" s="492"/>
      <c r="I441" s="472"/>
      <c r="J441" s="492"/>
      <c r="K441" s="472"/>
      <c r="L441" s="492"/>
      <c r="M441" s="472"/>
      <c r="N441" s="492"/>
      <c r="O441" s="472"/>
      <c r="P441" s="359"/>
      <c r="Q441" s="472"/>
      <c r="R441" s="359"/>
      <c r="S441" s="472"/>
      <c r="T441" s="492"/>
      <c r="U441" s="472"/>
      <c r="V441" s="492"/>
      <c r="W441" s="472"/>
      <c r="X441" s="492"/>
      <c r="Y441" s="472"/>
      <c r="Z441" s="492"/>
      <c r="AA441" s="472"/>
      <c r="AB441" s="472"/>
      <c r="AC441" s="342"/>
      <c r="AD441" s="473"/>
    </row>
    <row r="442" spans="1:30" s="349" customFormat="1">
      <c r="A442" s="359" t="s">
        <v>230</v>
      </c>
      <c r="B442" s="359">
        <v>26</v>
      </c>
      <c r="C442" s="504">
        <v>10000</v>
      </c>
      <c r="D442" s="359">
        <v>100</v>
      </c>
      <c r="E442" s="362">
        <f>D442*C442</f>
        <v>1000000</v>
      </c>
      <c r="F442" s="359">
        <v>100</v>
      </c>
      <c r="G442" s="362">
        <f>F442*C442</f>
        <v>1000000</v>
      </c>
      <c r="H442" s="492">
        <v>100</v>
      </c>
      <c r="I442" s="362">
        <f>H442*C442</f>
        <v>1000000</v>
      </c>
      <c r="J442" s="492">
        <v>100</v>
      </c>
      <c r="K442" s="362">
        <f>J442*C442</f>
        <v>1000000</v>
      </c>
      <c r="L442" s="492">
        <v>100</v>
      </c>
      <c r="M442" s="362">
        <f>L442*C442</f>
        <v>1000000</v>
      </c>
      <c r="N442" s="492">
        <v>100</v>
      </c>
      <c r="O442" s="362">
        <f>N442*C442</f>
        <v>1000000</v>
      </c>
      <c r="P442" s="491">
        <v>200</v>
      </c>
      <c r="Q442" s="362">
        <f>P442*C442</f>
        <v>2000000</v>
      </c>
      <c r="R442" s="491">
        <v>200</v>
      </c>
      <c r="S442" s="362">
        <f>R442*C442</f>
        <v>2000000</v>
      </c>
      <c r="T442" s="492">
        <v>200</v>
      </c>
      <c r="U442" s="362">
        <f>T442*C442</f>
        <v>2000000</v>
      </c>
      <c r="V442" s="492">
        <v>200</v>
      </c>
      <c r="W442" s="362">
        <f>V442*C442</f>
        <v>2000000</v>
      </c>
      <c r="X442" s="492">
        <v>200</v>
      </c>
      <c r="Y442" s="362">
        <f>X442*C442</f>
        <v>2000000</v>
      </c>
      <c r="Z442" s="492">
        <v>200</v>
      </c>
      <c r="AA442" s="362">
        <f>Z442*C442</f>
        <v>2000000</v>
      </c>
      <c r="AB442" s="361"/>
      <c r="AC442" s="342"/>
      <c r="AD442" s="348"/>
    </row>
    <row r="443" spans="1:30" s="349" customFormat="1">
      <c r="A443" s="359" t="s">
        <v>230</v>
      </c>
      <c r="B443" s="359">
        <v>33</v>
      </c>
      <c r="C443" s="504">
        <v>14000</v>
      </c>
      <c r="D443" s="359">
        <v>30</v>
      </c>
      <c r="E443" s="362">
        <f>D443*C443</f>
        <v>420000</v>
      </c>
      <c r="F443" s="359">
        <v>30</v>
      </c>
      <c r="G443" s="362">
        <f>F443*C443</f>
        <v>420000</v>
      </c>
      <c r="H443" s="492">
        <v>30</v>
      </c>
      <c r="I443" s="362">
        <f>H443*C443</f>
        <v>420000</v>
      </c>
      <c r="J443" s="492">
        <v>30</v>
      </c>
      <c r="K443" s="362">
        <f>J443*C443</f>
        <v>420000</v>
      </c>
      <c r="L443" s="492">
        <v>30</v>
      </c>
      <c r="M443" s="362">
        <f>L443*C443</f>
        <v>420000</v>
      </c>
      <c r="N443" s="492">
        <v>30</v>
      </c>
      <c r="O443" s="362">
        <f>N443*C443</f>
        <v>420000</v>
      </c>
      <c r="P443" s="492">
        <v>60</v>
      </c>
      <c r="Q443" s="362">
        <f>P443*C443</f>
        <v>840000</v>
      </c>
      <c r="R443" s="492">
        <v>60</v>
      </c>
      <c r="S443" s="362">
        <f>R443*C443</f>
        <v>840000</v>
      </c>
      <c r="T443" s="492">
        <v>60</v>
      </c>
      <c r="U443" s="362">
        <f>T443*C443</f>
        <v>840000</v>
      </c>
      <c r="V443" s="492">
        <v>60</v>
      </c>
      <c r="W443" s="362">
        <f>V443*C443</f>
        <v>840000</v>
      </c>
      <c r="X443" s="492">
        <v>60</v>
      </c>
      <c r="Y443" s="362">
        <f>X443*C443</f>
        <v>840000</v>
      </c>
      <c r="Z443" s="492">
        <v>60</v>
      </c>
      <c r="AA443" s="362">
        <f>Z443*C443</f>
        <v>840000</v>
      </c>
      <c r="AB443" s="361"/>
      <c r="AC443" s="342"/>
      <c r="AD443" s="348"/>
    </row>
    <row r="444" spans="1:30" s="349" customFormat="1">
      <c r="A444" s="359" t="s">
        <v>230</v>
      </c>
      <c r="B444" s="359">
        <v>64</v>
      </c>
      <c r="C444" s="504">
        <v>85000</v>
      </c>
      <c r="D444" s="359">
        <v>30</v>
      </c>
      <c r="E444" s="362">
        <f>D444*C444</f>
        <v>2550000</v>
      </c>
      <c r="F444" s="359">
        <v>30</v>
      </c>
      <c r="G444" s="362">
        <f>F444*C444</f>
        <v>2550000</v>
      </c>
      <c r="H444" s="492">
        <v>30</v>
      </c>
      <c r="I444" s="362">
        <f>H444*C444</f>
        <v>2550000</v>
      </c>
      <c r="J444" s="492">
        <v>30</v>
      </c>
      <c r="K444" s="362">
        <f>J444*C444</f>
        <v>2550000</v>
      </c>
      <c r="L444" s="492">
        <v>30</v>
      </c>
      <c r="M444" s="362">
        <f>L444*C444</f>
        <v>2550000</v>
      </c>
      <c r="N444" s="492">
        <v>30</v>
      </c>
      <c r="O444" s="362">
        <f>N444*C444</f>
        <v>2550000</v>
      </c>
      <c r="P444" s="492">
        <v>60</v>
      </c>
      <c r="Q444" s="362">
        <f>P444*C444</f>
        <v>5100000</v>
      </c>
      <c r="R444" s="492">
        <v>60</v>
      </c>
      <c r="S444" s="362">
        <f>R444*C444</f>
        <v>5100000</v>
      </c>
      <c r="T444" s="492">
        <v>60</v>
      </c>
      <c r="U444" s="362">
        <f>T444*C444</f>
        <v>5100000</v>
      </c>
      <c r="V444" s="492">
        <v>60</v>
      </c>
      <c r="W444" s="362">
        <f>V444*C444</f>
        <v>5100000</v>
      </c>
      <c r="X444" s="492">
        <v>60</v>
      </c>
      <c r="Y444" s="362">
        <f>X444*C444</f>
        <v>5100000</v>
      </c>
      <c r="Z444" s="492">
        <v>60</v>
      </c>
      <c r="AA444" s="362">
        <f>Z444*C444</f>
        <v>5100000</v>
      </c>
      <c r="AB444" s="361"/>
      <c r="AC444" s="342"/>
      <c r="AD444" s="348"/>
    </row>
    <row r="445" spans="1:30" s="349" customFormat="1">
      <c r="A445" s="359" t="s">
        <v>230</v>
      </c>
      <c r="B445" s="359">
        <v>100</v>
      </c>
      <c r="C445" s="504">
        <v>120000</v>
      </c>
      <c r="D445" s="359">
        <v>7</v>
      </c>
      <c r="E445" s="362">
        <f>D445*C445</f>
        <v>840000</v>
      </c>
      <c r="F445" s="359">
        <v>7</v>
      </c>
      <c r="G445" s="362">
        <f>F445*C445</f>
        <v>840000</v>
      </c>
      <c r="H445" s="492">
        <v>7</v>
      </c>
      <c r="I445" s="362">
        <f>H445*C445</f>
        <v>840000</v>
      </c>
      <c r="J445" s="492">
        <v>7</v>
      </c>
      <c r="K445" s="362">
        <f>J445*C445</f>
        <v>840000</v>
      </c>
      <c r="L445" s="492">
        <v>7</v>
      </c>
      <c r="M445" s="362">
        <f>L445*C445</f>
        <v>840000</v>
      </c>
      <c r="N445" s="492">
        <v>7</v>
      </c>
      <c r="O445" s="362">
        <f>N445*C445</f>
        <v>840000</v>
      </c>
      <c r="P445" s="492">
        <v>15</v>
      </c>
      <c r="Q445" s="362">
        <f>P445*C445</f>
        <v>1800000</v>
      </c>
      <c r="R445" s="492">
        <v>15</v>
      </c>
      <c r="S445" s="362">
        <f>R445*C445</f>
        <v>1800000</v>
      </c>
      <c r="T445" s="492">
        <v>15</v>
      </c>
      <c r="U445" s="362">
        <f>T445*C445</f>
        <v>1800000</v>
      </c>
      <c r="V445" s="492">
        <v>15</v>
      </c>
      <c r="W445" s="362">
        <f>V445*C445</f>
        <v>1800000</v>
      </c>
      <c r="X445" s="492">
        <v>15</v>
      </c>
      <c r="Y445" s="362">
        <f>X445*C445</f>
        <v>1800000</v>
      </c>
      <c r="Z445" s="492">
        <v>15</v>
      </c>
      <c r="AA445" s="362">
        <f>Z445*C445</f>
        <v>1800000</v>
      </c>
      <c r="AB445" s="361"/>
      <c r="AC445" s="342"/>
      <c r="AD445" s="348"/>
    </row>
    <row r="446" spans="1:30" s="349" customFormat="1">
      <c r="A446" s="359"/>
      <c r="B446" s="359"/>
      <c r="C446" s="504"/>
      <c r="D446" s="359"/>
      <c r="E446" s="362"/>
      <c r="F446" s="359"/>
      <c r="G446" s="362"/>
      <c r="H446" s="492"/>
      <c r="I446" s="362"/>
      <c r="J446" s="492"/>
      <c r="K446" s="362"/>
      <c r="L446" s="492"/>
      <c r="M446" s="362"/>
      <c r="N446" s="492"/>
      <c r="O446" s="362"/>
      <c r="P446" s="492"/>
      <c r="Q446" s="362"/>
      <c r="R446" s="492"/>
      <c r="S446" s="362"/>
      <c r="T446" s="492"/>
      <c r="U446" s="362"/>
      <c r="V446" s="492"/>
      <c r="W446" s="362"/>
      <c r="X446" s="492"/>
      <c r="Y446" s="362"/>
      <c r="Z446" s="492"/>
      <c r="AA446" s="362"/>
      <c r="AB446" s="361"/>
      <c r="AC446" s="342"/>
      <c r="AD446" s="348"/>
    </row>
    <row r="447" spans="1:30" s="349" customFormat="1">
      <c r="A447" s="359" t="s">
        <v>231</v>
      </c>
      <c r="B447" s="359">
        <v>150</v>
      </c>
      <c r="C447" s="504">
        <v>150000</v>
      </c>
      <c r="D447" s="359">
        <v>100</v>
      </c>
      <c r="E447" s="362">
        <f>D447*C447</f>
        <v>15000000</v>
      </c>
      <c r="F447" s="359">
        <v>100</v>
      </c>
      <c r="G447" s="362">
        <f>F447*C447</f>
        <v>15000000</v>
      </c>
      <c r="H447" s="492">
        <v>100</v>
      </c>
      <c r="I447" s="362">
        <f>H447*C447</f>
        <v>15000000</v>
      </c>
      <c r="J447" s="492">
        <v>100</v>
      </c>
      <c r="K447" s="362">
        <f>J447*C447</f>
        <v>15000000</v>
      </c>
      <c r="L447" s="492">
        <v>100</v>
      </c>
      <c r="M447" s="362">
        <f>L447*C447</f>
        <v>15000000</v>
      </c>
      <c r="N447" s="492">
        <v>100</v>
      </c>
      <c r="O447" s="362">
        <f>N447*C447</f>
        <v>15000000</v>
      </c>
      <c r="P447" s="492">
        <v>200</v>
      </c>
      <c r="Q447" s="362">
        <f>P447*C447</f>
        <v>30000000</v>
      </c>
      <c r="R447" s="492">
        <v>200</v>
      </c>
      <c r="S447" s="362">
        <f>R447*C447</f>
        <v>30000000</v>
      </c>
      <c r="T447" s="492">
        <v>200</v>
      </c>
      <c r="U447" s="362">
        <f>T447*C447</f>
        <v>30000000</v>
      </c>
      <c r="V447" s="492">
        <v>200</v>
      </c>
      <c r="W447" s="362">
        <f>V447*C447</f>
        <v>30000000</v>
      </c>
      <c r="X447" s="492">
        <v>200</v>
      </c>
      <c r="Y447" s="362">
        <f>X447*C447</f>
        <v>30000000</v>
      </c>
      <c r="Z447" s="492">
        <v>200</v>
      </c>
      <c r="AA447" s="362">
        <f>Z447*C447</f>
        <v>30000000</v>
      </c>
      <c r="AB447" s="361"/>
      <c r="AC447" s="342"/>
      <c r="AD447" s="348"/>
    </row>
    <row r="448" spans="1:30" s="349" customFormat="1">
      <c r="A448" s="359" t="s">
        <v>231</v>
      </c>
      <c r="B448" s="359">
        <v>250</v>
      </c>
      <c r="C448" s="504">
        <v>250000</v>
      </c>
      <c r="D448" s="359">
        <v>30</v>
      </c>
      <c r="E448" s="362">
        <f>D448*C448</f>
        <v>7500000</v>
      </c>
      <c r="F448" s="359">
        <v>30</v>
      </c>
      <c r="G448" s="362">
        <f>F448*C448</f>
        <v>7500000</v>
      </c>
      <c r="H448" s="492">
        <v>30</v>
      </c>
      <c r="I448" s="362">
        <f>H448*C448</f>
        <v>7500000</v>
      </c>
      <c r="J448" s="492">
        <v>30</v>
      </c>
      <c r="K448" s="362">
        <f>J448*C448</f>
        <v>7500000</v>
      </c>
      <c r="L448" s="492">
        <v>30</v>
      </c>
      <c r="M448" s="362">
        <f>L448*C448</f>
        <v>7500000</v>
      </c>
      <c r="N448" s="492">
        <v>30</v>
      </c>
      <c r="O448" s="362">
        <f>N448*C448</f>
        <v>7500000</v>
      </c>
      <c r="P448" s="492">
        <v>60</v>
      </c>
      <c r="Q448" s="362">
        <f>P448*C448</f>
        <v>15000000</v>
      </c>
      <c r="R448" s="492">
        <v>60</v>
      </c>
      <c r="S448" s="362">
        <f>R448*C448</f>
        <v>15000000</v>
      </c>
      <c r="T448" s="492">
        <v>60</v>
      </c>
      <c r="U448" s="362">
        <f>T448*C448</f>
        <v>15000000</v>
      </c>
      <c r="V448" s="492">
        <v>60</v>
      </c>
      <c r="W448" s="362">
        <f>V448*C448</f>
        <v>15000000</v>
      </c>
      <c r="X448" s="492">
        <v>60</v>
      </c>
      <c r="Y448" s="362">
        <f>X448*C448</f>
        <v>15000000</v>
      </c>
      <c r="Z448" s="492">
        <v>60</v>
      </c>
      <c r="AA448" s="362">
        <f>Z448*C448</f>
        <v>15000000</v>
      </c>
      <c r="AB448" s="361"/>
      <c r="AC448" s="342"/>
      <c r="AD448" s="348"/>
    </row>
    <row r="449" spans="1:30" s="349" customFormat="1">
      <c r="A449" s="359" t="s">
        <v>231</v>
      </c>
      <c r="B449" s="359">
        <v>350</v>
      </c>
      <c r="C449" s="504">
        <v>320000</v>
      </c>
      <c r="D449" s="359">
        <v>30</v>
      </c>
      <c r="E449" s="362">
        <f>D449*C449</f>
        <v>9600000</v>
      </c>
      <c r="F449" s="359">
        <v>30</v>
      </c>
      <c r="G449" s="362">
        <f>F449*C449</f>
        <v>9600000</v>
      </c>
      <c r="H449" s="492">
        <v>30</v>
      </c>
      <c r="I449" s="362">
        <f>H449*C449</f>
        <v>9600000</v>
      </c>
      <c r="J449" s="492">
        <v>30</v>
      </c>
      <c r="K449" s="362">
        <f>J449*C449</f>
        <v>9600000</v>
      </c>
      <c r="L449" s="492">
        <v>30</v>
      </c>
      <c r="M449" s="362">
        <f>L449*C449</f>
        <v>9600000</v>
      </c>
      <c r="N449" s="492">
        <v>30</v>
      </c>
      <c r="O449" s="362">
        <f>N449*C449</f>
        <v>9600000</v>
      </c>
      <c r="P449" s="492">
        <v>60</v>
      </c>
      <c r="Q449" s="362">
        <f>P449*C449</f>
        <v>19200000</v>
      </c>
      <c r="R449" s="492">
        <v>60</v>
      </c>
      <c r="S449" s="362">
        <f>R449*C449</f>
        <v>19200000</v>
      </c>
      <c r="T449" s="492">
        <v>60</v>
      </c>
      <c r="U449" s="362">
        <f>T449*C449</f>
        <v>19200000</v>
      </c>
      <c r="V449" s="492">
        <v>60</v>
      </c>
      <c r="W449" s="362">
        <f>V449*C449</f>
        <v>19200000</v>
      </c>
      <c r="X449" s="492">
        <v>60</v>
      </c>
      <c r="Y449" s="362">
        <f>X449*C449</f>
        <v>19200000</v>
      </c>
      <c r="Z449" s="492">
        <v>60</v>
      </c>
      <c r="AA449" s="362">
        <f>Z449*C449</f>
        <v>19200000</v>
      </c>
      <c r="AB449" s="361"/>
      <c r="AC449" s="342"/>
      <c r="AD449" s="348"/>
    </row>
    <row r="450" spans="1:30" s="349" customFormat="1">
      <c r="A450" s="359" t="s">
        <v>231</v>
      </c>
      <c r="B450" s="359">
        <v>500</v>
      </c>
      <c r="C450" s="504">
        <v>480000</v>
      </c>
      <c r="D450" s="359">
        <v>7</v>
      </c>
      <c r="E450" s="362">
        <f>D450*C450</f>
        <v>3360000</v>
      </c>
      <c r="F450" s="359">
        <v>7</v>
      </c>
      <c r="G450" s="362">
        <f>F450*C450</f>
        <v>3360000</v>
      </c>
      <c r="H450" s="492">
        <v>7</v>
      </c>
      <c r="I450" s="362">
        <f>H450*C450</f>
        <v>3360000</v>
      </c>
      <c r="J450" s="492">
        <v>7</v>
      </c>
      <c r="K450" s="362">
        <f>J450*C450</f>
        <v>3360000</v>
      </c>
      <c r="L450" s="492">
        <v>7</v>
      </c>
      <c r="M450" s="362">
        <f>L450*C450</f>
        <v>3360000</v>
      </c>
      <c r="N450" s="492">
        <v>7</v>
      </c>
      <c r="O450" s="362">
        <f>N450*C450</f>
        <v>3360000</v>
      </c>
      <c r="P450" s="492">
        <v>15</v>
      </c>
      <c r="Q450" s="362">
        <f>P450*C450</f>
        <v>7200000</v>
      </c>
      <c r="R450" s="492">
        <v>15</v>
      </c>
      <c r="S450" s="362">
        <f>R450*C450</f>
        <v>7200000</v>
      </c>
      <c r="T450" s="492">
        <v>15</v>
      </c>
      <c r="U450" s="362">
        <f>T450*C450</f>
        <v>7200000</v>
      </c>
      <c r="V450" s="492">
        <v>15</v>
      </c>
      <c r="W450" s="362">
        <f>V450*C450</f>
        <v>7200000</v>
      </c>
      <c r="X450" s="492">
        <v>15</v>
      </c>
      <c r="Y450" s="362">
        <f>X450*C450</f>
        <v>7200000</v>
      </c>
      <c r="Z450" s="492">
        <v>15</v>
      </c>
      <c r="AA450" s="362">
        <f>Z450*C450</f>
        <v>7200000</v>
      </c>
      <c r="AB450" s="361"/>
      <c r="AC450" s="342"/>
      <c r="AD450" s="348"/>
    </row>
    <row r="451" spans="1:30" s="349" customFormat="1">
      <c r="A451" s="359"/>
      <c r="B451" s="359"/>
      <c r="C451" s="504"/>
      <c r="D451" s="359"/>
      <c r="E451" s="362"/>
      <c r="F451" s="359"/>
      <c r="G451" s="362"/>
      <c r="H451" s="492"/>
      <c r="I451" s="362"/>
      <c r="J451" s="492"/>
      <c r="K451" s="362"/>
      <c r="L451" s="492"/>
      <c r="M451" s="362"/>
      <c r="N451" s="492"/>
      <c r="O451" s="362"/>
      <c r="P451" s="492"/>
      <c r="Q451" s="362"/>
      <c r="R451" s="492"/>
      <c r="S451" s="362"/>
      <c r="T451" s="492"/>
      <c r="U451" s="362"/>
      <c r="V451" s="492"/>
      <c r="W451" s="362"/>
      <c r="X451" s="492"/>
      <c r="Y451" s="362"/>
      <c r="Z451" s="492"/>
      <c r="AA451" s="362"/>
      <c r="AB451" s="361"/>
      <c r="AC451" s="342"/>
      <c r="AD451" s="348"/>
    </row>
    <row r="452" spans="1:30" s="349" customFormat="1">
      <c r="A452" s="359" t="s">
        <v>232</v>
      </c>
      <c r="B452" s="359">
        <v>100</v>
      </c>
      <c r="C452" s="504">
        <v>120000</v>
      </c>
      <c r="D452" s="359">
        <v>30</v>
      </c>
      <c r="E452" s="362">
        <f>D452*C452</f>
        <v>3600000</v>
      </c>
      <c r="F452" s="359">
        <v>30</v>
      </c>
      <c r="G452" s="362">
        <f>F452*C452</f>
        <v>3600000</v>
      </c>
      <c r="H452" s="492">
        <v>30</v>
      </c>
      <c r="I452" s="362">
        <f>H452*C452</f>
        <v>3600000</v>
      </c>
      <c r="J452" s="492">
        <v>30</v>
      </c>
      <c r="K452" s="362">
        <f>J452*C452</f>
        <v>3600000</v>
      </c>
      <c r="L452" s="492">
        <v>30</v>
      </c>
      <c r="M452" s="362">
        <f>L452*C452</f>
        <v>3600000</v>
      </c>
      <c r="N452" s="492">
        <v>30</v>
      </c>
      <c r="O452" s="362">
        <f>N452*C452</f>
        <v>3600000</v>
      </c>
      <c r="P452" s="492">
        <v>60</v>
      </c>
      <c r="Q452" s="362">
        <f>P452*C452</f>
        <v>7200000</v>
      </c>
      <c r="R452" s="492">
        <v>60</v>
      </c>
      <c r="S452" s="362">
        <f>R452*C452</f>
        <v>7200000</v>
      </c>
      <c r="T452" s="492">
        <v>60</v>
      </c>
      <c r="U452" s="362">
        <f>T452*C452</f>
        <v>7200000</v>
      </c>
      <c r="V452" s="492">
        <v>60</v>
      </c>
      <c r="W452" s="362">
        <f>V452*C452</f>
        <v>7200000</v>
      </c>
      <c r="X452" s="492">
        <v>60</v>
      </c>
      <c r="Y452" s="362">
        <f>X452*C452</f>
        <v>7200000</v>
      </c>
      <c r="Z452" s="492">
        <v>60</v>
      </c>
      <c r="AA452" s="362">
        <f>Z452*C452</f>
        <v>7200000</v>
      </c>
      <c r="AB452" s="361"/>
      <c r="AC452" s="342"/>
      <c r="AD452" s="348"/>
    </row>
    <row r="453" spans="1:30" s="349" customFormat="1">
      <c r="A453" s="359" t="s">
        <v>232</v>
      </c>
      <c r="B453" s="359">
        <v>150</v>
      </c>
      <c r="C453" s="504">
        <v>150000</v>
      </c>
      <c r="D453" s="359">
        <v>30</v>
      </c>
      <c r="E453" s="362">
        <f>D453*C453</f>
        <v>4500000</v>
      </c>
      <c r="F453" s="359">
        <v>30</v>
      </c>
      <c r="G453" s="362">
        <f>F453*C453</f>
        <v>4500000</v>
      </c>
      <c r="H453" s="492">
        <v>30</v>
      </c>
      <c r="I453" s="362">
        <f>H453*C453</f>
        <v>4500000</v>
      </c>
      <c r="J453" s="492">
        <v>30</v>
      </c>
      <c r="K453" s="362">
        <f>J453*C453</f>
        <v>4500000</v>
      </c>
      <c r="L453" s="492">
        <v>30</v>
      </c>
      <c r="M453" s="362">
        <f>L453*C453</f>
        <v>4500000</v>
      </c>
      <c r="N453" s="492">
        <v>30</v>
      </c>
      <c r="O453" s="362">
        <f>N453*C453</f>
        <v>4500000</v>
      </c>
      <c r="P453" s="492">
        <v>60</v>
      </c>
      <c r="Q453" s="362">
        <f>P453*C453</f>
        <v>9000000</v>
      </c>
      <c r="R453" s="492">
        <v>60</v>
      </c>
      <c r="S453" s="362">
        <f>R453*C453</f>
        <v>9000000</v>
      </c>
      <c r="T453" s="492">
        <v>60</v>
      </c>
      <c r="U453" s="362">
        <f>T453*C453</f>
        <v>9000000</v>
      </c>
      <c r="V453" s="492">
        <v>60</v>
      </c>
      <c r="W453" s="362">
        <f>V453*C453</f>
        <v>9000000</v>
      </c>
      <c r="X453" s="492">
        <v>60</v>
      </c>
      <c r="Y453" s="362">
        <f>X453*C453</f>
        <v>9000000</v>
      </c>
      <c r="Z453" s="492">
        <v>60</v>
      </c>
      <c r="AA453" s="362">
        <f>Z453*C453</f>
        <v>9000000</v>
      </c>
      <c r="AB453" s="361"/>
      <c r="AC453" s="342"/>
      <c r="AD453" s="348"/>
    </row>
    <row r="454" spans="1:30" s="349" customFormat="1">
      <c r="A454" s="359" t="s">
        <v>232</v>
      </c>
      <c r="B454" s="359">
        <v>250</v>
      </c>
      <c r="C454" s="504">
        <v>250000</v>
      </c>
      <c r="D454" s="359">
        <v>20</v>
      </c>
      <c r="E454" s="362">
        <f>D454*C454</f>
        <v>5000000</v>
      </c>
      <c r="F454" s="359">
        <v>20</v>
      </c>
      <c r="G454" s="362">
        <f>F454*C454</f>
        <v>5000000</v>
      </c>
      <c r="H454" s="492">
        <v>20</v>
      </c>
      <c r="I454" s="362">
        <f>H454*C454</f>
        <v>5000000</v>
      </c>
      <c r="J454" s="492">
        <v>20</v>
      </c>
      <c r="K454" s="362">
        <f>J454*C454</f>
        <v>5000000</v>
      </c>
      <c r="L454" s="492">
        <v>20</v>
      </c>
      <c r="M454" s="362">
        <f>L454*C454</f>
        <v>5000000</v>
      </c>
      <c r="N454" s="492">
        <v>20</v>
      </c>
      <c r="O454" s="362">
        <f>N454*C454</f>
        <v>5000000</v>
      </c>
      <c r="P454" s="492">
        <v>40</v>
      </c>
      <c r="Q454" s="362">
        <f>P454*C454</f>
        <v>10000000</v>
      </c>
      <c r="R454" s="492">
        <v>40</v>
      </c>
      <c r="S454" s="362">
        <f>R454*C454</f>
        <v>10000000</v>
      </c>
      <c r="T454" s="492">
        <v>40</v>
      </c>
      <c r="U454" s="362">
        <f>T454*C454</f>
        <v>10000000</v>
      </c>
      <c r="V454" s="492">
        <v>40</v>
      </c>
      <c r="W454" s="362">
        <f>V454*C454</f>
        <v>10000000</v>
      </c>
      <c r="X454" s="492">
        <v>40</v>
      </c>
      <c r="Y454" s="362">
        <f>X454*C454</f>
        <v>10000000</v>
      </c>
      <c r="Z454" s="492">
        <v>40</v>
      </c>
      <c r="AA454" s="362">
        <f>Z454*C454</f>
        <v>10000000</v>
      </c>
      <c r="AB454" s="361"/>
      <c r="AC454" s="342"/>
      <c r="AD454" s="348"/>
    </row>
    <row r="455" spans="1:30" s="349" customFormat="1">
      <c r="A455" s="359" t="s">
        <v>232</v>
      </c>
      <c r="B455" s="359">
        <v>350</v>
      </c>
      <c r="C455" s="504">
        <v>320000</v>
      </c>
      <c r="D455" s="359">
        <v>15</v>
      </c>
      <c r="E455" s="362">
        <f>D455*C455</f>
        <v>4800000</v>
      </c>
      <c r="F455" s="359">
        <v>15</v>
      </c>
      <c r="G455" s="362">
        <f>F455*C455</f>
        <v>4800000</v>
      </c>
      <c r="H455" s="492">
        <v>15</v>
      </c>
      <c r="I455" s="362">
        <f>H455*C455</f>
        <v>4800000</v>
      </c>
      <c r="J455" s="492">
        <v>15</v>
      </c>
      <c r="K455" s="362">
        <f>J455*C455</f>
        <v>4800000</v>
      </c>
      <c r="L455" s="492">
        <v>15</v>
      </c>
      <c r="M455" s="362">
        <f>L455*C455</f>
        <v>4800000</v>
      </c>
      <c r="N455" s="492">
        <v>15</v>
      </c>
      <c r="O455" s="362">
        <f>N455*C455</f>
        <v>4800000</v>
      </c>
      <c r="P455" s="492">
        <v>30</v>
      </c>
      <c r="Q455" s="362">
        <f>P455*C455</f>
        <v>9600000</v>
      </c>
      <c r="R455" s="492">
        <v>30</v>
      </c>
      <c r="S455" s="362">
        <f>R455*C455</f>
        <v>9600000</v>
      </c>
      <c r="T455" s="492">
        <v>30</v>
      </c>
      <c r="U455" s="362">
        <f>T455*C455</f>
        <v>9600000</v>
      </c>
      <c r="V455" s="492">
        <v>30</v>
      </c>
      <c r="W455" s="362">
        <f>V455*C455</f>
        <v>9600000</v>
      </c>
      <c r="X455" s="492">
        <v>30</v>
      </c>
      <c r="Y455" s="362">
        <f>X455*C455</f>
        <v>9600000</v>
      </c>
      <c r="Z455" s="492">
        <v>30</v>
      </c>
      <c r="AA455" s="362">
        <f>Z455*C455</f>
        <v>9600000</v>
      </c>
      <c r="AB455" s="361"/>
      <c r="AC455" s="342"/>
      <c r="AD455" s="348"/>
    </row>
    <row r="456" spans="1:30" s="349" customFormat="1">
      <c r="A456" s="359" t="s">
        <v>232</v>
      </c>
      <c r="B456" s="359">
        <v>500</v>
      </c>
      <c r="C456" s="504">
        <v>480000</v>
      </c>
      <c r="D456" s="359">
        <v>7</v>
      </c>
      <c r="E456" s="362">
        <f>D456*C456</f>
        <v>3360000</v>
      </c>
      <c r="F456" s="359">
        <v>7</v>
      </c>
      <c r="G456" s="362">
        <f>F456*C456</f>
        <v>3360000</v>
      </c>
      <c r="H456" s="492">
        <v>7</v>
      </c>
      <c r="I456" s="362">
        <f>H456*C456</f>
        <v>3360000</v>
      </c>
      <c r="J456" s="492">
        <v>7</v>
      </c>
      <c r="K456" s="362">
        <f>J456*C456</f>
        <v>3360000</v>
      </c>
      <c r="L456" s="492">
        <v>7</v>
      </c>
      <c r="M456" s="362">
        <f>L456*C456</f>
        <v>3360000</v>
      </c>
      <c r="N456" s="492">
        <v>7</v>
      </c>
      <c r="O456" s="362">
        <f>N456*C456</f>
        <v>3360000</v>
      </c>
      <c r="P456" s="492">
        <v>15</v>
      </c>
      <c r="Q456" s="362">
        <f>P456*C456</f>
        <v>7200000</v>
      </c>
      <c r="R456" s="492">
        <v>15</v>
      </c>
      <c r="S456" s="362">
        <f>R456*C456</f>
        <v>7200000</v>
      </c>
      <c r="T456" s="492">
        <v>15</v>
      </c>
      <c r="U456" s="362">
        <f>T456*C456</f>
        <v>7200000</v>
      </c>
      <c r="V456" s="492">
        <v>15</v>
      </c>
      <c r="W456" s="362">
        <f>V456*C456</f>
        <v>7200000</v>
      </c>
      <c r="X456" s="492">
        <v>15</v>
      </c>
      <c r="Y456" s="362">
        <f>X456*C456</f>
        <v>7200000</v>
      </c>
      <c r="Z456" s="492">
        <v>15</v>
      </c>
      <c r="AA456" s="362">
        <f>Z456*C456</f>
        <v>7200000</v>
      </c>
      <c r="AB456" s="361"/>
      <c r="AC456" s="342"/>
      <c r="AD456" s="348"/>
    </row>
    <row r="457" spans="1:30">
      <c r="A457" s="359"/>
      <c r="B457" s="359"/>
      <c r="C457" s="504"/>
      <c r="D457" s="359"/>
      <c r="E457" s="362"/>
      <c r="F457" s="359"/>
      <c r="G457" s="362"/>
      <c r="H457" s="492"/>
      <c r="I457" s="362"/>
      <c r="J457" s="492"/>
      <c r="K457" s="362"/>
      <c r="L457" s="492"/>
      <c r="M457" s="362"/>
      <c r="N457" s="492"/>
      <c r="O457" s="362"/>
      <c r="P457" s="359"/>
      <c r="Q457" s="362"/>
      <c r="R457" s="359"/>
      <c r="S457" s="362"/>
      <c r="T457" s="492"/>
      <c r="U457" s="362"/>
      <c r="V457" s="492"/>
      <c r="W457" s="362"/>
      <c r="X457" s="492"/>
      <c r="Y457" s="362"/>
      <c r="Z457" s="492"/>
      <c r="AA457" s="362"/>
      <c r="AB457" s="361"/>
      <c r="AD457" s="350"/>
    </row>
    <row r="458" spans="1:30" s="349" customFormat="1">
      <c r="A458" s="359" t="s">
        <v>233</v>
      </c>
      <c r="B458" s="359">
        <v>100</v>
      </c>
      <c r="C458" s="504"/>
      <c r="D458" s="359">
        <v>30</v>
      </c>
      <c r="E458" s="362">
        <f>D458*C458</f>
        <v>0</v>
      </c>
      <c r="F458" s="359">
        <v>30</v>
      </c>
      <c r="G458" s="362">
        <f>F458*C458</f>
        <v>0</v>
      </c>
      <c r="H458" s="492">
        <v>30</v>
      </c>
      <c r="I458" s="362">
        <f>H458*C458</f>
        <v>0</v>
      </c>
      <c r="J458" s="492">
        <v>30</v>
      </c>
      <c r="K458" s="362">
        <f>J458*C458</f>
        <v>0</v>
      </c>
      <c r="L458" s="492">
        <v>30</v>
      </c>
      <c r="M458" s="362">
        <f>L458*C458</f>
        <v>0</v>
      </c>
      <c r="N458" s="492">
        <v>30</v>
      </c>
      <c r="O458" s="362">
        <f>N458*C458</f>
        <v>0</v>
      </c>
      <c r="P458" s="359">
        <v>60</v>
      </c>
      <c r="Q458" s="362">
        <f>P458*C458</f>
        <v>0</v>
      </c>
      <c r="R458" s="359">
        <v>60</v>
      </c>
      <c r="S458" s="362">
        <f>R458*C458</f>
        <v>0</v>
      </c>
      <c r="T458" s="492">
        <v>60</v>
      </c>
      <c r="U458" s="362">
        <f>T458*C458</f>
        <v>0</v>
      </c>
      <c r="V458" s="492">
        <v>60</v>
      </c>
      <c r="W458" s="362">
        <f>V458*C458</f>
        <v>0</v>
      </c>
      <c r="X458" s="492">
        <v>60</v>
      </c>
      <c r="Y458" s="362">
        <f>X458*C458</f>
        <v>0</v>
      </c>
      <c r="Z458" s="492">
        <v>60</v>
      </c>
      <c r="AA458" s="362">
        <f>Z458*C458</f>
        <v>0</v>
      </c>
      <c r="AB458" s="361"/>
      <c r="AC458" s="342"/>
      <c r="AD458" s="348"/>
    </row>
    <row r="459" spans="1:30" s="349" customFormat="1">
      <c r="A459" s="359" t="s">
        <v>233</v>
      </c>
      <c r="B459" s="359">
        <v>150</v>
      </c>
      <c r="C459" s="504"/>
      <c r="D459" s="359">
        <v>30</v>
      </c>
      <c r="E459" s="362">
        <f>D459*C459</f>
        <v>0</v>
      </c>
      <c r="F459" s="359">
        <v>30</v>
      </c>
      <c r="G459" s="362">
        <f>F459*C459</f>
        <v>0</v>
      </c>
      <c r="H459" s="492">
        <v>30</v>
      </c>
      <c r="I459" s="362">
        <f>H459*C459</f>
        <v>0</v>
      </c>
      <c r="J459" s="492">
        <v>30</v>
      </c>
      <c r="K459" s="362">
        <f>J459*C459</f>
        <v>0</v>
      </c>
      <c r="L459" s="492">
        <v>30</v>
      </c>
      <c r="M459" s="362">
        <f>L459*C459</f>
        <v>0</v>
      </c>
      <c r="N459" s="492">
        <v>30</v>
      </c>
      <c r="O459" s="362">
        <f>N459*C459</f>
        <v>0</v>
      </c>
      <c r="P459" s="359">
        <v>60</v>
      </c>
      <c r="Q459" s="362">
        <f>P459*C459</f>
        <v>0</v>
      </c>
      <c r="R459" s="359">
        <v>60</v>
      </c>
      <c r="S459" s="362">
        <f>R459*C459</f>
        <v>0</v>
      </c>
      <c r="T459" s="492">
        <v>60</v>
      </c>
      <c r="U459" s="362">
        <f>T459*C459</f>
        <v>0</v>
      </c>
      <c r="V459" s="492">
        <v>60</v>
      </c>
      <c r="W459" s="362">
        <f>V459*C459</f>
        <v>0</v>
      </c>
      <c r="X459" s="492">
        <v>60</v>
      </c>
      <c r="Y459" s="362">
        <f>X459*C459</f>
        <v>0</v>
      </c>
      <c r="Z459" s="492">
        <v>60</v>
      </c>
      <c r="AA459" s="362">
        <f>Z459*C459</f>
        <v>0</v>
      </c>
      <c r="AB459" s="361"/>
      <c r="AC459" s="342"/>
      <c r="AD459" s="348"/>
    </row>
    <row r="460" spans="1:30" s="349" customFormat="1">
      <c r="A460" s="359" t="s">
        <v>233</v>
      </c>
      <c r="B460" s="359">
        <v>250</v>
      </c>
      <c r="C460" s="504"/>
      <c r="D460" s="359">
        <v>20</v>
      </c>
      <c r="E460" s="362">
        <f>D460*C460</f>
        <v>0</v>
      </c>
      <c r="F460" s="359">
        <v>20</v>
      </c>
      <c r="G460" s="362">
        <f>F460*C460</f>
        <v>0</v>
      </c>
      <c r="H460" s="492">
        <v>20</v>
      </c>
      <c r="I460" s="362">
        <f>H460*C460</f>
        <v>0</v>
      </c>
      <c r="J460" s="492">
        <v>20</v>
      </c>
      <c r="K460" s="362">
        <f>J460*C460</f>
        <v>0</v>
      </c>
      <c r="L460" s="492">
        <v>20</v>
      </c>
      <c r="M460" s="362">
        <f>L460*C460</f>
        <v>0</v>
      </c>
      <c r="N460" s="492">
        <v>20</v>
      </c>
      <c r="O460" s="362">
        <f>N460*C460</f>
        <v>0</v>
      </c>
      <c r="P460" s="359">
        <v>40</v>
      </c>
      <c r="Q460" s="362">
        <f>P460*C460</f>
        <v>0</v>
      </c>
      <c r="R460" s="359">
        <v>40</v>
      </c>
      <c r="S460" s="362">
        <f>R460*C460</f>
        <v>0</v>
      </c>
      <c r="T460" s="492">
        <v>40</v>
      </c>
      <c r="U460" s="362">
        <f>T460*C460</f>
        <v>0</v>
      </c>
      <c r="V460" s="492">
        <v>40</v>
      </c>
      <c r="W460" s="362">
        <f>V460*C460</f>
        <v>0</v>
      </c>
      <c r="X460" s="492">
        <v>40</v>
      </c>
      <c r="Y460" s="362">
        <f>X460*C460</f>
        <v>0</v>
      </c>
      <c r="Z460" s="492">
        <v>40</v>
      </c>
      <c r="AA460" s="362">
        <f>Z460*C460</f>
        <v>0</v>
      </c>
      <c r="AB460" s="361"/>
      <c r="AC460" s="342"/>
      <c r="AD460" s="348"/>
    </row>
    <row r="461" spans="1:30" s="349" customFormat="1">
      <c r="A461" s="359" t="s">
        <v>233</v>
      </c>
      <c r="B461" s="359">
        <v>350</v>
      </c>
      <c r="C461" s="504"/>
      <c r="D461" s="359">
        <v>15</v>
      </c>
      <c r="E461" s="362">
        <f>D461*C461</f>
        <v>0</v>
      </c>
      <c r="F461" s="359">
        <v>15</v>
      </c>
      <c r="G461" s="362">
        <f>F461*C461</f>
        <v>0</v>
      </c>
      <c r="H461" s="492">
        <v>15</v>
      </c>
      <c r="I461" s="362">
        <f>H461*C461</f>
        <v>0</v>
      </c>
      <c r="J461" s="492">
        <v>15</v>
      </c>
      <c r="K461" s="362">
        <f>J461*C461</f>
        <v>0</v>
      </c>
      <c r="L461" s="492">
        <v>15</v>
      </c>
      <c r="M461" s="362">
        <f>L461*C461</f>
        <v>0</v>
      </c>
      <c r="N461" s="492">
        <v>15</v>
      </c>
      <c r="O461" s="362">
        <f>N461*C461</f>
        <v>0</v>
      </c>
      <c r="P461" s="359">
        <v>30</v>
      </c>
      <c r="Q461" s="362">
        <f>P461*C461</f>
        <v>0</v>
      </c>
      <c r="R461" s="359">
        <v>30</v>
      </c>
      <c r="S461" s="362">
        <f>R461*C461</f>
        <v>0</v>
      </c>
      <c r="T461" s="492">
        <v>30</v>
      </c>
      <c r="U461" s="362">
        <f>T461*C461</f>
        <v>0</v>
      </c>
      <c r="V461" s="492">
        <v>30</v>
      </c>
      <c r="W461" s="362">
        <f>V461*C461</f>
        <v>0</v>
      </c>
      <c r="X461" s="492">
        <v>30</v>
      </c>
      <c r="Y461" s="362">
        <f>X461*C461</f>
        <v>0</v>
      </c>
      <c r="Z461" s="492">
        <v>30</v>
      </c>
      <c r="AA461" s="362">
        <f>Z461*C461</f>
        <v>0</v>
      </c>
      <c r="AB461" s="361"/>
      <c r="AC461" s="342"/>
      <c r="AD461" s="348"/>
    </row>
    <row r="462" spans="1:30" s="349" customFormat="1">
      <c r="A462" s="359" t="s">
        <v>233</v>
      </c>
      <c r="B462" s="359">
        <v>500</v>
      </c>
      <c r="C462" s="504"/>
      <c r="D462" s="359">
        <v>7</v>
      </c>
      <c r="E462" s="362">
        <f>D462*C462</f>
        <v>0</v>
      </c>
      <c r="F462" s="359">
        <v>7</v>
      </c>
      <c r="G462" s="362">
        <f>F462*C462</f>
        <v>0</v>
      </c>
      <c r="H462" s="492">
        <v>7</v>
      </c>
      <c r="I462" s="362">
        <f>H462*C462</f>
        <v>0</v>
      </c>
      <c r="J462" s="492">
        <v>7</v>
      </c>
      <c r="K462" s="362">
        <f>J462*C462</f>
        <v>0</v>
      </c>
      <c r="L462" s="492">
        <v>7</v>
      </c>
      <c r="M462" s="362">
        <f>C462</f>
        <v>0</v>
      </c>
      <c r="N462" s="492">
        <v>7</v>
      </c>
      <c r="O462" s="362">
        <f>N462*C462</f>
        <v>0</v>
      </c>
      <c r="P462" s="359">
        <v>15</v>
      </c>
      <c r="Q462" s="362">
        <f>P462*C462</f>
        <v>0</v>
      </c>
      <c r="R462" s="359">
        <v>15</v>
      </c>
      <c r="S462" s="362">
        <f>R462*C462</f>
        <v>0</v>
      </c>
      <c r="T462" s="492">
        <v>15</v>
      </c>
      <c r="U462" s="362">
        <f>T462*C462</f>
        <v>0</v>
      </c>
      <c r="V462" s="492">
        <v>15</v>
      </c>
      <c r="W462" s="362">
        <f>V462*C462</f>
        <v>0</v>
      </c>
      <c r="X462" s="492">
        <v>15</v>
      </c>
      <c r="Y462" s="362">
        <f>X462*C462</f>
        <v>0</v>
      </c>
      <c r="Z462" s="492">
        <v>15</v>
      </c>
      <c r="AA462" s="362">
        <f>Z462*C462</f>
        <v>0</v>
      </c>
      <c r="AB462" s="361"/>
      <c r="AC462" s="342"/>
      <c r="AD462" s="348"/>
    </row>
    <row r="463" spans="1:30" s="349" customFormat="1">
      <c r="A463" s="359"/>
      <c r="B463" s="359"/>
      <c r="C463" s="504"/>
      <c r="D463" s="359"/>
      <c r="E463" s="362"/>
      <c r="F463" s="359"/>
      <c r="G463" s="362"/>
      <c r="H463" s="492"/>
      <c r="I463" s="362"/>
      <c r="J463" s="492"/>
      <c r="K463" s="362"/>
      <c r="L463" s="492"/>
      <c r="M463" s="362"/>
      <c r="N463" s="492"/>
      <c r="O463" s="362"/>
      <c r="P463" s="492"/>
      <c r="Q463" s="362"/>
      <c r="R463" s="492"/>
      <c r="S463" s="362"/>
      <c r="T463" s="492"/>
      <c r="U463" s="362"/>
      <c r="V463" s="492"/>
      <c r="W463" s="362"/>
      <c r="X463" s="492"/>
      <c r="Y463" s="362"/>
      <c r="Z463" s="492"/>
      <c r="AA463" s="362"/>
      <c r="AB463" s="360"/>
      <c r="AC463" s="342"/>
      <c r="AD463" s="348"/>
    </row>
    <row r="464" spans="1:30" s="479" customFormat="1">
      <c r="A464" s="474"/>
      <c r="B464" s="474"/>
      <c r="C464" s="505"/>
      <c r="D464" s="474">
        <v>0.1</v>
      </c>
      <c r="E464" s="475">
        <f>SUM(E442:E462)</f>
        <v>61530000</v>
      </c>
      <c r="F464" s="474">
        <v>0.1</v>
      </c>
      <c r="G464" s="475">
        <f>SUM(G442:G462)</f>
        <v>61530000</v>
      </c>
      <c r="H464" s="515">
        <v>0.1</v>
      </c>
      <c r="I464" s="475">
        <f>SUM(I442:I462)</f>
        <v>61530000</v>
      </c>
      <c r="J464" s="515">
        <v>0.1</v>
      </c>
      <c r="K464" s="475">
        <f>SUM(K442:K462)</f>
        <v>61530000</v>
      </c>
      <c r="L464" s="515">
        <v>0.1</v>
      </c>
      <c r="M464" s="475">
        <f>SUM(M442:M462)</f>
        <v>61530000</v>
      </c>
      <c r="N464" s="515">
        <v>0.1</v>
      </c>
      <c r="O464" s="475">
        <f>SUM(O442:O462)</f>
        <v>61530000</v>
      </c>
      <c r="P464" s="515">
        <v>0.1</v>
      </c>
      <c r="Q464" s="475">
        <f>SUM(Q442:Q462)</f>
        <v>124140000</v>
      </c>
      <c r="R464" s="515">
        <v>0.1</v>
      </c>
      <c r="S464" s="475">
        <f>SUM(S442:S462)</f>
        <v>124140000</v>
      </c>
      <c r="T464" s="515">
        <v>0.1</v>
      </c>
      <c r="U464" s="475">
        <f>SUM(U442:U462)</f>
        <v>124140000</v>
      </c>
      <c r="V464" s="515">
        <v>0.1</v>
      </c>
      <c r="W464" s="475">
        <f>SUM(W442:W462)</f>
        <v>124140000</v>
      </c>
      <c r="X464" s="515">
        <v>0.1</v>
      </c>
      <c r="Y464" s="475">
        <f>SUM(Y442:Y462)</f>
        <v>124140000</v>
      </c>
      <c r="Z464" s="515">
        <v>0.1</v>
      </c>
      <c r="AA464" s="475">
        <f>SUM(AA442:AA462)</f>
        <v>124140000</v>
      </c>
      <c r="AB464" s="476"/>
      <c r="AC464" s="477"/>
      <c r="AD464" s="478"/>
    </row>
    <row r="465" spans="1:30" s="485" customFormat="1">
      <c r="A465" s="480"/>
      <c r="B465" s="480"/>
      <c r="C465" s="507"/>
      <c r="D465" s="480"/>
      <c r="E465" s="481">
        <f>E464*D464</f>
        <v>6153000</v>
      </c>
      <c r="F465" s="480"/>
      <c r="G465" s="482">
        <f>G464*F464</f>
        <v>6153000</v>
      </c>
      <c r="H465" s="516"/>
      <c r="I465" s="481">
        <f>I464*H464</f>
        <v>6153000</v>
      </c>
      <c r="J465" s="516"/>
      <c r="K465" s="481">
        <f>K464*J464</f>
        <v>6153000</v>
      </c>
      <c r="L465" s="516"/>
      <c r="M465" s="481">
        <f>M464*L464</f>
        <v>6153000</v>
      </c>
      <c r="N465" s="516"/>
      <c r="O465" s="481">
        <f>O464*N464</f>
        <v>6153000</v>
      </c>
      <c r="P465" s="516"/>
      <c r="Q465" s="481">
        <f>Q464*P464</f>
        <v>12414000</v>
      </c>
      <c r="R465" s="516"/>
      <c r="S465" s="481">
        <f>S464*R464</f>
        <v>12414000</v>
      </c>
      <c r="T465" s="516"/>
      <c r="U465" s="481">
        <f>U464*T464</f>
        <v>12414000</v>
      </c>
      <c r="V465" s="516"/>
      <c r="W465" s="481">
        <f>W464*V464</f>
        <v>12414000</v>
      </c>
      <c r="X465" s="516"/>
      <c r="Y465" s="481">
        <f>Y464*X464</f>
        <v>12414000</v>
      </c>
      <c r="Z465" s="516"/>
      <c r="AA465" s="481">
        <f>AA464*Z464</f>
        <v>12414000</v>
      </c>
      <c r="AB465" s="481">
        <f>SUM(AA465,Y465,W465,U465,S465,Q465,O465,M465,K465,I465,G465,E465)</f>
        <v>111402000</v>
      </c>
      <c r="AC465" s="483"/>
      <c r="AD465" s="484"/>
    </row>
    <row r="466" spans="1:30" s="349" customFormat="1">
      <c r="A466" s="359"/>
      <c r="B466" s="359"/>
      <c r="C466" s="504"/>
      <c r="D466" s="359"/>
      <c r="E466" s="472"/>
      <c r="F466" s="359"/>
      <c r="G466" s="471"/>
      <c r="H466" s="492"/>
      <c r="I466" s="472"/>
      <c r="J466" s="492"/>
      <c r="K466" s="472"/>
      <c r="L466" s="492"/>
      <c r="M466" s="472"/>
      <c r="N466" s="492"/>
      <c r="O466" s="472"/>
      <c r="P466" s="492"/>
      <c r="Q466" s="472"/>
      <c r="R466" s="492"/>
      <c r="S466" s="472"/>
      <c r="T466" s="492"/>
      <c r="U466" s="472"/>
      <c r="V466" s="492"/>
      <c r="W466" s="472"/>
      <c r="X466" s="492"/>
      <c r="Y466" s="472"/>
      <c r="Z466" s="492"/>
      <c r="AA466" s="472"/>
      <c r="AB466" s="472"/>
      <c r="AC466" s="342"/>
      <c r="AD466" s="473"/>
    </row>
    <row r="467" spans="1:30" s="349" customFormat="1">
      <c r="A467" s="359" t="s">
        <v>234</v>
      </c>
      <c r="B467" s="359">
        <v>26</v>
      </c>
      <c r="C467" s="504">
        <v>30000</v>
      </c>
      <c r="D467" s="359">
        <v>50</v>
      </c>
      <c r="E467" s="362">
        <f>D467*C467</f>
        <v>1500000</v>
      </c>
      <c r="F467" s="359">
        <v>50</v>
      </c>
      <c r="G467" s="362">
        <f>F467*C467</f>
        <v>1500000</v>
      </c>
      <c r="H467" s="491">
        <v>50</v>
      </c>
      <c r="I467" s="362">
        <f>H467*C467</f>
        <v>1500000</v>
      </c>
      <c r="J467" s="491">
        <v>50</v>
      </c>
      <c r="K467" s="362">
        <f>J467*C467</f>
        <v>1500000</v>
      </c>
      <c r="L467" s="491">
        <v>50</v>
      </c>
      <c r="M467" s="362">
        <f>L467*C467</f>
        <v>1500000</v>
      </c>
      <c r="N467" s="491">
        <v>50</v>
      </c>
      <c r="O467" s="362">
        <f>N467*C467</f>
        <v>1500000</v>
      </c>
      <c r="P467" s="492">
        <v>100</v>
      </c>
      <c r="Q467" s="362">
        <f>P467*C467</f>
        <v>3000000</v>
      </c>
      <c r="R467" s="492">
        <v>100</v>
      </c>
      <c r="S467" s="362">
        <f>R467*C467</f>
        <v>3000000</v>
      </c>
      <c r="T467" s="492">
        <v>100</v>
      </c>
      <c r="U467" s="362">
        <f>T467*C467</f>
        <v>3000000</v>
      </c>
      <c r="V467" s="492">
        <v>100</v>
      </c>
      <c r="W467" s="362">
        <f>V467*C467</f>
        <v>3000000</v>
      </c>
      <c r="X467" s="492">
        <v>100</v>
      </c>
      <c r="Y467" s="362">
        <f>X467*C467</f>
        <v>3000000</v>
      </c>
      <c r="Z467" s="492">
        <v>100</v>
      </c>
      <c r="AA467" s="362">
        <f>Z467*C467</f>
        <v>3000000</v>
      </c>
      <c r="AB467" s="361"/>
      <c r="AC467" s="342"/>
      <c r="AD467" s="348"/>
    </row>
    <row r="468" spans="1:30" s="349" customFormat="1">
      <c r="A468" s="359" t="s">
        <v>234</v>
      </c>
      <c r="B468" s="359">
        <v>33</v>
      </c>
      <c r="C468" s="504">
        <v>45000</v>
      </c>
      <c r="D468" s="359">
        <v>15</v>
      </c>
      <c r="E468" s="362">
        <f>D468*C468</f>
        <v>675000</v>
      </c>
      <c r="F468" s="359">
        <v>15</v>
      </c>
      <c r="G468" s="362">
        <f>F468*C468</f>
        <v>675000</v>
      </c>
      <c r="H468" s="492">
        <v>15</v>
      </c>
      <c r="I468" s="362">
        <f>H468*C468</f>
        <v>675000</v>
      </c>
      <c r="J468" s="492">
        <v>15</v>
      </c>
      <c r="K468" s="362">
        <f>J468*C468</f>
        <v>675000</v>
      </c>
      <c r="L468" s="492">
        <v>15</v>
      </c>
      <c r="M468" s="362">
        <f>L468*C468</f>
        <v>675000</v>
      </c>
      <c r="N468" s="492">
        <v>15</v>
      </c>
      <c r="O468" s="362">
        <f>N468*C468</f>
        <v>675000</v>
      </c>
      <c r="P468" s="492">
        <v>30</v>
      </c>
      <c r="Q468" s="362">
        <f>P468*C468</f>
        <v>1350000</v>
      </c>
      <c r="R468" s="492">
        <v>30</v>
      </c>
      <c r="S468" s="362">
        <f>R468*C468</f>
        <v>1350000</v>
      </c>
      <c r="T468" s="492">
        <v>30</v>
      </c>
      <c r="U468" s="362">
        <f>T468*C468</f>
        <v>1350000</v>
      </c>
      <c r="V468" s="492">
        <v>30</v>
      </c>
      <c r="W468" s="362">
        <f>V468*C468</f>
        <v>1350000</v>
      </c>
      <c r="X468" s="492">
        <v>30</v>
      </c>
      <c r="Y468" s="362">
        <f>X468*C468</f>
        <v>1350000</v>
      </c>
      <c r="Z468" s="492">
        <v>30</v>
      </c>
      <c r="AA468" s="362">
        <f>Z468*C468</f>
        <v>1350000</v>
      </c>
      <c r="AB468" s="361"/>
      <c r="AC468" s="342"/>
      <c r="AD468" s="348"/>
    </row>
    <row r="469" spans="1:30" s="349" customFormat="1">
      <c r="A469" s="359" t="s">
        <v>234</v>
      </c>
      <c r="B469" s="359">
        <v>64</v>
      </c>
      <c r="C469" s="504">
        <v>60000</v>
      </c>
      <c r="D469" s="359">
        <v>15</v>
      </c>
      <c r="E469" s="362">
        <f>D469*C469</f>
        <v>900000</v>
      </c>
      <c r="F469" s="359">
        <v>15</v>
      </c>
      <c r="G469" s="362">
        <f>F469*C469</f>
        <v>900000</v>
      </c>
      <c r="H469" s="492">
        <v>15</v>
      </c>
      <c r="I469" s="362">
        <f>H469*C469</f>
        <v>900000</v>
      </c>
      <c r="J469" s="492">
        <v>15</v>
      </c>
      <c r="K469" s="362">
        <f>J469*C469</f>
        <v>900000</v>
      </c>
      <c r="L469" s="492">
        <v>15</v>
      </c>
      <c r="M469" s="362">
        <f>L469*C469</f>
        <v>900000</v>
      </c>
      <c r="N469" s="492">
        <v>15</v>
      </c>
      <c r="O469" s="362">
        <f>N469*C469</f>
        <v>900000</v>
      </c>
      <c r="P469" s="492">
        <v>30</v>
      </c>
      <c r="Q469" s="362">
        <f>P469*C469</f>
        <v>1800000</v>
      </c>
      <c r="R469" s="492">
        <v>30</v>
      </c>
      <c r="S469" s="362">
        <f>R469*C469</f>
        <v>1800000</v>
      </c>
      <c r="T469" s="492">
        <v>30</v>
      </c>
      <c r="U469" s="362">
        <f>T469*C469</f>
        <v>1800000</v>
      </c>
      <c r="V469" s="492">
        <v>30</v>
      </c>
      <c r="W469" s="362">
        <f>V469*C469</f>
        <v>1800000</v>
      </c>
      <c r="X469" s="492">
        <v>30</v>
      </c>
      <c r="Y469" s="362">
        <f>X469*C469</f>
        <v>1800000</v>
      </c>
      <c r="Z469" s="492">
        <v>30</v>
      </c>
      <c r="AA469" s="362">
        <f>Z469*C469</f>
        <v>1800000</v>
      </c>
      <c r="AB469" s="361"/>
      <c r="AC469" s="342"/>
      <c r="AD469" s="348"/>
    </row>
    <row r="470" spans="1:30" s="349" customFormat="1">
      <c r="A470" s="359" t="s">
        <v>234</v>
      </c>
      <c r="B470" s="359">
        <v>100</v>
      </c>
      <c r="C470" s="504">
        <v>70000</v>
      </c>
      <c r="D470" s="359">
        <v>3</v>
      </c>
      <c r="E470" s="362">
        <f>D470*C470</f>
        <v>210000</v>
      </c>
      <c r="F470" s="359">
        <v>3</v>
      </c>
      <c r="G470" s="362">
        <f>F470*C470</f>
        <v>210000</v>
      </c>
      <c r="H470" s="492">
        <v>3</v>
      </c>
      <c r="I470" s="362">
        <f>H470*C470</f>
        <v>210000</v>
      </c>
      <c r="J470" s="492">
        <v>3</v>
      </c>
      <c r="K470" s="362">
        <f>J470*C470</f>
        <v>210000</v>
      </c>
      <c r="L470" s="492">
        <v>3</v>
      </c>
      <c r="M470" s="362">
        <f>L470*C470</f>
        <v>210000</v>
      </c>
      <c r="N470" s="492">
        <v>3</v>
      </c>
      <c r="O470" s="362">
        <f>N470*C470</f>
        <v>210000</v>
      </c>
      <c r="P470" s="492">
        <v>7</v>
      </c>
      <c r="Q470" s="362">
        <f>P470*C470</f>
        <v>490000</v>
      </c>
      <c r="R470" s="492">
        <v>7</v>
      </c>
      <c r="S470" s="362">
        <f>R470*C470</f>
        <v>490000</v>
      </c>
      <c r="T470" s="492">
        <v>7</v>
      </c>
      <c r="U470" s="362">
        <f>T470*C470</f>
        <v>490000</v>
      </c>
      <c r="V470" s="492">
        <v>7</v>
      </c>
      <c r="W470" s="362">
        <f>V470*C470</f>
        <v>490000</v>
      </c>
      <c r="X470" s="492">
        <v>7</v>
      </c>
      <c r="Y470" s="362">
        <f>X470*C470</f>
        <v>490000</v>
      </c>
      <c r="Z470" s="492">
        <v>7</v>
      </c>
      <c r="AA470" s="362">
        <f>Z470*C470</f>
        <v>490000</v>
      </c>
      <c r="AB470" s="361"/>
      <c r="AC470" s="342"/>
      <c r="AD470" s="348"/>
    </row>
    <row r="471" spans="1:30" s="349" customFormat="1">
      <c r="A471" s="359"/>
      <c r="B471" s="359"/>
      <c r="C471" s="504"/>
      <c r="D471" s="359"/>
      <c r="E471" s="362"/>
      <c r="F471" s="359"/>
      <c r="G471" s="362"/>
      <c r="H471" s="492"/>
      <c r="I471" s="362"/>
      <c r="J471" s="492"/>
      <c r="K471" s="362"/>
      <c r="L471" s="492"/>
      <c r="M471" s="362"/>
      <c r="N471" s="492"/>
      <c r="O471" s="362"/>
      <c r="P471" s="492"/>
      <c r="Q471" s="362"/>
      <c r="R471" s="492"/>
      <c r="S471" s="362"/>
      <c r="T471" s="492"/>
      <c r="U471" s="362"/>
      <c r="V471" s="492"/>
      <c r="W471" s="362"/>
      <c r="X471" s="492"/>
      <c r="Y471" s="362"/>
      <c r="Z471" s="492"/>
      <c r="AA471" s="362"/>
      <c r="AB471" s="361"/>
      <c r="AC471" s="342"/>
      <c r="AD471" s="348"/>
    </row>
    <row r="472" spans="1:30" s="349" customFormat="1">
      <c r="A472" s="359" t="s">
        <v>235</v>
      </c>
      <c r="B472" s="359">
        <v>150</v>
      </c>
      <c r="C472" s="504">
        <v>60000</v>
      </c>
      <c r="D472" s="359">
        <v>50</v>
      </c>
      <c r="E472" s="362">
        <f>D472*C472</f>
        <v>3000000</v>
      </c>
      <c r="F472" s="359">
        <v>50</v>
      </c>
      <c r="G472" s="362">
        <f>F472*C472</f>
        <v>3000000</v>
      </c>
      <c r="H472" s="492">
        <v>50</v>
      </c>
      <c r="I472" s="362">
        <f>H472*C472</f>
        <v>3000000</v>
      </c>
      <c r="J472" s="492">
        <v>50</v>
      </c>
      <c r="K472" s="362">
        <f>J472*C472</f>
        <v>3000000</v>
      </c>
      <c r="L472" s="492">
        <v>50</v>
      </c>
      <c r="M472" s="362">
        <f>L472*C472</f>
        <v>3000000</v>
      </c>
      <c r="N472" s="492">
        <v>50</v>
      </c>
      <c r="O472" s="362">
        <f>N472*C472</f>
        <v>3000000</v>
      </c>
      <c r="P472" s="492">
        <v>100</v>
      </c>
      <c r="Q472" s="362">
        <f>P472*C472</f>
        <v>6000000</v>
      </c>
      <c r="R472" s="492">
        <v>100</v>
      </c>
      <c r="S472" s="362">
        <f>R472*C472</f>
        <v>6000000</v>
      </c>
      <c r="T472" s="492">
        <v>100</v>
      </c>
      <c r="U472" s="362">
        <f>T472*C472</f>
        <v>6000000</v>
      </c>
      <c r="V472" s="492">
        <v>100</v>
      </c>
      <c r="W472" s="362">
        <f>V472*C472</f>
        <v>6000000</v>
      </c>
      <c r="X472" s="492">
        <v>100</v>
      </c>
      <c r="Y472" s="362">
        <f>X472*C472</f>
        <v>6000000</v>
      </c>
      <c r="Z472" s="492">
        <v>100</v>
      </c>
      <c r="AA472" s="362">
        <f>Z472*C472</f>
        <v>6000000</v>
      </c>
      <c r="AB472" s="361"/>
      <c r="AC472" s="342"/>
      <c r="AD472" s="348"/>
    </row>
    <row r="473" spans="1:30" s="349" customFormat="1">
      <c r="A473" s="359" t="s">
        <v>235</v>
      </c>
      <c r="B473" s="359">
        <v>250</v>
      </c>
      <c r="C473" s="504">
        <v>80000</v>
      </c>
      <c r="D473" s="359">
        <v>15</v>
      </c>
      <c r="E473" s="362">
        <f>D473*C473</f>
        <v>1200000</v>
      </c>
      <c r="F473" s="359">
        <v>15</v>
      </c>
      <c r="G473" s="362">
        <f>F473*C473</f>
        <v>1200000</v>
      </c>
      <c r="H473" s="492">
        <v>15</v>
      </c>
      <c r="I473" s="362">
        <f>H473*C473</f>
        <v>1200000</v>
      </c>
      <c r="J473" s="492">
        <v>15</v>
      </c>
      <c r="K473" s="362">
        <f>J473*C473</f>
        <v>1200000</v>
      </c>
      <c r="L473" s="492">
        <v>15</v>
      </c>
      <c r="M473" s="362">
        <f>L473*C473</f>
        <v>1200000</v>
      </c>
      <c r="N473" s="492">
        <v>15</v>
      </c>
      <c r="O473" s="362">
        <f>N473*C473</f>
        <v>1200000</v>
      </c>
      <c r="P473" s="492">
        <v>30</v>
      </c>
      <c r="Q473" s="362">
        <f>P473*C473</f>
        <v>2400000</v>
      </c>
      <c r="R473" s="492">
        <v>30</v>
      </c>
      <c r="S473" s="362">
        <f>R473*C473</f>
        <v>2400000</v>
      </c>
      <c r="T473" s="492">
        <v>30</v>
      </c>
      <c r="U473" s="362">
        <f>T473*C473</f>
        <v>2400000</v>
      </c>
      <c r="V473" s="492">
        <v>30</v>
      </c>
      <c r="W473" s="362">
        <f>V473*C473</f>
        <v>2400000</v>
      </c>
      <c r="X473" s="492">
        <v>30</v>
      </c>
      <c r="Y473" s="362">
        <f>X473*C473</f>
        <v>2400000</v>
      </c>
      <c r="Z473" s="492">
        <v>30</v>
      </c>
      <c r="AA473" s="362">
        <f>Z473*C473</f>
        <v>2400000</v>
      </c>
      <c r="AB473" s="361"/>
      <c r="AC473" s="342"/>
      <c r="AD473" s="348"/>
    </row>
    <row r="474" spans="1:30" s="349" customFormat="1">
      <c r="A474" s="359" t="s">
        <v>235</v>
      </c>
      <c r="B474" s="359">
        <v>350</v>
      </c>
      <c r="C474" s="504">
        <v>120000</v>
      </c>
      <c r="D474" s="359">
        <v>15</v>
      </c>
      <c r="E474" s="362">
        <f>D474*C474</f>
        <v>1800000</v>
      </c>
      <c r="F474" s="359">
        <v>15</v>
      </c>
      <c r="G474" s="362">
        <f>F474*C474</f>
        <v>1800000</v>
      </c>
      <c r="H474" s="492">
        <v>15</v>
      </c>
      <c r="I474" s="362">
        <f>H474*C474</f>
        <v>1800000</v>
      </c>
      <c r="J474" s="492">
        <v>15</v>
      </c>
      <c r="K474" s="362">
        <f>J474*C474</f>
        <v>1800000</v>
      </c>
      <c r="L474" s="492">
        <v>15</v>
      </c>
      <c r="M474" s="362">
        <f>L474*C474</f>
        <v>1800000</v>
      </c>
      <c r="N474" s="492">
        <v>15</v>
      </c>
      <c r="O474" s="362">
        <f>N474*C474</f>
        <v>1800000</v>
      </c>
      <c r="P474" s="492">
        <v>30</v>
      </c>
      <c r="Q474" s="362">
        <f>P474*C474</f>
        <v>3600000</v>
      </c>
      <c r="R474" s="492">
        <v>30</v>
      </c>
      <c r="S474" s="362">
        <f>R474*C474</f>
        <v>3600000</v>
      </c>
      <c r="T474" s="492">
        <v>30</v>
      </c>
      <c r="U474" s="362">
        <f>T474*C474</f>
        <v>3600000</v>
      </c>
      <c r="V474" s="492">
        <v>30</v>
      </c>
      <c r="W474" s="362">
        <f>V474*C474</f>
        <v>3600000</v>
      </c>
      <c r="X474" s="492">
        <v>30</v>
      </c>
      <c r="Y474" s="362">
        <f>X474*C474</f>
        <v>3600000</v>
      </c>
      <c r="Z474" s="492">
        <v>30</v>
      </c>
      <c r="AA474" s="362">
        <f>Z474*C474</f>
        <v>3600000</v>
      </c>
      <c r="AB474" s="361"/>
      <c r="AC474" s="342"/>
      <c r="AD474" s="348"/>
    </row>
    <row r="475" spans="1:30" s="349" customFormat="1">
      <c r="A475" s="359" t="s">
        <v>235</v>
      </c>
      <c r="B475" s="359">
        <v>500</v>
      </c>
      <c r="C475" s="504">
        <v>150000</v>
      </c>
      <c r="D475" s="359">
        <v>3</v>
      </c>
      <c r="E475" s="362">
        <f>D475*C475</f>
        <v>450000</v>
      </c>
      <c r="F475" s="359">
        <v>3</v>
      </c>
      <c r="G475" s="362">
        <f>F475*C475</f>
        <v>450000</v>
      </c>
      <c r="H475" s="492">
        <v>3</v>
      </c>
      <c r="I475" s="362">
        <f>H475*C475</f>
        <v>450000</v>
      </c>
      <c r="J475" s="492">
        <v>3</v>
      </c>
      <c r="K475" s="362">
        <f>J475*C475</f>
        <v>450000</v>
      </c>
      <c r="L475" s="492">
        <v>3</v>
      </c>
      <c r="M475" s="362">
        <f>L475*C475</f>
        <v>450000</v>
      </c>
      <c r="N475" s="492">
        <v>3</v>
      </c>
      <c r="O475" s="362">
        <f>N475*C475</f>
        <v>450000</v>
      </c>
      <c r="P475" s="492">
        <v>7</v>
      </c>
      <c r="Q475" s="362">
        <f>P475*C475</f>
        <v>1050000</v>
      </c>
      <c r="R475" s="492">
        <v>7</v>
      </c>
      <c r="S475" s="362">
        <f>R475*C475</f>
        <v>1050000</v>
      </c>
      <c r="T475" s="492">
        <v>7</v>
      </c>
      <c r="U475" s="362">
        <f>T475*C475</f>
        <v>1050000</v>
      </c>
      <c r="V475" s="492">
        <v>7</v>
      </c>
      <c r="W475" s="362">
        <f>V475*C475</f>
        <v>1050000</v>
      </c>
      <c r="X475" s="492">
        <v>7</v>
      </c>
      <c r="Y475" s="362">
        <f>X475*C475</f>
        <v>1050000</v>
      </c>
      <c r="Z475" s="492">
        <v>7</v>
      </c>
      <c r="AA475" s="362">
        <f>Z475*C475</f>
        <v>1050000</v>
      </c>
      <c r="AB475" s="361"/>
      <c r="AC475" s="342"/>
      <c r="AD475" s="348"/>
    </row>
    <row r="476" spans="1:30" s="349" customFormat="1">
      <c r="A476" s="359"/>
      <c r="B476" s="359"/>
      <c r="C476" s="504"/>
      <c r="D476" s="359"/>
      <c r="E476" s="362"/>
      <c r="F476" s="359"/>
      <c r="G476" s="362"/>
      <c r="H476" s="492"/>
      <c r="I476" s="362"/>
      <c r="J476" s="492"/>
      <c r="K476" s="362"/>
      <c r="L476" s="492"/>
      <c r="M476" s="362"/>
      <c r="N476" s="492"/>
      <c r="O476" s="362"/>
      <c r="P476" s="492"/>
      <c r="Q476" s="362"/>
      <c r="R476" s="492"/>
      <c r="S476" s="362"/>
      <c r="T476" s="492"/>
      <c r="U476" s="362"/>
      <c r="V476" s="492"/>
      <c r="W476" s="362"/>
      <c r="X476" s="492"/>
      <c r="Y476" s="362"/>
      <c r="Z476" s="492"/>
      <c r="AA476" s="362"/>
      <c r="AB476" s="361"/>
      <c r="AC476" s="342"/>
      <c r="AD476" s="348"/>
    </row>
    <row r="477" spans="1:30" s="349" customFormat="1">
      <c r="A477" s="359"/>
      <c r="B477" s="359"/>
      <c r="C477" s="504"/>
      <c r="D477" s="359"/>
      <c r="E477" s="362"/>
      <c r="F477" s="359"/>
      <c r="G477" s="362"/>
      <c r="H477" s="492"/>
      <c r="I477" s="362"/>
      <c r="J477" s="492"/>
      <c r="K477" s="362"/>
      <c r="L477" s="492"/>
      <c r="M477" s="362"/>
      <c r="N477" s="492"/>
      <c r="O477" s="362"/>
      <c r="P477" s="492"/>
      <c r="Q477" s="362"/>
      <c r="R477" s="492"/>
      <c r="S477" s="362"/>
      <c r="T477" s="492"/>
      <c r="U477" s="362"/>
      <c r="V477" s="492"/>
      <c r="W477" s="362"/>
      <c r="X477" s="492"/>
      <c r="Y477" s="362"/>
      <c r="Z477" s="492"/>
      <c r="AA477" s="362"/>
      <c r="AB477" s="360"/>
      <c r="AC477" s="342"/>
      <c r="AD477" s="348"/>
    </row>
    <row r="478" spans="1:30" s="479" customFormat="1">
      <c r="A478" s="474"/>
      <c r="B478" s="474"/>
      <c r="C478" s="505"/>
      <c r="D478" s="474">
        <v>0.1</v>
      </c>
      <c r="E478" s="475">
        <f>SUM(E467:E476)</f>
        <v>9735000</v>
      </c>
      <c r="F478" s="474">
        <v>0.1</v>
      </c>
      <c r="G478" s="475">
        <f>SUM(G467:G476)</f>
        <v>9735000</v>
      </c>
      <c r="H478" s="515">
        <v>0.1</v>
      </c>
      <c r="I478" s="475">
        <f>SUM(I467:I476)</f>
        <v>9735000</v>
      </c>
      <c r="J478" s="515">
        <v>0.1</v>
      </c>
      <c r="K478" s="475">
        <f>SUM(K467:K476)</f>
        <v>9735000</v>
      </c>
      <c r="L478" s="515">
        <v>0.1</v>
      </c>
      <c r="M478" s="475">
        <f>SUM(M467:M476)</f>
        <v>9735000</v>
      </c>
      <c r="N478" s="515">
        <v>0.1</v>
      </c>
      <c r="O478" s="475">
        <f>SUM(O467:O476)</f>
        <v>9735000</v>
      </c>
      <c r="P478" s="515">
        <v>0.1</v>
      </c>
      <c r="Q478" s="475">
        <f>SUM(Q467:Q476)</f>
        <v>19690000</v>
      </c>
      <c r="R478" s="515">
        <v>0.1</v>
      </c>
      <c r="S478" s="475">
        <f>SUM(S467:S476)</f>
        <v>19690000</v>
      </c>
      <c r="T478" s="515">
        <v>0.1</v>
      </c>
      <c r="U478" s="475">
        <f>SUM(U467:U476)</f>
        <v>19690000</v>
      </c>
      <c r="V478" s="515">
        <v>0.1</v>
      </c>
      <c r="W478" s="475">
        <f>SUM(W467:W476)</f>
        <v>19690000</v>
      </c>
      <c r="X478" s="515">
        <v>0.1</v>
      </c>
      <c r="Y478" s="475">
        <f>SUM(Y467:Y476)</f>
        <v>19690000</v>
      </c>
      <c r="Z478" s="515">
        <v>0.1</v>
      </c>
      <c r="AA478" s="475">
        <f>SUM(AA467:AA476)</f>
        <v>19690000</v>
      </c>
      <c r="AB478" s="476"/>
      <c r="AC478" s="477"/>
      <c r="AD478" s="478"/>
    </row>
    <row r="479" spans="1:30" s="485" customFormat="1">
      <c r="A479" s="480"/>
      <c r="B479" s="480"/>
      <c r="C479" s="507"/>
      <c r="D479" s="480"/>
      <c r="E479" s="481">
        <f>E478*D478</f>
        <v>973500</v>
      </c>
      <c r="F479" s="480"/>
      <c r="G479" s="482">
        <f>G478*F478</f>
        <v>973500</v>
      </c>
      <c r="H479" s="516"/>
      <c r="I479" s="481">
        <f>I478*H478</f>
        <v>973500</v>
      </c>
      <c r="J479" s="516"/>
      <c r="K479" s="481">
        <f>K478*J478</f>
        <v>973500</v>
      </c>
      <c r="L479" s="516"/>
      <c r="M479" s="481">
        <f>M478*L478</f>
        <v>973500</v>
      </c>
      <c r="N479" s="516"/>
      <c r="O479" s="481">
        <f>O478*N478</f>
        <v>973500</v>
      </c>
      <c r="P479" s="516"/>
      <c r="Q479" s="481">
        <f>Q478*P478</f>
        <v>1969000</v>
      </c>
      <c r="R479" s="516"/>
      <c r="S479" s="481">
        <f>S478*R478</f>
        <v>1969000</v>
      </c>
      <c r="T479" s="516"/>
      <c r="U479" s="481">
        <f>U478*T478</f>
        <v>1969000</v>
      </c>
      <c r="V479" s="516"/>
      <c r="W479" s="481">
        <f>W478*V478</f>
        <v>1969000</v>
      </c>
      <c r="X479" s="516"/>
      <c r="Y479" s="481">
        <f>Y478*X478</f>
        <v>1969000</v>
      </c>
      <c r="Z479" s="516"/>
      <c r="AA479" s="481">
        <f>AA478*Z478</f>
        <v>1969000</v>
      </c>
      <c r="AB479" s="481">
        <f>SUM(AA479,Y479,W479,U479,S479,Q479,O479,M479,K479,I479,G479,E479)</f>
        <v>17655000</v>
      </c>
      <c r="AC479" s="483"/>
      <c r="AD479" s="484"/>
    </row>
    <row r="480" spans="1:30" s="349" customFormat="1">
      <c r="A480" s="359"/>
      <c r="B480" s="359"/>
      <c r="C480" s="504"/>
      <c r="D480" s="359"/>
      <c r="E480" s="472"/>
      <c r="F480" s="359"/>
      <c r="G480" s="471"/>
      <c r="H480" s="492"/>
      <c r="I480" s="472"/>
      <c r="J480" s="492"/>
      <c r="K480" s="472"/>
      <c r="L480" s="492"/>
      <c r="M480" s="472"/>
      <c r="N480" s="492"/>
      <c r="O480" s="472"/>
      <c r="P480" s="492"/>
      <c r="Q480" s="472"/>
      <c r="R480" s="492"/>
      <c r="S480" s="472"/>
      <c r="T480" s="492"/>
      <c r="U480" s="472"/>
      <c r="V480" s="492"/>
      <c r="W480" s="472"/>
      <c r="X480" s="492"/>
      <c r="Y480" s="472"/>
      <c r="Z480" s="492"/>
      <c r="AA480" s="472"/>
      <c r="AB480" s="472"/>
      <c r="AC480" s="342"/>
      <c r="AD480" s="473"/>
    </row>
    <row r="481" spans="1:30" s="349" customFormat="1">
      <c r="A481" s="359" t="s">
        <v>236</v>
      </c>
      <c r="B481" s="359">
        <v>26</v>
      </c>
      <c r="C481" s="504">
        <v>10000</v>
      </c>
      <c r="D481" s="359">
        <v>50</v>
      </c>
      <c r="E481" s="362">
        <f>D481*C481</f>
        <v>500000</v>
      </c>
      <c r="F481" s="359">
        <v>50</v>
      </c>
      <c r="G481" s="362">
        <f>F481*C481</f>
        <v>500000</v>
      </c>
      <c r="H481" s="492">
        <v>50</v>
      </c>
      <c r="I481" s="362">
        <f>H481*C481</f>
        <v>500000</v>
      </c>
      <c r="J481" s="492">
        <v>50</v>
      </c>
      <c r="K481" s="362">
        <f>J481*C481</f>
        <v>500000</v>
      </c>
      <c r="L481" s="492">
        <v>50</v>
      </c>
      <c r="M481" s="362">
        <f>L481*C481</f>
        <v>500000</v>
      </c>
      <c r="N481" s="492">
        <v>50</v>
      </c>
      <c r="O481" s="362">
        <f>N481*C481</f>
        <v>500000</v>
      </c>
      <c r="P481" s="492">
        <v>100</v>
      </c>
      <c r="Q481" s="362">
        <f>P481*C481</f>
        <v>1000000</v>
      </c>
      <c r="R481" s="492">
        <v>100</v>
      </c>
      <c r="S481" s="362">
        <f>R481*C481</f>
        <v>1000000</v>
      </c>
      <c r="T481" s="492">
        <v>100</v>
      </c>
      <c r="U481" s="362">
        <f>T481*C481</f>
        <v>1000000</v>
      </c>
      <c r="V481" s="492">
        <v>100</v>
      </c>
      <c r="W481" s="362">
        <f>V481*C481</f>
        <v>1000000</v>
      </c>
      <c r="X481" s="492">
        <v>100</v>
      </c>
      <c r="Y481" s="362">
        <f>X481*C481</f>
        <v>1000000</v>
      </c>
      <c r="Z481" s="492">
        <v>100</v>
      </c>
      <c r="AA481" s="362">
        <f>Z481*C481</f>
        <v>1000000</v>
      </c>
      <c r="AB481" s="361"/>
      <c r="AC481" s="342"/>
      <c r="AD481" s="348"/>
    </row>
    <row r="482" spans="1:30" s="349" customFormat="1">
      <c r="A482" s="359" t="s">
        <v>236</v>
      </c>
      <c r="B482" s="359">
        <v>33</v>
      </c>
      <c r="C482" s="504">
        <v>14000</v>
      </c>
      <c r="D482" s="359">
        <v>15</v>
      </c>
      <c r="E482" s="362">
        <f>D482*C482</f>
        <v>210000</v>
      </c>
      <c r="F482" s="359">
        <v>15</v>
      </c>
      <c r="G482" s="362">
        <f>F482*C482</f>
        <v>210000</v>
      </c>
      <c r="H482" s="492">
        <v>15</v>
      </c>
      <c r="I482" s="362">
        <f>H482*C482</f>
        <v>210000</v>
      </c>
      <c r="J482" s="492">
        <v>15</v>
      </c>
      <c r="K482" s="362">
        <f>J482*C482</f>
        <v>210000</v>
      </c>
      <c r="L482" s="492">
        <v>15</v>
      </c>
      <c r="M482" s="362">
        <f>L482*C482</f>
        <v>210000</v>
      </c>
      <c r="N482" s="492">
        <v>15</v>
      </c>
      <c r="O482" s="362">
        <f>N482*C482</f>
        <v>210000</v>
      </c>
      <c r="P482" s="492">
        <v>30</v>
      </c>
      <c r="Q482" s="362">
        <f>P482*C482</f>
        <v>420000</v>
      </c>
      <c r="R482" s="492">
        <v>30</v>
      </c>
      <c r="S482" s="362">
        <f>R482*C482</f>
        <v>420000</v>
      </c>
      <c r="T482" s="492">
        <v>30</v>
      </c>
      <c r="U482" s="362">
        <f>T482*C482</f>
        <v>420000</v>
      </c>
      <c r="V482" s="492">
        <v>30</v>
      </c>
      <c r="W482" s="362">
        <f>V482*C482</f>
        <v>420000</v>
      </c>
      <c r="X482" s="492">
        <v>30</v>
      </c>
      <c r="Y482" s="362">
        <f>X482*C482</f>
        <v>420000</v>
      </c>
      <c r="Z482" s="492">
        <v>30</v>
      </c>
      <c r="AA482" s="362">
        <f>Z482*C482</f>
        <v>420000</v>
      </c>
      <c r="AB482" s="361"/>
      <c r="AC482" s="342"/>
      <c r="AD482" s="348"/>
    </row>
    <row r="483" spans="1:30" s="349" customFormat="1">
      <c r="A483" s="359" t="s">
        <v>236</v>
      </c>
      <c r="B483" s="359">
        <v>64</v>
      </c>
      <c r="C483" s="504">
        <v>85000</v>
      </c>
      <c r="D483" s="359">
        <v>15</v>
      </c>
      <c r="E483" s="362">
        <f>D483*C483</f>
        <v>1275000</v>
      </c>
      <c r="F483" s="359">
        <v>15</v>
      </c>
      <c r="G483" s="362">
        <f>F483*C483</f>
        <v>1275000</v>
      </c>
      <c r="H483" s="492">
        <v>15</v>
      </c>
      <c r="I483" s="362">
        <f>H483*C483</f>
        <v>1275000</v>
      </c>
      <c r="J483" s="492">
        <v>15</v>
      </c>
      <c r="K483" s="362">
        <f>J483*C483</f>
        <v>1275000</v>
      </c>
      <c r="L483" s="492">
        <v>15</v>
      </c>
      <c r="M483" s="362">
        <f>L483*C483</f>
        <v>1275000</v>
      </c>
      <c r="N483" s="492">
        <v>15</v>
      </c>
      <c r="O483" s="362">
        <f>N483*C483</f>
        <v>1275000</v>
      </c>
      <c r="P483" s="492">
        <v>30</v>
      </c>
      <c r="Q483" s="362">
        <f>P483*C483</f>
        <v>2550000</v>
      </c>
      <c r="R483" s="492">
        <v>30</v>
      </c>
      <c r="S483" s="362">
        <f>R483*C483</f>
        <v>2550000</v>
      </c>
      <c r="T483" s="492">
        <v>30</v>
      </c>
      <c r="U483" s="362">
        <f>T483*C483</f>
        <v>2550000</v>
      </c>
      <c r="V483" s="492">
        <v>30</v>
      </c>
      <c r="W483" s="362">
        <f>V483*C483</f>
        <v>2550000</v>
      </c>
      <c r="X483" s="492">
        <v>30</v>
      </c>
      <c r="Y483" s="362">
        <f>X483*C483</f>
        <v>2550000</v>
      </c>
      <c r="Z483" s="492">
        <v>30</v>
      </c>
      <c r="AA483" s="362">
        <f>Z483*C483</f>
        <v>2550000</v>
      </c>
      <c r="AB483" s="361"/>
      <c r="AC483" s="342"/>
      <c r="AD483" s="348"/>
    </row>
    <row r="484" spans="1:30" s="349" customFormat="1">
      <c r="A484" s="359" t="s">
        <v>236</v>
      </c>
      <c r="B484" s="359">
        <v>100</v>
      </c>
      <c r="C484" s="504">
        <v>85000</v>
      </c>
      <c r="D484" s="359">
        <v>3</v>
      </c>
      <c r="E484" s="362">
        <f>D484*C484</f>
        <v>255000</v>
      </c>
      <c r="F484" s="359">
        <v>3</v>
      </c>
      <c r="G484" s="362">
        <f>F484*C484</f>
        <v>255000</v>
      </c>
      <c r="H484" s="492">
        <v>3</v>
      </c>
      <c r="I484" s="362">
        <f>H484*C484</f>
        <v>255000</v>
      </c>
      <c r="J484" s="492">
        <v>3</v>
      </c>
      <c r="K484" s="362">
        <f>J484*C484</f>
        <v>255000</v>
      </c>
      <c r="L484" s="492">
        <v>3</v>
      </c>
      <c r="M484" s="362">
        <f>L484*C484</f>
        <v>255000</v>
      </c>
      <c r="N484" s="492">
        <v>3</v>
      </c>
      <c r="O484" s="362">
        <f>N484*C484</f>
        <v>255000</v>
      </c>
      <c r="P484" s="492">
        <v>7</v>
      </c>
      <c r="Q484" s="362">
        <f>P484*C484</f>
        <v>595000</v>
      </c>
      <c r="R484" s="492">
        <v>7</v>
      </c>
      <c r="S484" s="362">
        <f>R484*C484</f>
        <v>595000</v>
      </c>
      <c r="T484" s="492">
        <v>7</v>
      </c>
      <c r="U484" s="362">
        <f>T484*C484</f>
        <v>595000</v>
      </c>
      <c r="V484" s="492">
        <v>7</v>
      </c>
      <c r="W484" s="362">
        <f>V484*C484</f>
        <v>595000</v>
      </c>
      <c r="X484" s="492">
        <v>7</v>
      </c>
      <c r="Y484" s="362">
        <f>X484*C484</f>
        <v>595000</v>
      </c>
      <c r="Z484" s="492">
        <v>7</v>
      </c>
      <c r="AA484" s="362">
        <f>Z484*C484</f>
        <v>595000</v>
      </c>
      <c r="AB484" s="361"/>
      <c r="AC484" s="342"/>
      <c r="AD484" s="348"/>
    </row>
    <row r="485" spans="1:30" s="349" customFormat="1">
      <c r="A485" s="359"/>
      <c r="B485" s="359"/>
      <c r="C485" s="504"/>
      <c r="D485" s="359"/>
      <c r="E485" s="362"/>
      <c r="F485" s="359"/>
      <c r="G485" s="362"/>
      <c r="H485" s="492"/>
      <c r="I485" s="362"/>
      <c r="J485" s="492"/>
      <c r="K485" s="362"/>
      <c r="L485" s="492"/>
      <c r="M485" s="362"/>
      <c r="N485" s="492"/>
      <c r="O485" s="362"/>
      <c r="P485" s="492"/>
      <c r="Q485" s="362"/>
      <c r="R485" s="492"/>
      <c r="S485" s="362"/>
      <c r="T485" s="492"/>
      <c r="U485" s="362"/>
      <c r="V485" s="492"/>
      <c r="W485" s="362"/>
      <c r="X485" s="492"/>
      <c r="Y485" s="362"/>
      <c r="Z485" s="492"/>
      <c r="AA485" s="362"/>
      <c r="AB485" s="361"/>
      <c r="AC485" s="342"/>
      <c r="AD485" s="348"/>
    </row>
    <row r="486" spans="1:30" s="349" customFormat="1">
      <c r="A486" s="359" t="s">
        <v>237</v>
      </c>
      <c r="B486" s="359">
        <v>150</v>
      </c>
      <c r="C486" s="504">
        <v>85000</v>
      </c>
      <c r="D486" s="359">
        <v>50</v>
      </c>
      <c r="E486" s="362">
        <f>D486*C486</f>
        <v>4250000</v>
      </c>
      <c r="F486" s="359">
        <v>50</v>
      </c>
      <c r="G486" s="362">
        <f>F486*C486</f>
        <v>4250000</v>
      </c>
      <c r="H486" s="492">
        <v>50</v>
      </c>
      <c r="I486" s="362">
        <f>H486*C486</f>
        <v>4250000</v>
      </c>
      <c r="J486" s="492">
        <v>50</v>
      </c>
      <c r="K486" s="362">
        <f>J486*C486</f>
        <v>4250000</v>
      </c>
      <c r="L486" s="492">
        <v>50</v>
      </c>
      <c r="M486" s="362">
        <f>L486*C486</f>
        <v>4250000</v>
      </c>
      <c r="N486" s="492">
        <v>50</v>
      </c>
      <c r="O486" s="362">
        <f>N486*C486</f>
        <v>4250000</v>
      </c>
      <c r="P486" s="492">
        <v>100</v>
      </c>
      <c r="Q486" s="362">
        <f>P486*C486</f>
        <v>8500000</v>
      </c>
      <c r="R486" s="492">
        <v>100</v>
      </c>
      <c r="S486" s="362">
        <f>R486*C486</f>
        <v>8500000</v>
      </c>
      <c r="T486" s="492">
        <v>100</v>
      </c>
      <c r="U486" s="362">
        <f>T486*C486</f>
        <v>8500000</v>
      </c>
      <c r="V486" s="492">
        <v>100</v>
      </c>
      <c r="W486" s="362">
        <f>V486*C486</f>
        <v>8500000</v>
      </c>
      <c r="X486" s="492">
        <v>100</v>
      </c>
      <c r="Y486" s="362">
        <f>X486*C486</f>
        <v>8500000</v>
      </c>
      <c r="Z486" s="492">
        <v>100</v>
      </c>
      <c r="AA486" s="362">
        <f>Z486*C486</f>
        <v>8500000</v>
      </c>
      <c r="AB486" s="361"/>
      <c r="AC486" s="342"/>
      <c r="AD486" s="348"/>
    </row>
    <row r="487" spans="1:30" s="349" customFormat="1">
      <c r="A487" s="359" t="s">
        <v>237</v>
      </c>
      <c r="B487" s="359">
        <v>250</v>
      </c>
      <c r="C487" s="504">
        <v>85000</v>
      </c>
      <c r="D487" s="359">
        <v>15</v>
      </c>
      <c r="E487" s="362">
        <f>D487*C487</f>
        <v>1275000</v>
      </c>
      <c r="F487" s="359">
        <v>15</v>
      </c>
      <c r="G487" s="362">
        <f>F487*C487</f>
        <v>1275000</v>
      </c>
      <c r="H487" s="492">
        <v>15</v>
      </c>
      <c r="I487" s="362">
        <f>H487*C487</f>
        <v>1275000</v>
      </c>
      <c r="J487" s="492">
        <v>15</v>
      </c>
      <c r="K487" s="362">
        <f>J487*C487</f>
        <v>1275000</v>
      </c>
      <c r="L487" s="492">
        <v>15</v>
      </c>
      <c r="M487" s="362">
        <f>L487*C487</f>
        <v>1275000</v>
      </c>
      <c r="N487" s="492">
        <v>15</v>
      </c>
      <c r="O487" s="362">
        <f>N487*C487</f>
        <v>1275000</v>
      </c>
      <c r="P487" s="492">
        <v>30</v>
      </c>
      <c r="Q487" s="362">
        <f>P487*C487</f>
        <v>2550000</v>
      </c>
      <c r="R487" s="492">
        <v>30</v>
      </c>
      <c r="S487" s="362">
        <f>R487*C487</f>
        <v>2550000</v>
      </c>
      <c r="T487" s="492">
        <v>30</v>
      </c>
      <c r="U487" s="362">
        <f>T487*C487</f>
        <v>2550000</v>
      </c>
      <c r="V487" s="492">
        <v>30</v>
      </c>
      <c r="W487" s="362">
        <f>V487*C487</f>
        <v>2550000</v>
      </c>
      <c r="X487" s="492">
        <v>30</v>
      </c>
      <c r="Y487" s="362">
        <f>X487*C487</f>
        <v>2550000</v>
      </c>
      <c r="Z487" s="492">
        <v>30</v>
      </c>
      <c r="AA487" s="362">
        <f>Z487*C487</f>
        <v>2550000</v>
      </c>
      <c r="AB487" s="361"/>
      <c r="AC487" s="342"/>
      <c r="AD487" s="348"/>
    </row>
    <row r="488" spans="1:30" s="349" customFormat="1">
      <c r="A488" s="359" t="s">
        <v>237</v>
      </c>
      <c r="B488" s="359">
        <v>350</v>
      </c>
      <c r="C488" s="504">
        <v>120000</v>
      </c>
      <c r="D488" s="359">
        <v>15</v>
      </c>
      <c r="E488" s="362">
        <f>D488*C488</f>
        <v>1800000</v>
      </c>
      <c r="F488" s="359">
        <v>15</v>
      </c>
      <c r="G488" s="362">
        <f>F488*C488</f>
        <v>1800000</v>
      </c>
      <c r="H488" s="492">
        <v>15</v>
      </c>
      <c r="I488" s="362">
        <f>H488*C488</f>
        <v>1800000</v>
      </c>
      <c r="J488" s="492">
        <v>15</v>
      </c>
      <c r="K488" s="362">
        <f>J488*C488</f>
        <v>1800000</v>
      </c>
      <c r="L488" s="492">
        <v>15</v>
      </c>
      <c r="M488" s="362">
        <f>L488*C488</f>
        <v>1800000</v>
      </c>
      <c r="N488" s="492">
        <v>15</v>
      </c>
      <c r="O488" s="362">
        <f>N488*C488</f>
        <v>1800000</v>
      </c>
      <c r="P488" s="492">
        <v>30</v>
      </c>
      <c r="Q488" s="362">
        <f>P488*C488</f>
        <v>3600000</v>
      </c>
      <c r="R488" s="492">
        <v>30</v>
      </c>
      <c r="S488" s="362">
        <f>R488*C488</f>
        <v>3600000</v>
      </c>
      <c r="T488" s="492">
        <v>30</v>
      </c>
      <c r="U488" s="362">
        <f>T488*C488</f>
        <v>3600000</v>
      </c>
      <c r="V488" s="492">
        <v>30</v>
      </c>
      <c r="W488" s="362">
        <f>V488*C488</f>
        <v>3600000</v>
      </c>
      <c r="X488" s="492">
        <v>30</v>
      </c>
      <c r="Y488" s="362">
        <f>X488*C488</f>
        <v>3600000</v>
      </c>
      <c r="Z488" s="492">
        <v>30</v>
      </c>
      <c r="AA488" s="362">
        <f>Z488*C488</f>
        <v>3600000</v>
      </c>
      <c r="AB488" s="361"/>
      <c r="AC488" s="342"/>
      <c r="AD488" s="348"/>
    </row>
    <row r="489" spans="1:30" s="349" customFormat="1">
      <c r="A489" s="359" t="s">
        <v>237</v>
      </c>
      <c r="B489" s="359">
        <v>500</v>
      </c>
      <c r="C489" s="504">
        <v>250000</v>
      </c>
      <c r="D489" s="359">
        <v>3</v>
      </c>
      <c r="E489" s="362">
        <f>D489*C489</f>
        <v>750000</v>
      </c>
      <c r="F489" s="359">
        <v>3</v>
      </c>
      <c r="G489" s="362">
        <f>F489*C489</f>
        <v>750000</v>
      </c>
      <c r="H489" s="492">
        <v>3</v>
      </c>
      <c r="I489" s="362">
        <f>H489*C489</f>
        <v>750000</v>
      </c>
      <c r="J489" s="492">
        <v>3</v>
      </c>
      <c r="K489" s="362">
        <f>J489*C489</f>
        <v>750000</v>
      </c>
      <c r="L489" s="492">
        <v>3</v>
      </c>
      <c r="M489" s="362">
        <f>L489*C489</f>
        <v>750000</v>
      </c>
      <c r="N489" s="492">
        <v>3</v>
      </c>
      <c r="O489" s="362">
        <f>N489*C489</f>
        <v>750000</v>
      </c>
      <c r="P489" s="492">
        <v>7</v>
      </c>
      <c r="Q489" s="362">
        <f>P489*C489</f>
        <v>1750000</v>
      </c>
      <c r="R489" s="492">
        <v>7</v>
      </c>
      <c r="S489" s="362">
        <f>R489*C489</f>
        <v>1750000</v>
      </c>
      <c r="T489" s="492">
        <v>7</v>
      </c>
      <c r="U489" s="362">
        <f>T489*C489</f>
        <v>1750000</v>
      </c>
      <c r="V489" s="492">
        <v>7</v>
      </c>
      <c r="W489" s="362">
        <f>V489*C489</f>
        <v>1750000</v>
      </c>
      <c r="X489" s="492">
        <v>7</v>
      </c>
      <c r="Y489" s="362">
        <f>X489*C489</f>
        <v>1750000</v>
      </c>
      <c r="Z489" s="492">
        <v>7</v>
      </c>
      <c r="AA489" s="362">
        <f>Z489*C489</f>
        <v>1750000</v>
      </c>
      <c r="AB489" s="361"/>
      <c r="AC489" s="342"/>
      <c r="AD489" s="348"/>
    </row>
    <row r="490" spans="1:30" s="349" customFormat="1">
      <c r="A490" s="359"/>
      <c r="B490" s="359"/>
      <c r="C490" s="504"/>
      <c r="D490" s="359"/>
      <c r="E490" s="362"/>
      <c r="F490" s="359"/>
      <c r="G490" s="362"/>
      <c r="H490" s="492"/>
      <c r="I490" s="362"/>
      <c r="J490" s="492"/>
      <c r="K490" s="362"/>
      <c r="L490" s="492"/>
      <c r="M490" s="362"/>
      <c r="N490" s="492"/>
      <c r="O490" s="362"/>
      <c r="P490" s="492"/>
      <c r="Q490" s="362"/>
      <c r="R490" s="492"/>
      <c r="S490" s="362"/>
      <c r="T490" s="492"/>
      <c r="U490" s="362"/>
      <c r="V490" s="492"/>
      <c r="W490" s="362"/>
      <c r="X490" s="492"/>
      <c r="Y490" s="362"/>
      <c r="Z490" s="492"/>
      <c r="AA490" s="362"/>
      <c r="AB490" s="361"/>
      <c r="AC490" s="342"/>
      <c r="AD490" s="348"/>
    </row>
    <row r="491" spans="1:30" s="349" customFormat="1">
      <c r="A491" s="359" t="s">
        <v>238</v>
      </c>
      <c r="B491" s="359">
        <v>100</v>
      </c>
      <c r="C491" s="504">
        <v>85000</v>
      </c>
      <c r="D491" s="359">
        <v>50</v>
      </c>
      <c r="E491" s="362">
        <f>D491*C491</f>
        <v>4250000</v>
      </c>
      <c r="F491" s="359">
        <v>50</v>
      </c>
      <c r="G491" s="362">
        <f>F491*C491</f>
        <v>4250000</v>
      </c>
      <c r="H491" s="492">
        <v>50</v>
      </c>
      <c r="I491" s="362">
        <f>H491*C491</f>
        <v>4250000</v>
      </c>
      <c r="J491" s="492">
        <v>50</v>
      </c>
      <c r="K491" s="362">
        <f>J491*C491</f>
        <v>4250000</v>
      </c>
      <c r="L491" s="492">
        <v>50</v>
      </c>
      <c r="M491" s="362">
        <f>L491*C491</f>
        <v>4250000</v>
      </c>
      <c r="N491" s="492">
        <v>50</v>
      </c>
      <c r="O491" s="362">
        <f>N491*C491</f>
        <v>4250000</v>
      </c>
      <c r="P491" s="492">
        <v>100</v>
      </c>
      <c r="Q491" s="362">
        <f>P491*C491</f>
        <v>8500000</v>
      </c>
      <c r="R491" s="492">
        <v>100</v>
      </c>
      <c r="S491" s="362">
        <f>R491*C491</f>
        <v>8500000</v>
      </c>
      <c r="T491" s="492">
        <v>100</v>
      </c>
      <c r="U491" s="362">
        <f>T491*C491</f>
        <v>8500000</v>
      </c>
      <c r="V491" s="492">
        <v>100</v>
      </c>
      <c r="W491" s="362">
        <f>V491*C491</f>
        <v>8500000</v>
      </c>
      <c r="X491" s="492">
        <v>100</v>
      </c>
      <c r="Y491" s="362">
        <f>X491*C491</f>
        <v>8500000</v>
      </c>
      <c r="Z491" s="492">
        <v>100</v>
      </c>
      <c r="AA491" s="362">
        <f>Z491*C491</f>
        <v>8500000</v>
      </c>
      <c r="AB491" s="361"/>
      <c r="AC491" s="342"/>
      <c r="AD491" s="348"/>
    </row>
    <row r="492" spans="1:30" s="349" customFormat="1">
      <c r="A492" s="359" t="s">
        <v>238</v>
      </c>
      <c r="B492" s="359">
        <v>150</v>
      </c>
      <c r="C492" s="504">
        <v>85000</v>
      </c>
      <c r="D492" s="359">
        <v>40</v>
      </c>
      <c r="E492" s="362">
        <f>D492*C492</f>
        <v>3400000</v>
      </c>
      <c r="F492" s="359">
        <v>40</v>
      </c>
      <c r="G492" s="362">
        <f>F492*C492</f>
        <v>3400000</v>
      </c>
      <c r="H492" s="492">
        <v>40</v>
      </c>
      <c r="I492" s="362">
        <f>H492*C492</f>
        <v>3400000</v>
      </c>
      <c r="J492" s="492">
        <v>40</v>
      </c>
      <c r="K492" s="362">
        <f>J492*C492</f>
        <v>3400000</v>
      </c>
      <c r="L492" s="492">
        <v>40</v>
      </c>
      <c r="M492" s="362">
        <f>L492*C492</f>
        <v>3400000</v>
      </c>
      <c r="N492" s="492">
        <v>40</v>
      </c>
      <c r="O492" s="362">
        <f>N492*C492</f>
        <v>3400000</v>
      </c>
      <c r="P492" s="492">
        <v>80</v>
      </c>
      <c r="Q492" s="362">
        <f>P492*C492</f>
        <v>6800000</v>
      </c>
      <c r="R492" s="492">
        <v>80</v>
      </c>
      <c r="S492" s="362">
        <f>R492*C492</f>
        <v>6800000</v>
      </c>
      <c r="T492" s="492">
        <v>80</v>
      </c>
      <c r="U492" s="362">
        <f>T492*C492</f>
        <v>6800000</v>
      </c>
      <c r="V492" s="492">
        <v>80</v>
      </c>
      <c r="W492" s="362">
        <f>V492*C492</f>
        <v>6800000</v>
      </c>
      <c r="X492" s="492">
        <v>80</v>
      </c>
      <c r="Y492" s="362">
        <f>X492*C492</f>
        <v>6800000</v>
      </c>
      <c r="Z492" s="492">
        <v>80</v>
      </c>
      <c r="AA492" s="362">
        <f>Z492*C492</f>
        <v>6800000</v>
      </c>
      <c r="AB492" s="361"/>
      <c r="AC492" s="342"/>
      <c r="AD492" s="348"/>
    </row>
    <row r="493" spans="1:30" s="349" customFormat="1">
      <c r="A493" s="359" t="s">
        <v>238</v>
      </c>
      <c r="B493" s="359">
        <v>250</v>
      </c>
      <c r="C493" s="504">
        <v>85000</v>
      </c>
      <c r="D493" s="359">
        <v>30</v>
      </c>
      <c r="E493" s="362">
        <f>D493*C493</f>
        <v>2550000</v>
      </c>
      <c r="F493" s="359">
        <v>30</v>
      </c>
      <c r="G493" s="362">
        <f>F493*C493</f>
        <v>2550000</v>
      </c>
      <c r="H493" s="492">
        <v>30</v>
      </c>
      <c r="I493" s="362">
        <f>H493*C493</f>
        <v>2550000</v>
      </c>
      <c r="J493" s="492">
        <v>30</v>
      </c>
      <c r="K493" s="362">
        <f>J493*C493</f>
        <v>2550000</v>
      </c>
      <c r="L493" s="492">
        <v>30</v>
      </c>
      <c r="M493" s="362">
        <f>L493*C493</f>
        <v>2550000</v>
      </c>
      <c r="N493" s="492">
        <v>30</v>
      </c>
      <c r="O493" s="362">
        <f>N493*C493</f>
        <v>2550000</v>
      </c>
      <c r="P493" s="492">
        <v>60</v>
      </c>
      <c r="Q493" s="362">
        <f>P493*C493</f>
        <v>5100000</v>
      </c>
      <c r="R493" s="492">
        <v>60</v>
      </c>
      <c r="S493" s="362">
        <f>R493*C493</f>
        <v>5100000</v>
      </c>
      <c r="T493" s="492">
        <v>60</v>
      </c>
      <c r="U493" s="362">
        <f>T493*C493</f>
        <v>5100000</v>
      </c>
      <c r="V493" s="492">
        <v>60</v>
      </c>
      <c r="W493" s="362">
        <f>V493*C493</f>
        <v>5100000</v>
      </c>
      <c r="X493" s="492">
        <v>60</v>
      </c>
      <c r="Y493" s="362">
        <f>X493*C493</f>
        <v>5100000</v>
      </c>
      <c r="Z493" s="492">
        <v>60</v>
      </c>
      <c r="AA493" s="362">
        <f>Z493*C493</f>
        <v>5100000</v>
      </c>
      <c r="AB493" s="361"/>
      <c r="AC493" s="342"/>
      <c r="AD493" s="348"/>
    </row>
    <row r="494" spans="1:30" s="349" customFormat="1">
      <c r="A494" s="359" t="s">
        <v>238</v>
      </c>
      <c r="B494" s="359">
        <v>350</v>
      </c>
      <c r="C494" s="504">
        <v>120000</v>
      </c>
      <c r="D494" s="359">
        <v>20</v>
      </c>
      <c r="E494" s="362">
        <f>D494*C494</f>
        <v>2400000</v>
      </c>
      <c r="F494" s="359">
        <v>20</v>
      </c>
      <c r="G494" s="362">
        <f>F494*C494</f>
        <v>2400000</v>
      </c>
      <c r="H494" s="492">
        <v>20</v>
      </c>
      <c r="I494" s="362">
        <f>H494*C494</f>
        <v>2400000</v>
      </c>
      <c r="J494" s="492">
        <v>20</v>
      </c>
      <c r="K494" s="362">
        <f>J494*C494</f>
        <v>2400000</v>
      </c>
      <c r="L494" s="492">
        <v>20</v>
      </c>
      <c r="M494" s="362">
        <f>L494*C494</f>
        <v>2400000</v>
      </c>
      <c r="N494" s="492">
        <v>20</v>
      </c>
      <c r="O494" s="362">
        <f>N494*C494</f>
        <v>2400000</v>
      </c>
      <c r="P494" s="492">
        <v>40</v>
      </c>
      <c r="Q494" s="362">
        <f>P494*C494</f>
        <v>4800000</v>
      </c>
      <c r="R494" s="492">
        <v>40</v>
      </c>
      <c r="S494" s="362">
        <f>R494*C494</f>
        <v>4800000</v>
      </c>
      <c r="T494" s="492">
        <v>40</v>
      </c>
      <c r="U494" s="362">
        <f>T494*C494</f>
        <v>4800000</v>
      </c>
      <c r="V494" s="492">
        <v>40</v>
      </c>
      <c r="W494" s="362">
        <f>V494*C494</f>
        <v>4800000</v>
      </c>
      <c r="X494" s="492">
        <v>40</v>
      </c>
      <c r="Y494" s="362">
        <f>X494*C494</f>
        <v>4800000</v>
      </c>
      <c r="Z494" s="492">
        <v>40</v>
      </c>
      <c r="AA494" s="362">
        <f>Z494*C494</f>
        <v>4800000</v>
      </c>
      <c r="AB494" s="361"/>
      <c r="AC494" s="342"/>
      <c r="AD494" s="348"/>
    </row>
    <row r="495" spans="1:30" s="349" customFormat="1">
      <c r="A495" s="359" t="s">
        <v>238</v>
      </c>
      <c r="B495" s="359">
        <v>500</v>
      </c>
      <c r="C495" s="504">
        <v>250000</v>
      </c>
      <c r="D495" s="359">
        <v>10</v>
      </c>
      <c r="E495" s="362">
        <f>D495*C495</f>
        <v>2500000</v>
      </c>
      <c r="F495" s="359">
        <v>10</v>
      </c>
      <c r="G495" s="362">
        <f>F495*C495</f>
        <v>2500000</v>
      </c>
      <c r="H495" s="492">
        <v>10</v>
      </c>
      <c r="I495" s="362">
        <f>H495*C495</f>
        <v>2500000</v>
      </c>
      <c r="J495" s="492">
        <v>10</v>
      </c>
      <c r="K495" s="362">
        <f>J495*C495</f>
        <v>2500000</v>
      </c>
      <c r="L495" s="492">
        <v>10</v>
      </c>
      <c r="M495" s="362">
        <f>L495*C495</f>
        <v>2500000</v>
      </c>
      <c r="N495" s="492">
        <v>10</v>
      </c>
      <c r="O495" s="362">
        <f>N495*C495</f>
        <v>2500000</v>
      </c>
      <c r="P495" s="492">
        <v>20</v>
      </c>
      <c r="Q495" s="362">
        <f>P495*C495</f>
        <v>5000000</v>
      </c>
      <c r="R495" s="492">
        <v>20</v>
      </c>
      <c r="S495" s="362">
        <f>R495*C495</f>
        <v>5000000</v>
      </c>
      <c r="T495" s="492">
        <v>20</v>
      </c>
      <c r="U495" s="362">
        <f>T495*C495</f>
        <v>5000000</v>
      </c>
      <c r="V495" s="492">
        <v>20</v>
      </c>
      <c r="W495" s="362">
        <f>V495*C495</f>
        <v>5000000</v>
      </c>
      <c r="X495" s="492">
        <v>20</v>
      </c>
      <c r="Y495" s="362">
        <f>X495*C495</f>
        <v>5000000</v>
      </c>
      <c r="Z495" s="492">
        <v>20</v>
      </c>
      <c r="AA495" s="362">
        <f>Z495*C495</f>
        <v>5000000</v>
      </c>
      <c r="AB495" s="361"/>
      <c r="AC495" s="342"/>
      <c r="AD495" s="348"/>
    </row>
    <row r="496" spans="1:30" s="349" customFormat="1">
      <c r="A496" s="359"/>
      <c r="B496" s="359"/>
      <c r="C496" s="504"/>
      <c r="D496" s="359"/>
      <c r="E496" s="362"/>
      <c r="F496" s="359"/>
      <c r="G496" s="362"/>
      <c r="H496" s="492"/>
      <c r="I496" s="362"/>
      <c r="J496" s="492"/>
      <c r="K496" s="362"/>
      <c r="L496" s="492"/>
      <c r="M496" s="362"/>
      <c r="N496" s="492"/>
      <c r="O496" s="362"/>
      <c r="P496" s="492"/>
      <c r="Q496" s="362"/>
      <c r="R496" s="492"/>
      <c r="S496" s="362"/>
      <c r="T496" s="492"/>
      <c r="U496" s="362"/>
      <c r="V496" s="492"/>
      <c r="W496" s="362"/>
      <c r="X496" s="492"/>
      <c r="Y496" s="362"/>
      <c r="Z496" s="492"/>
      <c r="AA496" s="362"/>
      <c r="AB496" s="360"/>
      <c r="AC496" s="342"/>
      <c r="AD496" s="348"/>
    </row>
    <row r="497" spans="1:30" s="479" customFormat="1">
      <c r="A497" s="474"/>
      <c r="B497" s="474"/>
      <c r="C497" s="505"/>
      <c r="D497" s="474">
        <v>0.1</v>
      </c>
      <c r="E497" s="475">
        <f>SUM(E481:E495)</f>
        <v>25415000</v>
      </c>
      <c r="F497" s="474">
        <v>0.1</v>
      </c>
      <c r="G497" s="475">
        <f>SUM(G481:G495)</f>
        <v>25415000</v>
      </c>
      <c r="H497" s="515">
        <v>0.1</v>
      </c>
      <c r="I497" s="475">
        <f>SUM(I481:I495)</f>
        <v>25415000</v>
      </c>
      <c r="J497" s="515">
        <v>0.1</v>
      </c>
      <c r="K497" s="475">
        <f>SUM(K481:K495)</f>
        <v>25415000</v>
      </c>
      <c r="L497" s="515">
        <v>0.1</v>
      </c>
      <c r="M497" s="475">
        <f>SUM(M481:M495)</f>
        <v>25415000</v>
      </c>
      <c r="N497" s="515">
        <v>0.1</v>
      </c>
      <c r="O497" s="475">
        <f>SUM(O481:O495)</f>
        <v>25415000</v>
      </c>
      <c r="P497" s="515">
        <v>0.1</v>
      </c>
      <c r="Q497" s="475">
        <f>SUM(Q481:Q495)</f>
        <v>51165000</v>
      </c>
      <c r="R497" s="515">
        <v>0.1</v>
      </c>
      <c r="S497" s="475">
        <f>SUM(S481:S495)</f>
        <v>51165000</v>
      </c>
      <c r="T497" s="515">
        <v>0.1</v>
      </c>
      <c r="U497" s="475">
        <f>SUM(U481:U495)</f>
        <v>51165000</v>
      </c>
      <c r="V497" s="515">
        <v>0.1</v>
      </c>
      <c r="W497" s="475">
        <f>SUM(W481:W495)</f>
        <v>51165000</v>
      </c>
      <c r="X497" s="515">
        <v>0.1</v>
      </c>
      <c r="Y497" s="475">
        <f>SUM(Y481:Y495)</f>
        <v>51165000</v>
      </c>
      <c r="Z497" s="515">
        <v>0.1</v>
      </c>
      <c r="AA497" s="475">
        <f>SUM(AA481:AA495)</f>
        <v>51165000</v>
      </c>
      <c r="AB497" s="476"/>
      <c r="AC497" s="477"/>
      <c r="AD497" s="478"/>
    </row>
    <row r="498" spans="1:30" s="485" customFormat="1">
      <c r="A498" s="480"/>
      <c r="B498" s="480"/>
      <c r="C498" s="507"/>
      <c r="D498" s="480"/>
      <c r="E498" s="481">
        <f>E497*D497</f>
        <v>2541500</v>
      </c>
      <c r="F498" s="480"/>
      <c r="G498" s="482">
        <f>G497*F497</f>
        <v>2541500</v>
      </c>
      <c r="H498" s="516"/>
      <c r="I498" s="481">
        <f>I497*H497</f>
        <v>2541500</v>
      </c>
      <c r="J498" s="516"/>
      <c r="K498" s="481">
        <f>K497*J497</f>
        <v>2541500</v>
      </c>
      <c r="L498" s="516"/>
      <c r="M498" s="481">
        <f>M497*L497</f>
        <v>2541500</v>
      </c>
      <c r="N498" s="516"/>
      <c r="O498" s="481">
        <f>O497*N497</f>
        <v>2541500</v>
      </c>
      <c r="P498" s="516"/>
      <c r="Q498" s="481">
        <f>Q497*P497</f>
        <v>5116500</v>
      </c>
      <c r="R498" s="516"/>
      <c r="S498" s="481">
        <f>S497*R497</f>
        <v>5116500</v>
      </c>
      <c r="T498" s="516"/>
      <c r="U498" s="481">
        <f>U497*T497</f>
        <v>5116500</v>
      </c>
      <c r="V498" s="516"/>
      <c r="W498" s="481">
        <f>W497*V497</f>
        <v>5116500</v>
      </c>
      <c r="X498" s="516"/>
      <c r="Y498" s="481">
        <f>Y497*X497</f>
        <v>5116500</v>
      </c>
      <c r="Z498" s="516"/>
      <c r="AA498" s="481">
        <f>AA497*Z497</f>
        <v>5116500</v>
      </c>
      <c r="AB498" s="481">
        <f>SUM(AA498,Y498,W498,U498,S498,Q498,O498,M498,K498,I498,G498,E498)</f>
        <v>45948000</v>
      </c>
      <c r="AC498" s="483"/>
      <c r="AD498" s="484"/>
    </row>
    <row r="499" spans="1:30" s="349" customFormat="1">
      <c r="A499" s="364"/>
      <c r="B499" s="359"/>
      <c r="C499" s="504"/>
      <c r="D499" s="359"/>
      <c r="E499" s="472"/>
      <c r="F499" s="359"/>
      <c r="G499" s="471"/>
      <c r="H499" s="492"/>
      <c r="I499" s="472"/>
      <c r="J499" s="492"/>
      <c r="K499" s="472"/>
      <c r="L499" s="492"/>
      <c r="M499" s="472"/>
      <c r="N499" s="492"/>
      <c r="O499" s="472"/>
      <c r="P499" s="492"/>
      <c r="Q499" s="472"/>
      <c r="R499" s="492"/>
      <c r="S499" s="472"/>
      <c r="T499" s="492"/>
      <c r="U499" s="472"/>
      <c r="V499" s="492"/>
      <c r="W499" s="472"/>
      <c r="X499" s="492"/>
      <c r="Y499" s="472"/>
      <c r="Z499" s="492"/>
      <c r="AA499" s="472"/>
      <c r="AB499" s="472"/>
      <c r="AC499" s="342"/>
      <c r="AD499" s="473"/>
    </row>
    <row r="500" spans="1:30" s="349" customFormat="1" ht="14.6">
      <c r="A500" s="514" t="s">
        <v>239</v>
      </c>
      <c r="B500" s="359"/>
      <c r="C500" s="504"/>
      <c r="D500" s="359"/>
      <c r="E500" s="472"/>
      <c r="F500" s="359"/>
      <c r="G500" s="471"/>
      <c r="H500" s="492"/>
      <c r="I500" s="472"/>
      <c r="J500" s="492"/>
      <c r="K500" s="472"/>
      <c r="L500" s="492"/>
      <c r="M500" s="472"/>
      <c r="N500" s="492"/>
      <c r="O500" s="472"/>
      <c r="P500" s="492"/>
      <c r="Q500" s="472"/>
      <c r="R500" s="492"/>
      <c r="S500" s="472"/>
      <c r="T500" s="492"/>
      <c r="U500" s="472"/>
      <c r="V500" s="492"/>
      <c r="W500" s="472"/>
      <c r="X500" s="492"/>
      <c r="Y500" s="472"/>
      <c r="Z500" s="492"/>
      <c r="AA500" s="472"/>
      <c r="AB500" s="472"/>
      <c r="AC500" s="342"/>
      <c r="AD500" s="473"/>
    </row>
    <row r="501" spans="1:30" s="349" customFormat="1" ht="128.6">
      <c r="A501" s="469" t="s">
        <v>240</v>
      </c>
      <c r="B501" s="359"/>
      <c r="C501" s="504">
        <v>15000</v>
      </c>
      <c r="D501" s="359">
        <v>100</v>
      </c>
      <c r="E501" s="362">
        <f>D501*C501</f>
        <v>1500000</v>
      </c>
      <c r="F501" s="359">
        <v>100</v>
      </c>
      <c r="G501" s="362">
        <f>F501*C501</f>
        <v>1500000</v>
      </c>
      <c r="H501" s="492">
        <v>100</v>
      </c>
      <c r="I501" s="362">
        <f>H501*C501</f>
        <v>1500000</v>
      </c>
      <c r="J501" s="492">
        <v>100</v>
      </c>
      <c r="K501" s="362">
        <f>J501*C501</f>
        <v>1500000</v>
      </c>
      <c r="L501" s="492">
        <v>100</v>
      </c>
      <c r="M501" s="362">
        <f>L501*C501</f>
        <v>1500000</v>
      </c>
      <c r="N501" s="492">
        <v>100</v>
      </c>
      <c r="O501" s="362">
        <f>N501*C501</f>
        <v>1500000</v>
      </c>
      <c r="P501" s="491">
        <v>500</v>
      </c>
      <c r="Q501" s="362">
        <f>P501*C501</f>
        <v>7500000</v>
      </c>
      <c r="R501" s="491">
        <v>500</v>
      </c>
      <c r="S501" s="362">
        <f>R501*C501</f>
        <v>7500000</v>
      </c>
      <c r="T501" s="492">
        <v>500</v>
      </c>
      <c r="U501" s="362">
        <f>T501*C501</f>
        <v>7500000</v>
      </c>
      <c r="V501" s="492">
        <v>500</v>
      </c>
      <c r="W501" s="362">
        <f>V501*C501</f>
        <v>7500000</v>
      </c>
      <c r="X501" s="492">
        <v>500</v>
      </c>
      <c r="Y501" s="362">
        <f>X501*C501</f>
        <v>7500000</v>
      </c>
      <c r="Z501" s="492">
        <v>500</v>
      </c>
      <c r="AA501" s="362">
        <f>Z501*C501</f>
        <v>7500000</v>
      </c>
      <c r="AB501" s="361"/>
      <c r="AC501" s="342"/>
      <c r="AD501" s="348"/>
    </row>
    <row r="502" spans="1:30" s="349" customFormat="1">
      <c r="A502" s="469"/>
      <c r="B502" s="359"/>
      <c r="C502" s="504"/>
      <c r="D502" s="359"/>
      <c r="E502" s="362"/>
      <c r="F502" s="359"/>
      <c r="G502" s="362"/>
      <c r="H502" s="492"/>
      <c r="I502" s="362"/>
      <c r="J502" s="492"/>
      <c r="K502" s="362"/>
      <c r="L502" s="492"/>
      <c r="M502" s="362"/>
      <c r="N502" s="492"/>
      <c r="O502" s="362"/>
      <c r="P502" s="492"/>
      <c r="Q502" s="362"/>
      <c r="R502" s="492"/>
      <c r="S502" s="362"/>
      <c r="T502" s="492"/>
      <c r="U502" s="362"/>
      <c r="V502" s="492"/>
      <c r="W502" s="362"/>
      <c r="X502" s="492"/>
      <c r="Y502" s="362"/>
      <c r="Z502" s="492"/>
      <c r="AA502" s="362"/>
      <c r="AB502" s="361"/>
      <c r="AC502" s="342"/>
      <c r="AD502" s="348"/>
    </row>
    <row r="503" spans="1:30" s="479" customFormat="1">
      <c r="A503" s="474"/>
      <c r="B503" s="474"/>
      <c r="C503" s="505"/>
      <c r="D503" s="474">
        <v>7.0000000000000007E-2</v>
      </c>
      <c r="E503" s="475">
        <f>SUM(E501:E502)</f>
        <v>1500000</v>
      </c>
      <c r="F503" s="474">
        <v>7.0000000000000007E-2</v>
      </c>
      <c r="G503" s="475">
        <f>G501</f>
        <v>1500000</v>
      </c>
      <c r="H503" s="515">
        <v>7.0000000000000007E-2</v>
      </c>
      <c r="I503" s="475">
        <f>I501</f>
        <v>1500000</v>
      </c>
      <c r="J503" s="515">
        <v>7.0000000000000007E-2</v>
      </c>
      <c r="K503" s="475">
        <f>K501</f>
        <v>1500000</v>
      </c>
      <c r="L503" s="515">
        <v>7.0000000000000007E-2</v>
      </c>
      <c r="M503" s="475">
        <f>M501</f>
        <v>1500000</v>
      </c>
      <c r="N503" s="515">
        <v>7.0000000000000007E-2</v>
      </c>
      <c r="O503" s="475">
        <f>O501</f>
        <v>1500000</v>
      </c>
      <c r="P503" s="515">
        <v>7.0000000000000007E-2</v>
      </c>
      <c r="Q503" s="475">
        <f>Q501</f>
        <v>7500000</v>
      </c>
      <c r="R503" s="515">
        <v>7.0000000000000007E-2</v>
      </c>
      <c r="S503" s="475">
        <f>S501</f>
        <v>7500000</v>
      </c>
      <c r="T503" s="515">
        <v>7.0000000000000007E-2</v>
      </c>
      <c r="U503" s="475">
        <f>U501</f>
        <v>7500000</v>
      </c>
      <c r="V503" s="515">
        <v>7.0000000000000007E-2</v>
      </c>
      <c r="W503" s="475">
        <f>W501</f>
        <v>7500000</v>
      </c>
      <c r="X503" s="515">
        <v>7.0000000000000007E-2</v>
      </c>
      <c r="Y503" s="475">
        <f>Y501</f>
        <v>7500000</v>
      </c>
      <c r="Z503" s="515">
        <v>7.0000000000000007E-2</v>
      </c>
      <c r="AA503" s="475">
        <f>AA501</f>
        <v>7500000</v>
      </c>
      <c r="AB503" s="476"/>
      <c r="AC503" s="477"/>
      <c r="AD503" s="478"/>
    </row>
    <row r="504" spans="1:30" s="485" customFormat="1">
      <c r="A504" s="480"/>
      <c r="B504" s="480"/>
      <c r="C504" s="507"/>
      <c r="D504" s="480"/>
      <c r="E504" s="481">
        <f>E503*D503</f>
        <v>105000.00000000001</v>
      </c>
      <c r="F504" s="480"/>
      <c r="G504" s="482">
        <f>G503*F503</f>
        <v>105000.00000000001</v>
      </c>
      <c r="H504" s="516"/>
      <c r="I504" s="481">
        <f>I503*H503</f>
        <v>105000.00000000001</v>
      </c>
      <c r="J504" s="516"/>
      <c r="K504" s="481">
        <f>K503*J503</f>
        <v>105000.00000000001</v>
      </c>
      <c r="L504" s="516"/>
      <c r="M504" s="481">
        <f>M503*L503</f>
        <v>105000.00000000001</v>
      </c>
      <c r="N504" s="516"/>
      <c r="O504" s="481">
        <f>O503*N503</f>
        <v>105000.00000000001</v>
      </c>
      <c r="P504" s="516"/>
      <c r="Q504" s="481">
        <f>Q503*P503</f>
        <v>525000</v>
      </c>
      <c r="R504" s="516"/>
      <c r="S504" s="481">
        <f>S503*R503</f>
        <v>525000</v>
      </c>
      <c r="T504" s="516"/>
      <c r="U504" s="481">
        <f>U503*T503</f>
        <v>525000</v>
      </c>
      <c r="V504" s="516"/>
      <c r="W504" s="481">
        <f>W503*V503</f>
        <v>525000</v>
      </c>
      <c r="X504" s="516"/>
      <c r="Y504" s="481">
        <f>Y503*X503</f>
        <v>525000</v>
      </c>
      <c r="Z504" s="516"/>
      <c r="AA504" s="481">
        <f>AA503*Z503</f>
        <v>525000</v>
      </c>
      <c r="AB504" s="481">
        <f>SUM(AA504,Y504,W504,U504,S504,Q504,O504,M504,K504,I504,G504,E504)</f>
        <v>3780000</v>
      </c>
      <c r="AC504" s="483"/>
      <c r="AD504" s="484"/>
    </row>
    <row r="505" spans="1:30" s="349" customFormat="1" ht="14.6">
      <c r="A505" s="514" t="s">
        <v>246</v>
      </c>
      <c r="B505" s="359"/>
      <c r="C505" s="504"/>
      <c r="D505" s="359"/>
      <c r="E505" s="472"/>
      <c r="F505" s="359"/>
      <c r="G505" s="471"/>
      <c r="H505" s="492"/>
      <c r="I505" s="472"/>
      <c r="J505" s="492"/>
      <c r="K505" s="472"/>
      <c r="L505" s="492"/>
      <c r="M505" s="472"/>
      <c r="N505" s="492"/>
      <c r="O505" s="472"/>
      <c r="P505" s="492"/>
      <c r="Q505" s="472"/>
      <c r="R505" s="492"/>
      <c r="S505" s="472"/>
      <c r="T505" s="492"/>
      <c r="U505" s="472"/>
      <c r="V505" s="492"/>
      <c r="W505" s="472"/>
      <c r="X505" s="492"/>
      <c r="Y505" s="472"/>
      <c r="Z505" s="492"/>
      <c r="AA505" s="472"/>
      <c r="AB505" s="472"/>
      <c r="AC505" s="342"/>
      <c r="AD505" s="473"/>
    </row>
    <row r="506" spans="1:30" s="349" customFormat="1" ht="77.150000000000006">
      <c r="A506" s="469" t="s">
        <v>247</v>
      </c>
      <c r="B506" s="359"/>
      <c r="C506" s="504">
        <v>15000</v>
      </c>
      <c r="D506" s="359">
        <v>100</v>
      </c>
      <c r="E506" s="362">
        <f>D506*C506</f>
        <v>1500000</v>
      </c>
      <c r="F506" s="359">
        <v>100</v>
      </c>
      <c r="G506" s="362">
        <f>F506*C506</f>
        <v>1500000</v>
      </c>
      <c r="H506" s="492">
        <v>100</v>
      </c>
      <c r="I506" s="362">
        <f>H506*C506</f>
        <v>1500000</v>
      </c>
      <c r="J506" s="492">
        <v>100</v>
      </c>
      <c r="K506" s="362">
        <f>J506*C506</f>
        <v>1500000</v>
      </c>
      <c r="L506" s="492">
        <v>100</v>
      </c>
      <c r="M506" s="362">
        <f>L506*C506</f>
        <v>1500000</v>
      </c>
      <c r="N506" s="492">
        <v>100</v>
      </c>
      <c r="O506" s="362">
        <f>N506*C506</f>
        <v>1500000</v>
      </c>
      <c r="P506" s="492">
        <v>500</v>
      </c>
      <c r="Q506" s="362">
        <f>P506*C506</f>
        <v>7500000</v>
      </c>
      <c r="R506" s="492">
        <v>500</v>
      </c>
      <c r="S506" s="362">
        <f>R506*C506</f>
        <v>7500000</v>
      </c>
      <c r="T506" s="492">
        <v>500</v>
      </c>
      <c r="U506" s="362">
        <f>T506*C506</f>
        <v>7500000</v>
      </c>
      <c r="V506" s="492">
        <v>500</v>
      </c>
      <c r="W506" s="362">
        <f>V506*C506</f>
        <v>7500000</v>
      </c>
      <c r="X506" s="492">
        <v>500</v>
      </c>
      <c r="Y506" s="362">
        <f>X506*C506</f>
        <v>7500000</v>
      </c>
      <c r="Z506" s="492">
        <v>500</v>
      </c>
      <c r="AA506" s="362">
        <f>Z506*C506</f>
        <v>7500000</v>
      </c>
      <c r="AB506" s="361"/>
      <c r="AC506" s="342"/>
      <c r="AD506" s="348"/>
    </row>
    <row r="507" spans="1:30" s="349" customFormat="1">
      <c r="A507" s="469"/>
      <c r="B507" s="359"/>
      <c r="C507" s="504"/>
      <c r="D507" s="359"/>
      <c r="E507" s="362"/>
      <c r="F507" s="359"/>
      <c r="G507" s="362"/>
      <c r="H507" s="492"/>
      <c r="I507" s="362"/>
      <c r="J507" s="492"/>
      <c r="K507" s="362"/>
      <c r="L507" s="492"/>
      <c r="M507" s="362"/>
      <c r="N507" s="492"/>
      <c r="O507" s="362"/>
      <c r="P507" s="492"/>
      <c r="Q507" s="362"/>
      <c r="R507" s="492"/>
      <c r="S507" s="362"/>
      <c r="T507" s="492"/>
      <c r="U507" s="362"/>
      <c r="V507" s="492"/>
      <c r="W507" s="362"/>
      <c r="X507" s="492"/>
      <c r="Y507" s="362"/>
      <c r="Z507" s="492"/>
      <c r="AA507" s="362"/>
      <c r="AB507" s="361"/>
      <c r="AC507" s="342"/>
      <c r="AD507" s="348"/>
    </row>
    <row r="508" spans="1:30" s="349" customFormat="1">
      <c r="A508" s="469"/>
      <c r="B508" s="359"/>
      <c r="C508" s="504"/>
      <c r="D508" s="359"/>
      <c r="E508" s="362"/>
      <c r="F508" s="359"/>
      <c r="G508" s="362"/>
      <c r="H508" s="492"/>
      <c r="I508" s="362"/>
      <c r="J508" s="492"/>
      <c r="K508" s="362"/>
      <c r="L508" s="492"/>
      <c r="M508" s="362"/>
      <c r="N508" s="492"/>
      <c r="O508" s="362"/>
      <c r="P508" s="492"/>
      <c r="Q508" s="362"/>
      <c r="R508" s="492"/>
      <c r="S508" s="362"/>
      <c r="T508" s="492"/>
      <c r="U508" s="362"/>
      <c r="V508" s="492"/>
      <c r="W508" s="362"/>
      <c r="X508" s="492"/>
      <c r="Y508" s="362"/>
      <c r="Z508" s="492"/>
      <c r="AA508" s="362"/>
      <c r="AB508" s="361"/>
      <c r="AC508" s="342"/>
      <c r="AD508" s="348"/>
    </row>
    <row r="509" spans="1:30" s="479" customFormat="1">
      <c r="A509" s="474"/>
      <c r="B509" s="474"/>
      <c r="C509" s="505"/>
      <c r="D509" s="474">
        <v>7.0000000000000007E-2</v>
      </c>
      <c r="E509" s="475">
        <f>E506</f>
        <v>1500000</v>
      </c>
      <c r="F509" s="474">
        <v>7.0000000000000007E-2</v>
      </c>
      <c r="G509" s="475">
        <f>G506</f>
        <v>1500000</v>
      </c>
      <c r="H509" s="515">
        <v>7.0000000000000007E-2</v>
      </c>
      <c r="I509" s="475">
        <f>I506</f>
        <v>1500000</v>
      </c>
      <c r="J509" s="515">
        <v>7.0000000000000007E-2</v>
      </c>
      <c r="K509" s="475">
        <f>K506</f>
        <v>1500000</v>
      </c>
      <c r="L509" s="515">
        <v>7.0000000000000007E-2</v>
      </c>
      <c r="M509" s="475">
        <f>M506</f>
        <v>1500000</v>
      </c>
      <c r="N509" s="515">
        <v>7.0000000000000007E-2</v>
      </c>
      <c r="O509" s="475">
        <f>O506</f>
        <v>1500000</v>
      </c>
      <c r="P509" s="515">
        <v>7.0000000000000007E-2</v>
      </c>
      <c r="Q509" s="475">
        <f>Q506</f>
        <v>7500000</v>
      </c>
      <c r="R509" s="515">
        <v>7.0000000000000007E-2</v>
      </c>
      <c r="S509" s="475">
        <f>S506</f>
        <v>7500000</v>
      </c>
      <c r="T509" s="515">
        <v>7.0000000000000007E-2</v>
      </c>
      <c r="U509" s="475">
        <f>U506</f>
        <v>7500000</v>
      </c>
      <c r="V509" s="515">
        <v>7.0000000000000007E-2</v>
      </c>
      <c r="W509" s="475">
        <f>W506</f>
        <v>7500000</v>
      </c>
      <c r="X509" s="515">
        <v>7.0000000000000007E-2</v>
      </c>
      <c r="Y509" s="475">
        <f>Y506</f>
        <v>7500000</v>
      </c>
      <c r="Z509" s="515">
        <v>7.0000000000000007E-2</v>
      </c>
      <c r="AA509" s="475">
        <f>AA506</f>
        <v>7500000</v>
      </c>
      <c r="AB509" s="476"/>
      <c r="AC509" s="477"/>
      <c r="AD509" s="478"/>
    </row>
    <row r="510" spans="1:30" s="485" customFormat="1">
      <c r="A510" s="480"/>
      <c r="B510" s="480"/>
      <c r="C510" s="507"/>
      <c r="D510" s="480"/>
      <c r="E510" s="481">
        <f>E509*D509</f>
        <v>105000.00000000001</v>
      </c>
      <c r="F510" s="480"/>
      <c r="G510" s="482">
        <f>G509*F509</f>
        <v>105000.00000000001</v>
      </c>
      <c r="H510" s="516"/>
      <c r="I510" s="481">
        <f>I509*H509</f>
        <v>105000.00000000001</v>
      </c>
      <c r="J510" s="516"/>
      <c r="K510" s="481">
        <f>K509*J509</f>
        <v>105000.00000000001</v>
      </c>
      <c r="L510" s="516"/>
      <c r="M510" s="481">
        <f>M509*L509</f>
        <v>105000.00000000001</v>
      </c>
      <c r="N510" s="516"/>
      <c r="O510" s="481">
        <f>O509*N509</f>
        <v>105000.00000000001</v>
      </c>
      <c r="P510" s="516"/>
      <c r="Q510" s="481">
        <f>Q509*P509</f>
        <v>525000</v>
      </c>
      <c r="R510" s="516"/>
      <c r="S510" s="481">
        <f>S509*R509</f>
        <v>525000</v>
      </c>
      <c r="T510" s="516"/>
      <c r="U510" s="481">
        <f>U509*T509</f>
        <v>525000</v>
      </c>
      <c r="V510" s="516"/>
      <c r="W510" s="481">
        <f>W509*V509</f>
        <v>525000</v>
      </c>
      <c r="X510" s="516"/>
      <c r="Y510" s="481">
        <f>Y509*X509</f>
        <v>525000</v>
      </c>
      <c r="Z510" s="516"/>
      <c r="AA510" s="481">
        <f>AA509*Z509</f>
        <v>525000</v>
      </c>
      <c r="AB510" s="481">
        <f>SUM(AA510,Y510,W510,U510,S510,Q510,O510,M510,K510,I510,G510,E510)</f>
        <v>3780000</v>
      </c>
      <c r="AC510" s="483"/>
      <c r="AD510" s="484"/>
    </row>
    <row r="511" spans="1:30" s="349" customFormat="1" ht="14.6">
      <c r="A511" s="514" t="s">
        <v>248</v>
      </c>
      <c r="B511" s="359"/>
      <c r="C511" s="504"/>
      <c r="D511" s="359"/>
      <c r="E511" s="472"/>
      <c r="F511" s="359"/>
      <c r="G511" s="471"/>
      <c r="H511" s="492"/>
      <c r="I511" s="472"/>
      <c r="J511" s="492"/>
      <c r="K511" s="472"/>
      <c r="L511" s="492"/>
      <c r="M511" s="472"/>
      <c r="N511" s="492"/>
      <c r="O511" s="472"/>
      <c r="P511" s="492"/>
      <c r="Q511" s="472"/>
      <c r="R511" s="492"/>
      <c r="S511" s="472"/>
      <c r="T511" s="492"/>
      <c r="U511" s="472"/>
      <c r="V511" s="492"/>
      <c r="W511" s="472"/>
      <c r="X511" s="492"/>
      <c r="Y511" s="472"/>
      <c r="Z511" s="492"/>
      <c r="AA511" s="472"/>
      <c r="AB511" s="472"/>
      <c r="AC511" s="342"/>
      <c r="AD511" s="473"/>
    </row>
    <row r="512" spans="1:30" s="349" customFormat="1" ht="90">
      <c r="A512" s="469" t="s">
        <v>249</v>
      </c>
      <c r="B512" s="359"/>
      <c r="C512" s="504">
        <v>15000</v>
      </c>
      <c r="D512" s="359">
        <v>100</v>
      </c>
      <c r="E512" s="362">
        <f>D512*C512</f>
        <v>1500000</v>
      </c>
      <c r="F512" s="359">
        <v>100</v>
      </c>
      <c r="G512" s="362">
        <f>F512*C512</f>
        <v>1500000</v>
      </c>
      <c r="H512" s="492">
        <v>100</v>
      </c>
      <c r="I512" s="362">
        <f>H512*C512</f>
        <v>1500000</v>
      </c>
      <c r="J512" s="492">
        <v>100</v>
      </c>
      <c r="K512" s="362">
        <f>J512*C512</f>
        <v>1500000</v>
      </c>
      <c r="L512" s="492">
        <v>100</v>
      </c>
      <c r="M512" s="362">
        <f>L512*C512</f>
        <v>1500000</v>
      </c>
      <c r="N512" s="492">
        <v>100</v>
      </c>
      <c r="O512" s="362">
        <f>N512*C512</f>
        <v>1500000</v>
      </c>
      <c r="P512" s="492">
        <v>500</v>
      </c>
      <c r="Q512" s="362">
        <f>P512*C512</f>
        <v>7500000</v>
      </c>
      <c r="R512" s="492">
        <v>500</v>
      </c>
      <c r="S512" s="362">
        <f>R512*C512</f>
        <v>7500000</v>
      </c>
      <c r="T512" s="492">
        <v>500</v>
      </c>
      <c r="U512" s="362">
        <f>T512*C512</f>
        <v>7500000</v>
      </c>
      <c r="V512" s="492">
        <v>500</v>
      </c>
      <c r="W512" s="362">
        <f>V512*C512</f>
        <v>7500000</v>
      </c>
      <c r="X512" s="492">
        <v>500</v>
      </c>
      <c r="Y512" s="362">
        <f>X512*C512</f>
        <v>7500000</v>
      </c>
      <c r="Z512" s="492">
        <v>500</v>
      </c>
      <c r="AA512" s="362">
        <f>Z512*C512</f>
        <v>7500000</v>
      </c>
      <c r="AB512" s="361"/>
      <c r="AC512" s="342"/>
      <c r="AD512" s="348"/>
    </row>
    <row r="513" spans="1:30" s="349" customFormat="1">
      <c r="A513" s="469"/>
      <c r="B513" s="359"/>
      <c r="C513" s="504"/>
      <c r="D513" s="359"/>
      <c r="E513" s="362"/>
      <c r="F513" s="359"/>
      <c r="G513" s="362"/>
      <c r="H513" s="492"/>
      <c r="I513" s="362"/>
      <c r="J513" s="492"/>
      <c r="K513" s="362"/>
      <c r="L513" s="492"/>
      <c r="M513" s="362"/>
      <c r="N513" s="492"/>
      <c r="O513" s="362"/>
      <c r="P513" s="492"/>
      <c r="Q513" s="362"/>
      <c r="R513" s="492"/>
      <c r="S513" s="362"/>
      <c r="T513" s="492"/>
      <c r="U513" s="362"/>
      <c r="V513" s="492"/>
      <c r="W513" s="362"/>
      <c r="X513" s="492"/>
      <c r="Y513" s="362"/>
      <c r="Z513" s="492"/>
      <c r="AA513" s="362"/>
      <c r="AB513" s="361"/>
      <c r="AC513" s="342"/>
      <c r="AD513" s="348"/>
    </row>
    <row r="514" spans="1:30" s="479" customFormat="1">
      <c r="A514" s="474"/>
      <c r="B514" s="474"/>
      <c r="C514" s="505"/>
      <c r="D514" s="474">
        <v>7.0000000000000007E-2</v>
      </c>
      <c r="E514" s="475">
        <f>E512</f>
        <v>1500000</v>
      </c>
      <c r="F514" s="474">
        <v>7.0000000000000007E-2</v>
      </c>
      <c r="G514" s="475">
        <f>G512</f>
        <v>1500000</v>
      </c>
      <c r="H514" s="515">
        <v>7.0000000000000007E-2</v>
      </c>
      <c r="I514" s="475">
        <f>I512</f>
        <v>1500000</v>
      </c>
      <c r="J514" s="515">
        <v>7.0000000000000007E-2</v>
      </c>
      <c r="K514" s="475">
        <f>K512</f>
        <v>1500000</v>
      </c>
      <c r="L514" s="515">
        <v>7.0000000000000007E-2</v>
      </c>
      <c r="M514" s="475">
        <f>M512</f>
        <v>1500000</v>
      </c>
      <c r="N514" s="515">
        <v>7.0000000000000007E-2</v>
      </c>
      <c r="O514" s="475">
        <f>O512</f>
        <v>1500000</v>
      </c>
      <c r="P514" s="515">
        <v>7.0000000000000007E-2</v>
      </c>
      <c r="Q514" s="475">
        <f>Q512</f>
        <v>7500000</v>
      </c>
      <c r="R514" s="515">
        <v>7.0000000000000007E-2</v>
      </c>
      <c r="S514" s="475">
        <f>S512</f>
        <v>7500000</v>
      </c>
      <c r="T514" s="515">
        <v>7.0000000000000007E-2</v>
      </c>
      <c r="U514" s="475">
        <f>U512</f>
        <v>7500000</v>
      </c>
      <c r="V514" s="515">
        <v>7.0000000000000007E-2</v>
      </c>
      <c r="W514" s="475">
        <f>W512</f>
        <v>7500000</v>
      </c>
      <c r="X514" s="515">
        <v>7.0000000000000007E-2</v>
      </c>
      <c r="Y514" s="475">
        <f>Y512</f>
        <v>7500000</v>
      </c>
      <c r="Z514" s="515">
        <v>7.0000000000000007E-2</v>
      </c>
      <c r="AA514" s="475">
        <f>AA512</f>
        <v>7500000</v>
      </c>
      <c r="AB514" s="476"/>
      <c r="AC514" s="477"/>
      <c r="AD514" s="478"/>
    </row>
    <row r="515" spans="1:30" s="485" customFormat="1">
      <c r="A515" s="480"/>
      <c r="B515" s="480"/>
      <c r="C515" s="507"/>
      <c r="D515" s="480"/>
      <c r="E515" s="481">
        <f>E514*D514</f>
        <v>105000.00000000001</v>
      </c>
      <c r="F515" s="480"/>
      <c r="G515" s="482">
        <f>G514*F514</f>
        <v>105000.00000000001</v>
      </c>
      <c r="H515" s="516"/>
      <c r="I515" s="481">
        <f>I514*H514</f>
        <v>105000.00000000001</v>
      </c>
      <c r="J515" s="516"/>
      <c r="K515" s="481">
        <f>K514*J514</f>
        <v>105000.00000000001</v>
      </c>
      <c r="L515" s="516"/>
      <c r="M515" s="481">
        <f>M514*L514</f>
        <v>105000.00000000001</v>
      </c>
      <c r="N515" s="516"/>
      <c r="O515" s="481">
        <f>O514*N514</f>
        <v>105000.00000000001</v>
      </c>
      <c r="P515" s="516"/>
      <c r="Q515" s="481">
        <f>Q514*P514</f>
        <v>525000</v>
      </c>
      <c r="R515" s="516"/>
      <c r="S515" s="481">
        <f>S514*R514</f>
        <v>525000</v>
      </c>
      <c r="T515" s="516"/>
      <c r="U515" s="481">
        <f>U514*T514</f>
        <v>525000</v>
      </c>
      <c r="V515" s="516"/>
      <c r="W515" s="481">
        <f>W514*V514</f>
        <v>525000</v>
      </c>
      <c r="X515" s="516"/>
      <c r="Y515" s="481">
        <f>Y514*X514</f>
        <v>525000</v>
      </c>
      <c r="Z515" s="516"/>
      <c r="AA515" s="481">
        <f>AA514*Z514</f>
        <v>525000</v>
      </c>
      <c r="AB515" s="481">
        <f>SUM(AA515,Y515,W515,U515,S515,Q515,O515,M515,K515,I515,G515,E515)</f>
        <v>3780000</v>
      </c>
      <c r="AC515" s="483"/>
      <c r="AD515" s="484"/>
    </row>
    <row r="516" spans="1:30" s="349" customFormat="1">
      <c r="A516" s="469"/>
      <c r="B516" s="359"/>
      <c r="C516" s="504"/>
      <c r="D516" s="359"/>
      <c r="E516" s="362"/>
      <c r="F516" s="359"/>
      <c r="G516" s="362"/>
      <c r="H516" s="492"/>
      <c r="I516" s="362"/>
      <c r="J516" s="492"/>
      <c r="K516" s="362"/>
      <c r="L516" s="492"/>
      <c r="M516" s="362"/>
      <c r="N516" s="492"/>
      <c r="O516" s="362"/>
      <c r="P516" s="492"/>
      <c r="Q516" s="362"/>
      <c r="R516" s="492"/>
      <c r="S516" s="362"/>
      <c r="T516" s="492"/>
      <c r="U516" s="362"/>
      <c r="V516" s="492"/>
      <c r="W516" s="362"/>
      <c r="X516" s="492"/>
      <c r="Y516" s="362"/>
      <c r="Z516" s="492"/>
      <c r="AA516" s="362"/>
      <c r="AB516" s="361"/>
      <c r="AC516" s="342"/>
      <c r="AD516" s="348"/>
    </row>
    <row r="517" spans="1:30" s="349" customFormat="1" ht="14.6">
      <c r="A517" s="514" t="s">
        <v>250</v>
      </c>
      <c r="B517" s="359"/>
      <c r="C517" s="504"/>
      <c r="D517" s="359"/>
      <c r="E517" s="472"/>
      <c r="F517" s="359"/>
      <c r="G517" s="471"/>
      <c r="H517" s="492"/>
      <c r="I517" s="472"/>
      <c r="J517" s="492"/>
      <c r="K517" s="472"/>
      <c r="L517" s="492"/>
      <c r="M517" s="472"/>
      <c r="N517" s="492"/>
      <c r="O517" s="472"/>
      <c r="P517" s="492"/>
      <c r="Q517" s="472"/>
      <c r="R517" s="492"/>
      <c r="S517" s="472"/>
      <c r="T517" s="492"/>
      <c r="U517" s="472"/>
      <c r="V517" s="492"/>
      <c r="W517" s="472"/>
      <c r="X517" s="492"/>
      <c r="Y517" s="472"/>
      <c r="Z517" s="492"/>
      <c r="AA517" s="472"/>
      <c r="AB517" s="472"/>
      <c r="AC517" s="342"/>
      <c r="AD517" s="473"/>
    </row>
    <row r="518" spans="1:30" s="349" customFormat="1" ht="64.3">
      <c r="A518" s="469" t="s">
        <v>251</v>
      </c>
      <c r="B518" s="359"/>
      <c r="C518" s="504">
        <v>15000</v>
      </c>
      <c r="D518" s="359">
        <v>100</v>
      </c>
      <c r="E518" s="362">
        <f>D518*C518</f>
        <v>1500000</v>
      </c>
      <c r="F518" s="359">
        <v>100</v>
      </c>
      <c r="G518" s="362">
        <f>F518*C518</f>
        <v>1500000</v>
      </c>
      <c r="H518" s="492">
        <v>100</v>
      </c>
      <c r="I518" s="362">
        <f>H518*C518</f>
        <v>1500000</v>
      </c>
      <c r="J518" s="492">
        <v>100</v>
      </c>
      <c r="K518" s="362">
        <f>J518*C518</f>
        <v>1500000</v>
      </c>
      <c r="L518" s="492">
        <v>100</v>
      </c>
      <c r="M518" s="362">
        <f>L518*C518</f>
        <v>1500000</v>
      </c>
      <c r="N518" s="492">
        <v>100</v>
      </c>
      <c r="O518" s="362">
        <f>N518*C518</f>
        <v>1500000</v>
      </c>
      <c r="P518" s="492">
        <v>500</v>
      </c>
      <c r="Q518" s="362">
        <f>P518*C518</f>
        <v>7500000</v>
      </c>
      <c r="R518" s="492">
        <v>500</v>
      </c>
      <c r="S518" s="362">
        <f>R518*C518</f>
        <v>7500000</v>
      </c>
      <c r="T518" s="492">
        <v>500</v>
      </c>
      <c r="U518" s="362">
        <f>T518*C518</f>
        <v>7500000</v>
      </c>
      <c r="V518" s="492">
        <v>500</v>
      </c>
      <c r="W518" s="362">
        <f>V518*C518</f>
        <v>7500000</v>
      </c>
      <c r="X518" s="492">
        <v>500</v>
      </c>
      <c r="Y518" s="362">
        <f>X518*C518</f>
        <v>7500000</v>
      </c>
      <c r="Z518" s="492">
        <v>500</v>
      </c>
      <c r="AA518" s="362">
        <f>Z518*C518</f>
        <v>7500000</v>
      </c>
      <c r="AB518" s="361"/>
      <c r="AC518" s="342"/>
      <c r="AD518" s="348"/>
    </row>
    <row r="519" spans="1:30" s="349" customFormat="1">
      <c r="A519" s="469"/>
      <c r="B519" s="359"/>
      <c r="C519" s="504"/>
      <c r="D519" s="359"/>
      <c r="E519" s="362"/>
      <c r="F519" s="359"/>
      <c r="G519" s="362"/>
      <c r="H519" s="492"/>
      <c r="I519" s="362"/>
      <c r="J519" s="492"/>
      <c r="K519" s="362"/>
      <c r="L519" s="492"/>
      <c r="M519" s="362"/>
      <c r="N519" s="492"/>
      <c r="O519" s="362"/>
      <c r="P519" s="492"/>
      <c r="Q519" s="362"/>
      <c r="R519" s="492"/>
      <c r="S519" s="362"/>
      <c r="T519" s="492"/>
      <c r="U519" s="362"/>
      <c r="V519" s="492"/>
      <c r="W519" s="362"/>
      <c r="X519" s="492"/>
      <c r="Y519" s="362"/>
      <c r="Z519" s="492"/>
      <c r="AA519" s="362"/>
      <c r="AB519" s="361"/>
      <c r="AC519" s="342"/>
      <c r="AD519" s="348"/>
    </row>
    <row r="520" spans="1:30" s="349" customFormat="1">
      <c r="A520" s="469"/>
      <c r="B520" s="359"/>
      <c r="C520" s="504"/>
      <c r="D520" s="359"/>
      <c r="E520" s="362"/>
      <c r="F520" s="359"/>
      <c r="G520" s="362"/>
      <c r="H520" s="492"/>
      <c r="I520" s="362"/>
      <c r="J520" s="492"/>
      <c r="K520" s="362"/>
      <c r="L520" s="492"/>
      <c r="M520" s="362"/>
      <c r="N520" s="492"/>
      <c r="O520" s="362"/>
      <c r="P520" s="492"/>
      <c r="Q520" s="362"/>
      <c r="R520" s="492"/>
      <c r="S520" s="362"/>
      <c r="T520" s="492"/>
      <c r="U520" s="362"/>
      <c r="V520" s="492"/>
      <c r="W520" s="362"/>
      <c r="X520" s="492"/>
      <c r="Y520" s="362"/>
      <c r="Z520" s="492"/>
      <c r="AA520" s="362"/>
      <c r="AB520" s="361"/>
      <c r="AC520" s="342"/>
      <c r="AD520" s="348"/>
    </row>
    <row r="521" spans="1:30" s="479" customFormat="1">
      <c r="A521" s="474"/>
      <c r="B521" s="474"/>
      <c r="C521" s="505"/>
      <c r="D521" s="474">
        <v>7.0000000000000007E-2</v>
      </c>
      <c r="E521" s="475">
        <f>E518</f>
        <v>1500000</v>
      </c>
      <c r="F521" s="474">
        <v>7.0000000000000007E-2</v>
      </c>
      <c r="G521" s="475">
        <f>G518</f>
        <v>1500000</v>
      </c>
      <c r="H521" s="515">
        <v>7.0000000000000007E-2</v>
      </c>
      <c r="I521" s="475">
        <f>I518</f>
        <v>1500000</v>
      </c>
      <c r="J521" s="515">
        <v>7.0000000000000007E-2</v>
      </c>
      <c r="K521" s="475">
        <f>K518</f>
        <v>1500000</v>
      </c>
      <c r="L521" s="515">
        <v>7.0000000000000007E-2</v>
      </c>
      <c r="M521" s="475">
        <f>M518</f>
        <v>1500000</v>
      </c>
      <c r="N521" s="515">
        <v>7.0000000000000007E-2</v>
      </c>
      <c r="O521" s="475">
        <f>O518</f>
        <v>1500000</v>
      </c>
      <c r="P521" s="515">
        <v>7.0000000000000007E-2</v>
      </c>
      <c r="Q521" s="475">
        <f>Q518</f>
        <v>7500000</v>
      </c>
      <c r="R521" s="515">
        <v>7.0000000000000007E-2</v>
      </c>
      <c r="S521" s="475">
        <f>S518</f>
        <v>7500000</v>
      </c>
      <c r="T521" s="515">
        <v>7.0000000000000007E-2</v>
      </c>
      <c r="U521" s="475">
        <f>U518</f>
        <v>7500000</v>
      </c>
      <c r="V521" s="515">
        <v>7.0000000000000007E-2</v>
      </c>
      <c r="W521" s="475">
        <f>W518</f>
        <v>7500000</v>
      </c>
      <c r="X521" s="515">
        <v>7.0000000000000007E-2</v>
      </c>
      <c r="Y521" s="475">
        <f>Y518</f>
        <v>7500000</v>
      </c>
      <c r="Z521" s="515">
        <v>7.0000000000000007E-2</v>
      </c>
      <c r="AA521" s="475">
        <f>AA518</f>
        <v>7500000</v>
      </c>
      <c r="AB521" s="476"/>
      <c r="AC521" s="477"/>
      <c r="AD521" s="478"/>
    </row>
    <row r="522" spans="1:30" s="485" customFormat="1">
      <c r="A522" s="480"/>
      <c r="B522" s="480"/>
      <c r="C522" s="507"/>
      <c r="D522" s="480"/>
      <c r="E522" s="481">
        <f>E521*D521</f>
        <v>105000.00000000001</v>
      </c>
      <c r="F522" s="480"/>
      <c r="G522" s="482">
        <f>G521*F521</f>
        <v>105000.00000000001</v>
      </c>
      <c r="H522" s="516"/>
      <c r="I522" s="481">
        <f>I521*H521</f>
        <v>105000.00000000001</v>
      </c>
      <c r="J522" s="516"/>
      <c r="K522" s="481">
        <f>K521*J521</f>
        <v>105000.00000000001</v>
      </c>
      <c r="L522" s="516"/>
      <c r="M522" s="481">
        <f>M521*L521</f>
        <v>105000.00000000001</v>
      </c>
      <c r="N522" s="516"/>
      <c r="O522" s="481">
        <f>O521*N521</f>
        <v>105000.00000000001</v>
      </c>
      <c r="P522" s="516"/>
      <c r="Q522" s="481">
        <f>Q521*P521</f>
        <v>525000</v>
      </c>
      <c r="R522" s="516"/>
      <c r="S522" s="481">
        <f>S521*R521</f>
        <v>525000</v>
      </c>
      <c r="T522" s="516"/>
      <c r="U522" s="481">
        <f>U521*T521</f>
        <v>525000</v>
      </c>
      <c r="V522" s="516"/>
      <c r="W522" s="481">
        <f>W521*V521</f>
        <v>525000</v>
      </c>
      <c r="X522" s="516"/>
      <c r="Y522" s="481">
        <f>Y521*X521</f>
        <v>525000</v>
      </c>
      <c r="Z522" s="516"/>
      <c r="AA522" s="481">
        <f>AA521*Z521</f>
        <v>525000</v>
      </c>
      <c r="AB522" s="481">
        <f>SUM(AA522,Y522,W522,U522,S522,Q522,O522,M522,K522,I522,G522,E522)</f>
        <v>3780000</v>
      </c>
      <c r="AC522" s="483"/>
      <c r="AD522" s="484"/>
    </row>
    <row r="523" spans="1:30" s="349" customFormat="1" ht="14.6">
      <c r="A523" s="514" t="s">
        <v>252</v>
      </c>
      <c r="B523" s="359"/>
      <c r="C523" s="504"/>
      <c r="D523" s="359"/>
      <c r="E523" s="472"/>
      <c r="F523" s="359"/>
      <c r="G523" s="471"/>
      <c r="H523" s="492"/>
      <c r="I523" s="472"/>
      <c r="J523" s="492"/>
      <c r="K523" s="472"/>
      <c r="L523" s="492"/>
      <c r="M523" s="472"/>
      <c r="N523" s="492"/>
      <c r="O523" s="472"/>
      <c r="P523" s="492"/>
      <c r="Q523" s="472"/>
      <c r="R523" s="492"/>
      <c r="S523" s="472"/>
      <c r="T523" s="492"/>
      <c r="U523" s="472"/>
      <c r="V523" s="492"/>
      <c r="W523" s="472"/>
      <c r="X523" s="492"/>
      <c r="Y523" s="472"/>
      <c r="Z523" s="492"/>
      <c r="AA523" s="472"/>
      <c r="AB523" s="472"/>
      <c r="AC523" s="342"/>
      <c r="AD523" s="473"/>
    </row>
    <row r="524" spans="1:30" s="349" customFormat="1" ht="192.9">
      <c r="A524" s="469" t="s">
        <v>253</v>
      </c>
      <c r="B524" s="359"/>
      <c r="C524" s="504">
        <v>15000</v>
      </c>
      <c r="D524" s="359">
        <v>100</v>
      </c>
      <c r="E524" s="362">
        <f>D524*C524</f>
        <v>1500000</v>
      </c>
      <c r="F524" s="359">
        <v>100</v>
      </c>
      <c r="G524" s="362">
        <f>F524*C524</f>
        <v>1500000</v>
      </c>
      <c r="H524" s="492">
        <v>100</v>
      </c>
      <c r="I524" s="362">
        <f>H524*C524</f>
        <v>1500000</v>
      </c>
      <c r="J524" s="492">
        <v>100</v>
      </c>
      <c r="K524" s="362">
        <f>J524*C524</f>
        <v>1500000</v>
      </c>
      <c r="L524" s="492">
        <v>100</v>
      </c>
      <c r="M524" s="362">
        <f>L524*C524</f>
        <v>1500000</v>
      </c>
      <c r="N524" s="492">
        <v>100</v>
      </c>
      <c r="O524" s="362">
        <f>N524*C524</f>
        <v>1500000</v>
      </c>
      <c r="P524" s="492">
        <v>500</v>
      </c>
      <c r="Q524" s="362">
        <f>P524*C524</f>
        <v>7500000</v>
      </c>
      <c r="R524" s="492">
        <v>500</v>
      </c>
      <c r="S524" s="362">
        <f>R524*C524</f>
        <v>7500000</v>
      </c>
      <c r="T524" s="492">
        <v>500</v>
      </c>
      <c r="U524" s="362">
        <f>T524*C524</f>
        <v>7500000</v>
      </c>
      <c r="V524" s="492">
        <v>500</v>
      </c>
      <c r="W524" s="362">
        <f>V524*C524</f>
        <v>7500000</v>
      </c>
      <c r="X524" s="492">
        <v>500</v>
      </c>
      <c r="Y524" s="362">
        <f>X524*C524</f>
        <v>7500000</v>
      </c>
      <c r="Z524" s="492">
        <v>500</v>
      </c>
      <c r="AA524" s="362">
        <f>Z524*C524</f>
        <v>7500000</v>
      </c>
      <c r="AB524" s="361"/>
      <c r="AC524" s="342"/>
      <c r="AD524" s="348"/>
    </row>
    <row r="525" spans="1:30" s="349" customFormat="1">
      <c r="A525" s="469"/>
      <c r="B525" s="359"/>
      <c r="C525" s="504"/>
      <c r="D525" s="359"/>
      <c r="E525" s="362"/>
      <c r="F525" s="359"/>
      <c r="G525" s="362"/>
      <c r="H525" s="492"/>
      <c r="I525" s="362"/>
      <c r="J525" s="492"/>
      <c r="K525" s="362"/>
      <c r="L525" s="492"/>
      <c r="M525" s="362"/>
      <c r="N525" s="492"/>
      <c r="O525" s="362"/>
      <c r="P525" s="492"/>
      <c r="Q525" s="362"/>
      <c r="R525" s="492"/>
      <c r="S525" s="362"/>
      <c r="T525" s="492"/>
      <c r="U525" s="362"/>
      <c r="V525" s="492"/>
      <c r="W525" s="362"/>
      <c r="X525" s="492"/>
      <c r="Y525" s="362"/>
      <c r="Z525" s="492"/>
      <c r="AA525" s="362"/>
      <c r="AB525" s="361"/>
      <c r="AC525" s="342"/>
      <c r="AD525" s="348"/>
    </row>
    <row r="526" spans="1:30" s="479" customFormat="1">
      <c r="A526" s="474"/>
      <c r="B526" s="474"/>
      <c r="C526" s="505"/>
      <c r="D526" s="474">
        <v>7.0000000000000007E-2</v>
      </c>
      <c r="E526" s="475">
        <f>E524</f>
        <v>1500000</v>
      </c>
      <c r="F526" s="474">
        <v>7.0000000000000007E-2</v>
      </c>
      <c r="G526" s="475">
        <f>G524</f>
        <v>1500000</v>
      </c>
      <c r="H526" s="515">
        <v>7.0000000000000007E-2</v>
      </c>
      <c r="I526" s="475">
        <f>I524</f>
        <v>1500000</v>
      </c>
      <c r="J526" s="515">
        <v>7.0000000000000007E-2</v>
      </c>
      <c r="K526" s="475">
        <f>K524</f>
        <v>1500000</v>
      </c>
      <c r="L526" s="515">
        <v>7.0000000000000007E-2</v>
      </c>
      <c r="M526" s="475">
        <f>M524</f>
        <v>1500000</v>
      </c>
      <c r="N526" s="515">
        <v>7.0000000000000007E-2</v>
      </c>
      <c r="O526" s="475">
        <f>O524</f>
        <v>1500000</v>
      </c>
      <c r="P526" s="515">
        <v>7.0000000000000007E-2</v>
      </c>
      <c r="Q526" s="475">
        <f>Q524</f>
        <v>7500000</v>
      </c>
      <c r="R526" s="515">
        <v>7.0000000000000007E-2</v>
      </c>
      <c r="S526" s="475">
        <f>S524</f>
        <v>7500000</v>
      </c>
      <c r="T526" s="515">
        <v>7.0000000000000007E-2</v>
      </c>
      <c r="U526" s="475">
        <f>U524</f>
        <v>7500000</v>
      </c>
      <c r="V526" s="515">
        <v>7.0000000000000007E-2</v>
      </c>
      <c r="W526" s="475">
        <f>W524</f>
        <v>7500000</v>
      </c>
      <c r="X526" s="515">
        <v>7.0000000000000007E-2</v>
      </c>
      <c r="Y526" s="475">
        <f>Y524</f>
        <v>7500000</v>
      </c>
      <c r="Z526" s="515">
        <v>7.0000000000000007E-2</v>
      </c>
      <c r="AA526" s="475">
        <f>AA524</f>
        <v>7500000</v>
      </c>
      <c r="AB526" s="476"/>
      <c r="AC526" s="477"/>
      <c r="AD526" s="478"/>
    </row>
    <row r="527" spans="1:30" s="485" customFormat="1">
      <c r="A527" s="480"/>
      <c r="B527" s="480"/>
      <c r="C527" s="507"/>
      <c r="D527" s="480"/>
      <c r="E527" s="481">
        <f>E526*D526</f>
        <v>105000.00000000001</v>
      </c>
      <c r="F527" s="480"/>
      <c r="G527" s="482">
        <f>G526*F526</f>
        <v>105000.00000000001</v>
      </c>
      <c r="H527" s="516"/>
      <c r="I527" s="481">
        <f>I526*H526</f>
        <v>105000.00000000001</v>
      </c>
      <c r="J527" s="516"/>
      <c r="K527" s="481">
        <f>K526*J526</f>
        <v>105000.00000000001</v>
      </c>
      <c r="L527" s="516"/>
      <c r="M527" s="481">
        <f>M526*L526</f>
        <v>105000.00000000001</v>
      </c>
      <c r="N527" s="516"/>
      <c r="O527" s="481">
        <f>O526*N526</f>
        <v>105000.00000000001</v>
      </c>
      <c r="P527" s="516"/>
      <c r="Q527" s="481">
        <f>Q526*P526</f>
        <v>525000</v>
      </c>
      <c r="R527" s="516"/>
      <c r="S527" s="481">
        <f>S526*R526</f>
        <v>525000</v>
      </c>
      <c r="T527" s="516"/>
      <c r="U527" s="481">
        <f>U526*T526</f>
        <v>525000</v>
      </c>
      <c r="V527" s="516"/>
      <c r="W527" s="481">
        <f>W526*V526</f>
        <v>525000</v>
      </c>
      <c r="X527" s="516"/>
      <c r="Y527" s="481">
        <f>Y526*X526</f>
        <v>525000</v>
      </c>
      <c r="Z527" s="516"/>
      <c r="AA527" s="481">
        <f>AA526*Z526</f>
        <v>525000</v>
      </c>
      <c r="AB527" s="481">
        <f>SUM(AA527,Y527,W527,U527,S527,Q527,O527,M527,K527,I527,G527,E527)</f>
        <v>3780000</v>
      </c>
      <c r="AC527" s="483"/>
      <c r="AD527" s="484"/>
    </row>
    <row r="528" spans="1:30" s="349" customFormat="1" ht="14.6">
      <c r="A528" s="514" t="s">
        <v>241</v>
      </c>
      <c r="B528" s="359"/>
      <c r="C528" s="504"/>
      <c r="D528" s="359"/>
      <c r="E528" s="362"/>
      <c r="F528" s="359"/>
      <c r="G528" s="362"/>
      <c r="H528" s="492"/>
      <c r="I528" s="362"/>
      <c r="J528" s="492"/>
      <c r="K528" s="362"/>
      <c r="L528" s="492"/>
      <c r="M528" s="362"/>
      <c r="N528" s="492"/>
      <c r="O528" s="362"/>
      <c r="P528" s="492"/>
      <c r="Q528" s="362"/>
      <c r="R528" s="492"/>
      <c r="S528" s="362"/>
      <c r="T528" s="492"/>
      <c r="U528" s="362"/>
      <c r="V528" s="492"/>
      <c r="W528" s="362"/>
      <c r="X528" s="492"/>
      <c r="Y528" s="362"/>
      <c r="Z528" s="492"/>
      <c r="AA528" s="362"/>
      <c r="AB528" s="361"/>
      <c r="AC528" s="342"/>
      <c r="AD528" s="348"/>
    </row>
    <row r="529" spans="1:30" s="349" customFormat="1" ht="180">
      <c r="A529" s="469" t="s">
        <v>242</v>
      </c>
      <c r="B529" s="359"/>
      <c r="C529" s="504">
        <v>4000</v>
      </c>
      <c r="D529" s="359">
        <v>200</v>
      </c>
      <c r="E529" s="362">
        <f>D529*C529</f>
        <v>800000</v>
      </c>
      <c r="F529" s="359">
        <v>200</v>
      </c>
      <c r="G529" s="362">
        <f>F529*C529</f>
        <v>800000</v>
      </c>
      <c r="H529" s="492">
        <v>200</v>
      </c>
      <c r="I529" s="362">
        <f>H529*C529</f>
        <v>800000</v>
      </c>
      <c r="J529" s="492">
        <v>200</v>
      </c>
      <c r="K529" s="362">
        <f>J529*C529</f>
        <v>800000</v>
      </c>
      <c r="L529" s="492">
        <v>200</v>
      </c>
      <c r="M529" s="362">
        <f>L529*C529</f>
        <v>800000</v>
      </c>
      <c r="N529" s="492">
        <v>200</v>
      </c>
      <c r="O529" s="362">
        <f>N529*C529</f>
        <v>800000</v>
      </c>
      <c r="P529" s="492">
        <v>400</v>
      </c>
      <c r="Q529" s="362">
        <f>P529*C529</f>
        <v>1600000</v>
      </c>
      <c r="R529" s="492">
        <v>400</v>
      </c>
      <c r="S529" s="362">
        <f>R529*C529</f>
        <v>1600000</v>
      </c>
      <c r="T529" s="492">
        <v>400</v>
      </c>
      <c r="U529" s="362">
        <f>T529*C529</f>
        <v>1600000</v>
      </c>
      <c r="V529" s="492">
        <v>400</v>
      </c>
      <c r="W529" s="362">
        <f>V529*C529</f>
        <v>1600000</v>
      </c>
      <c r="X529" s="492">
        <v>400</v>
      </c>
      <c r="Y529" s="362">
        <f>X529*C529</f>
        <v>1600000</v>
      </c>
      <c r="Z529" s="492">
        <v>400</v>
      </c>
      <c r="AA529" s="362">
        <f>Z529*C529</f>
        <v>1600000</v>
      </c>
      <c r="AB529" s="361"/>
      <c r="AC529" s="342"/>
      <c r="AD529" s="348"/>
    </row>
    <row r="530" spans="1:30" s="349" customFormat="1">
      <c r="A530" s="469"/>
      <c r="B530" s="359"/>
      <c r="C530" s="504"/>
      <c r="D530" s="359"/>
      <c r="E530" s="362"/>
      <c r="F530" s="359"/>
      <c r="G530" s="362"/>
      <c r="H530" s="492"/>
      <c r="I530" s="362"/>
      <c r="J530" s="492"/>
      <c r="K530" s="362"/>
      <c r="L530" s="492"/>
      <c r="M530" s="362"/>
      <c r="N530" s="492"/>
      <c r="O530" s="362"/>
      <c r="P530" s="492"/>
      <c r="Q530" s="362"/>
      <c r="R530" s="492"/>
      <c r="S530" s="362"/>
      <c r="T530" s="492"/>
      <c r="U530" s="362"/>
      <c r="V530" s="492"/>
      <c r="W530" s="362"/>
      <c r="X530" s="492"/>
      <c r="Y530" s="362"/>
      <c r="Z530" s="492"/>
      <c r="AA530" s="362"/>
      <c r="AB530" s="361"/>
      <c r="AC530" s="342"/>
      <c r="AD530" s="348"/>
    </row>
    <row r="531" spans="1:30" s="479" customFormat="1">
      <c r="A531" s="474"/>
      <c r="B531" s="474"/>
      <c r="C531" s="505"/>
      <c r="D531" s="474">
        <v>7.0000000000000007E-2</v>
      </c>
      <c r="E531" s="475">
        <f>E529</f>
        <v>800000</v>
      </c>
      <c r="F531" s="474">
        <v>7.0000000000000007E-2</v>
      </c>
      <c r="G531" s="475">
        <f>G529</f>
        <v>800000</v>
      </c>
      <c r="H531" s="515">
        <v>7.0000000000000007E-2</v>
      </c>
      <c r="I531" s="475">
        <f>I529</f>
        <v>800000</v>
      </c>
      <c r="J531" s="515">
        <v>7.0000000000000007E-2</v>
      </c>
      <c r="K531" s="475">
        <f>K529</f>
        <v>800000</v>
      </c>
      <c r="L531" s="515">
        <v>7.0000000000000007E-2</v>
      </c>
      <c r="M531" s="475">
        <f>M529</f>
        <v>800000</v>
      </c>
      <c r="N531" s="515">
        <v>7.0000000000000007E-2</v>
      </c>
      <c r="O531" s="475">
        <f>O529</f>
        <v>800000</v>
      </c>
      <c r="P531" s="515">
        <v>7.0000000000000007E-2</v>
      </c>
      <c r="Q531" s="475">
        <f>Q529</f>
        <v>1600000</v>
      </c>
      <c r="R531" s="515">
        <v>7.0000000000000007E-2</v>
      </c>
      <c r="S531" s="475">
        <f>S529</f>
        <v>1600000</v>
      </c>
      <c r="T531" s="515">
        <v>7.0000000000000007E-2</v>
      </c>
      <c r="U531" s="475">
        <f>U529</f>
        <v>1600000</v>
      </c>
      <c r="V531" s="515">
        <v>7.0000000000000007E-2</v>
      </c>
      <c r="W531" s="475">
        <f>W529</f>
        <v>1600000</v>
      </c>
      <c r="X531" s="515">
        <v>7.0000000000000007E-2</v>
      </c>
      <c r="Y531" s="475">
        <f>Y529</f>
        <v>1600000</v>
      </c>
      <c r="Z531" s="515">
        <v>7.0000000000000007E-2</v>
      </c>
      <c r="AA531" s="475">
        <f>AA529</f>
        <v>1600000</v>
      </c>
      <c r="AB531" s="476"/>
      <c r="AC531" s="477"/>
      <c r="AD531" s="478"/>
    </row>
    <row r="532" spans="1:30" s="485" customFormat="1">
      <c r="A532" s="480"/>
      <c r="B532" s="480"/>
      <c r="C532" s="507"/>
      <c r="D532" s="480"/>
      <c r="E532" s="481">
        <f>E531*D531</f>
        <v>56000.000000000007</v>
      </c>
      <c r="F532" s="480"/>
      <c r="G532" s="482">
        <f>G531*F531</f>
        <v>56000.000000000007</v>
      </c>
      <c r="H532" s="516"/>
      <c r="I532" s="481">
        <f>I531*H531</f>
        <v>56000.000000000007</v>
      </c>
      <c r="J532" s="516"/>
      <c r="K532" s="481">
        <f>K531*J531</f>
        <v>56000.000000000007</v>
      </c>
      <c r="L532" s="516"/>
      <c r="M532" s="481">
        <f>M531*L531</f>
        <v>56000.000000000007</v>
      </c>
      <c r="N532" s="516"/>
      <c r="O532" s="481">
        <f>O531*N531</f>
        <v>56000.000000000007</v>
      </c>
      <c r="P532" s="516"/>
      <c r="Q532" s="481">
        <f>Q531*P531</f>
        <v>112000.00000000001</v>
      </c>
      <c r="R532" s="516"/>
      <c r="S532" s="481">
        <f>S531*R531</f>
        <v>112000.00000000001</v>
      </c>
      <c r="T532" s="516"/>
      <c r="U532" s="481">
        <f>U531*T531</f>
        <v>112000.00000000001</v>
      </c>
      <c r="V532" s="516"/>
      <c r="W532" s="481">
        <f>W531*V531</f>
        <v>112000.00000000001</v>
      </c>
      <c r="X532" s="516"/>
      <c r="Y532" s="481">
        <f>Y531*X531</f>
        <v>112000.00000000001</v>
      </c>
      <c r="Z532" s="516"/>
      <c r="AA532" s="481">
        <f>AA531*Z531</f>
        <v>112000.00000000001</v>
      </c>
      <c r="AB532" s="481">
        <f>SUM(AA532,Y532,W532,U532,S532,Q532,O532,M532,K532,I532,G532,E532)</f>
        <v>1008000.0000000001</v>
      </c>
      <c r="AC532" s="483"/>
      <c r="AD532" s="484"/>
    </row>
    <row r="533" spans="1:30" s="349" customFormat="1">
      <c r="A533" s="364"/>
      <c r="B533" s="359"/>
      <c r="C533" s="504"/>
      <c r="D533" s="359"/>
      <c r="E533" s="472"/>
      <c r="F533" s="359"/>
      <c r="G533" s="471"/>
      <c r="H533" s="492"/>
      <c r="I533" s="472"/>
      <c r="J533" s="492"/>
      <c r="K533" s="472"/>
      <c r="L533" s="492"/>
      <c r="M533" s="472"/>
      <c r="N533" s="492"/>
      <c r="O533" s="472"/>
      <c r="P533" s="492"/>
      <c r="Q533" s="472"/>
      <c r="R533" s="492"/>
      <c r="S533" s="472"/>
      <c r="T533" s="492"/>
      <c r="U533" s="472"/>
      <c r="V533" s="492"/>
      <c r="W533" s="472"/>
      <c r="X533" s="492"/>
      <c r="Y533" s="472"/>
      <c r="Z533" s="492"/>
      <c r="AA533" s="472"/>
      <c r="AB533" s="472"/>
      <c r="AC533" s="342"/>
      <c r="AD533" s="473"/>
    </row>
    <row r="534" spans="1:30" s="349" customFormat="1" ht="14.6">
      <c r="A534" s="514" t="s">
        <v>212</v>
      </c>
      <c r="B534" s="359"/>
      <c r="C534" s="504"/>
      <c r="D534" s="359"/>
      <c r="E534" s="362"/>
      <c r="F534" s="359"/>
      <c r="G534" s="362"/>
      <c r="H534" s="492"/>
      <c r="I534" s="362"/>
      <c r="J534" s="492"/>
      <c r="K534" s="362"/>
      <c r="L534" s="492"/>
      <c r="M534" s="362"/>
      <c r="N534" s="492"/>
      <c r="O534" s="362"/>
      <c r="P534" s="492"/>
      <c r="Q534" s="362"/>
      <c r="R534" s="492"/>
      <c r="S534" s="362"/>
      <c r="T534" s="492"/>
      <c r="U534" s="362"/>
      <c r="V534" s="492"/>
      <c r="W534" s="362"/>
      <c r="X534" s="492"/>
      <c r="Y534" s="362"/>
      <c r="Z534" s="492"/>
      <c r="AA534" s="362"/>
      <c r="AB534" s="361"/>
      <c r="AC534" s="342"/>
      <c r="AD534" s="348"/>
    </row>
    <row r="535" spans="1:30" s="349" customFormat="1" ht="90">
      <c r="A535" s="469" t="s">
        <v>243</v>
      </c>
      <c r="B535" s="359">
        <v>100</v>
      </c>
      <c r="C535" s="504">
        <v>12000</v>
      </c>
      <c r="D535" s="359">
        <v>60</v>
      </c>
      <c r="E535" s="362">
        <f>D535*C535</f>
        <v>720000</v>
      </c>
      <c r="F535" s="359">
        <v>60</v>
      </c>
      <c r="G535" s="362">
        <f>F535*C535</f>
        <v>720000</v>
      </c>
      <c r="H535" s="492">
        <v>60</v>
      </c>
      <c r="I535" s="362">
        <f>H535*C535</f>
        <v>720000</v>
      </c>
      <c r="J535" s="492">
        <v>60</v>
      </c>
      <c r="K535" s="362">
        <f>J535*C535</f>
        <v>720000</v>
      </c>
      <c r="L535" s="492">
        <v>60</v>
      </c>
      <c r="M535" s="362">
        <f>L535*C535</f>
        <v>720000</v>
      </c>
      <c r="N535" s="492">
        <v>60</v>
      </c>
      <c r="O535" s="362">
        <f>N535*C535</f>
        <v>720000</v>
      </c>
      <c r="P535" s="492">
        <v>120</v>
      </c>
      <c r="Q535" s="362">
        <f>P535*C535</f>
        <v>1440000</v>
      </c>
      <c r="R535" s="492">
        <v>120</v>
      </c>
      <c r="S535" s="362">
        <f>R535*C535</f>
        <v>1440000</v>
      </c>
      <c r="T535" s="492">
        <v>120</v>
      </c>
      <c r="U535" s="362">
        <f>T535*C535</f>
        <v>1440000</v>
      </c>
      <c r="V535" s="492">
        <v>120</v>
      </c>
      <c r="W535" s="362">
        <f>V535*C535</f>
        <v>1440000</v>
      </c>
      <c r="X535" s="492">
        <v>120</v>
      </c>
      <c r="Y535" s="362">
        <f>X535*C535</f>
        <v>1440000</v>
      </c>
      <c r="Z535" s="492">
        <v>120</v>
      </c>
      <c r="AA535" s="362">
        <f>Z535*C535</f>
        <v>1440000</v>
      </c>
      <c r="AB535" s="361"/>
      <c r="AC535" s="342"/>
      <c r="AD535" s="348"/>
    </row>
    <row r="536" spans="1:30" s="349" customFormat="1">
      <c r="A536" s="359"/>
      <c r="B536" s="359"/>
      <c r="C536" s="504"/>
      <c r="D536" s="359"/>
      <c r="E536" s="362"/>
      <c r="F536" s="359"/>
      <c r="G536" s="362"/>
      <c r="H536" s="492"/>
      <c r="I536" s="362"/>
      <c r="J536" s="492"/>
      <c r="K536" s="362"/>
      <c r="L536" s="492"/>
      <c r="M536" s="362"/>
      <c r="N536" s="492"/>
      <c r="O536" s="362"/>
      <c r="P536" s="492"/>
      <c r="Q536" s="362"/>
      <c r="R536" s="492"/>
      <c r="S536" s="362"/>
      <c r="T536" s="492"/>
      <c r="U536" s="362"/>
      <c r="V536" s="492"/>
      <c r="W536" s="362"/>
      <c r="X536" s="492"/>
      <c r="Y536" s="362"/>
      <c r="Z536" s="492"/>
      <c r="AA536" s="362"/>
      <c r="AB536" s="360"/>
      <c r="AC536" s="342"/>
      <c r="AD536" s="348"/>
    </row>
    <row r="537" spans="1:30" s="479" customFormat="1">
      <c r="A537" s="474"/>
      <c r="B537" s="474"/>
      <c r="C537" s="505"/>
      <c r="D537" s="474">
        <v>7.0000000000000007E-2</v>
      </c>
      <c r="E537" s="475">
        <f>E535</f>
        <v>720000</v>
      </c>
      <c r="F537" s="474">
        <v>7.0000000000000007E-2</v>
      </c>
      <c r="G537" s="475">
        <f>G535</f>
        <v>720000</v>
      </c>
      <c r="H537" s="515">
        <v>7.0000000000000007E-2</v>
      </c>
      <c r="I537" s="475">
        <f>I535</f>
        <v>720000</v>
      </c>
      <c r="J537" s="515">
        <v>7.0000000000000007E-2</v>
      </c>
      <c r="K537" s="475">
        <f>K535</f>
        <v>720000</v>
      </c>
      <c r="L537" s="515">
        <v>7.0000000000000007E-2</v>
      </c>
      <c r="M537" s="475">
        <f>M535</f>
        <v>720000</v>
      </c>
      <c r="N537" s="515">
        <v>7.0000000000000007E-2</v>
      </c>
      <c r="O537" s="475">
        <f>O535</f>
        <v>720000</v>
      </c>
      <c r="P537" s="515">
        <v>7.0000000000000007E-2</v>
      </c>
      <c r="Q537" s="475">
        <f>Q535</f>
        <v>1440000</v>
      </c>
      <c r="R537" s="515">
        <v>7.0000000000000007E-2</v>
      </c>
      <c r="S537" s="475">
        <f>S535</f>
        <v>1440000</v>
      </c>
      <c r="T537" s="515">
        <v>7.0000000000000007E-2</v>
      </c>
      <c r="U537" s="475">
        <f>U535</f>
        <v>1440000</v>
      </c>
      <c r="V537" s="515">
        <v>7.0000000000000007E-2</v>
      </c>
      <c r="W537" s="475">
        <f>W535</f>
        <v>1440000</v>
      </c>
      <c r="X537" s="515">
        <v>7.0000000000000007E-2</v>
      </c>
      <c r="Y537" s="475">
        <f>Y535</f>
        <v>1440000</v>
      </c>
      <c r="Z537" s="515">
        <v>7.0000000000000007E-2</v>
      </c>
      <c r="AA537" s="475">
        <f>AA535</f>
        <v>1440000</v>
      </c>
      <c r="AB537" s="476"/>
      <c r="AC537" s="477"/>
      <c r="AD537" s="478"/>
    </row>
    <row r="538" spans="1:30" s="485" customFormat="1">
      <c r="A538" s="480"/>
      <c r="B538" s="480"/>
      <c r="C538" s="507"/>
      <c r="D538" s="480"/>
      <c r="E538" s="481">
        <f>E537*D537</f>
        <v>50400.000000000007</v>
      </c>
      <c r="F538" s="480"/>
      <c r="G538" s="482">
        <f>G537*F537</f>
        <v>50400.000000000007</v>
      </c>
      <c r="H538" s="516"/>
      <c r="I538" s="481">
        <f>I537*H537</f>
        <v>50400.000000000007</v>
      </c>
      <c r="J538" s="516"/>
      <c r="K538" s="481">
        <f>K537*J537</f>
        <v>50400.000000000007</v>
      </c>
      <c r="L538" s="516"/>
      <c r="M538" s="481">
        <f>M537*L537</f>
        <v>50400.000000000007</v>
      </c>
      <c r="N538" s="516"/>
      <c r="O538" s="481">
        <f>O537*N537</f>
        <v>50400.000000000007</v>
      </c>
      <c r="P538" s="516"/>
      <c r="Q538" s="481">
        <f>Q537*P537</f>
        <v>100800.00000000001</v>
      </c>
      <c r="R538" s="516"/>
      <c r="S538" s="481">
        <f>S537*R537</f>
        <v>100800.00000000001</v>
      </c>
      <c r="T538" s="516"/>
      <c r="U538" s="481">
        <f>U537*T537</f>
        <v>100800.00000000001</v>
      </c>
      <c r="V538" s="516"/>
      <c r="W538" s="481">
        <f>W537*V537</f>
        <v>100800.00000000001</v>
      </c>
      <c r="X538" s="516"/>
      <c r="Y538" s="481">
        <f>Y537*X537</f>
        <v>100800.00000000001</v>
      </c>
      <c r="Z538" s="516"/>
      <c r="AA538" s="481">
        <f>AA537*Z537</f>
        <v>100800.00000000001</v>
      </c>
      <c r="AB538" s="481">
        <f>SUM(AA538,Y538,W538,U538,S538,Q538,O538,M538,K538,I538,G538,E538)</f>
        <v>907200.00000000012</v>
      </c>
      <c r="AC538" s="483"/>
      <c r="AD538" s="484"/>
    </row>
    <row r="539" spans="1:30" s="349" customFormat="1">
      <c r="A539" s="359"/>
      <c r="B539" s="359"/>
      <c r="C539" s="504"/>
      <c r="D539" s="359"/>
      <c r="E539" s="472"/>
      <c r="F539" s="359"/>
      <c r="G539" s="471"/>
      <c r="H539" s="492"/>
      <c r="I539" s="472"/>
      <c r="J539" s="492"/>
      <c r="K539" s="472"/>
      <c r="L539" s="492"/>
      <c r="M539" s="472"/>
      <c r="N539" s="492"/>
      <c r="O539" s="472"/>
      <c r="P539" s="492"/>
      <c r="Q539" s="472"/>
      <c r="R539" s="492"/>
      <c r="S539" s="472"/>
      <c r="T539" s="492"/>
      <c r="U539" s="472"/>
      <c r="V539" s="492"/>
      <c r="W539" s="472"/>
      <c r="X539" s="492"/>
      <c r="Y539" s="472"/>
      <c r="Z539" s="492"/>
      <c r="AA539" s="472"/>
      <c r="AB539" s="472"/>
      <c r="AC539" s="342"/>
      <c r="AD539" s="473"/>
    </row>
    <row r="540" spans="1:30" ht="14.6">
      <c r="A540" s="514" t="s">
        <v>244</v>
      </c>
      <c r="B540" s="359"/>
      <c r="C540" s="504"/>
      <c r="D540" s="359"/>
      <c r="E540" s="362"/>
      <c r="F540" s="359"/>
      <c r="G540" s="362"/>
      <c r="H540" s="492"/>
      <c r="I540" s="362"/>
      <c r="J540" s="492"/>
      <c r="K540" s="362"/>
      <c r="L540" s="492"/>
      <c r="M540" s="362"/>
      <c r="N540" s="492"/>
      <c r="O540" s="362"/>
      <c r="P540" s="492"/>
      <c r="Q540" s="362"/>
      <c r="R540" s="492"/>
      <c r="S540" s="362"/>
      <c r="T540" s="492"/>
      <c r="U540" s="362"/>
      <c r="V540" s="492"/>
      <c r="W540" s="362"/>
      <c r="X540" s="492"/>
      <c r="Y540" s="362"/>
      <c r="Z540" s="492"/>
      <c r="AA540" s="362"/>
      <c r="AB540" s="361"/>
      <c r="AD540" s="350"/>
    </row>
    <row r="541" spans="1:30" s="349" customFormat="1" ht="102.9">
      <c r="A541" s="469" t="s">
        <v>245</v>
      </c>
      <c r="B541" s="359"/>
      <c r="C541" s="504">
        <v>5000</v>
      </c>
      <c r="D541" s="359">
        <v>150</v>
      </c>
      <c r="E541" s="362">
        <f>D541*C541</f>
        <v>750000</v>
      </c>
      <c r="F541" s="359">
        <v>150</v>
      </c>
      <c r="G541" s="362">
        <f>F541*C541</f>
        <v>750000</v>
      </c>
      <c r="H541" s="492">
        <v>150</v>
      </c>
      <c r="I541" s="362">
        <f>H541*C541</f>
        <v>750000</v>
      </c>
      <c r="J541" s="492">
        <v>150</v>
      </c>
      <c r="K541" s="362">
        <f>J541*C541</f>
        <v>750000</v>
      </c>
      <c r="L541" s="492">
        <v>150</v>
      </c>
      <c r="M541" s="362">
        <f>L541*C541</f>
        <v>750000</v>
      </c>
      <c r="N541" s="492">
        <v>150</v>
      </c>
      <c r="O541" s="362">
        <f>N541*C541</f>
        <v>750000</v>
      </c>
      <c r="P541" s="492">
        <v>300</v>
      </c>
      <c r="Q541" s="362">
        <f>P541*C541</f>
        <v>1500000</v>
      </c>
      <c r="R541" s="492">
        <v>300</v>
      </c>
      <c r="S541" s="362">
        <f>R541*C541</f>
        <v>1500000</v>
      </c>
      <c r="T541" s="492">
        <v>300</v>
      </c>
      <c r="U541" s="362">
        <f>T541*C541</f>
        <v>1500000</v>
      </c>
      <c r="V541" s="492">
        <v>300</v>
      </c>
      <c r="W541" s="362">
        <f>V541*C541</f>
        <v>1500000</v>
      </c>
      <c r="X541" s="492">
        <v>300</v>
      </c>
      <c r="Y541" s="362">
        <f>X541*C541</f>
        <v>1500000</v>
      </c>
      <c r="Z541" s="492">
        <v>300</v>
      </c>
      <c r="AA541" s="362">
        <f>Z541*C541</f>
        <v>1500000</v>
      </c>
      <c r="AB541" s="361"/>
      <c r="AC541" s="342"/>
      <c r="AD541" s="348"/>
    </row>
    <row r="542" spans="1:30" s="349" customFormat="1">
      <c r="A542" s="359"/>
      <c r="B542" s="359"/>
      <c r="C542" s="504"/>
      <c r="D542" s="359"/>
      <c r="E542" s="362"/>
      <c r="F542" s="359"/>
      <c r="G542" s="362"/>
      <c r="H542" s="492"/>
      <c r="I542" s="362"/>
      <c r="J542" s="492"/>
      <c r="K542" s="362"/>
      <c r="L542" s="492"/>
      <c r="M542" s="362"/>
      <c r="N542" s="492"/>
      <c r="O542" s="362"/>
      <c r="P542" s="492"/>
      <c r="Q542" s="362"/>
      <c r="R542" s="492"/>
      <c r="S542" s="362"/>
      <c r="T542" s="492"/>
      <c r="U542" s="362"/>
      <c r="V542" s="492"/>
      <c r="W542" s="362"/>
      <c r="X542" s="492"/>
      <c r="Y542" s="362"/>
      <c r="Z542" s="492"/>
      <c r="AA542" s="362"/>
      <c r="AB542" s="360"/>
      <c r="AC542" s="342"/>
      <c r="AD542" s="348"/>
    </row>
    <row r="543" spans="1:30" s="479" customFormat="1">
      <c r="A543" s="474"/>
      <c r="B543" s="474"/>
      <c r="C543" s="505"/>
      <c r="D543" s="474">
        <v>7.0000000000000007E-2</v>
      </c>
      <c r="E543" s="475">
        <f>E541</f>
        <v>750000</v>
      </c>
      <c r="F543" s="474">
        <v>7.0000000000000007E-2</v>
      </c>
      <c r="G543" s="475">
        <f>G541</f>
        <v>750000</v>
      </c>
      <c r="H543" s="515">
        <v>7.0000000000000007E-2</v>
      </c>
      <c r="I543" s="475">
        <f>I541</f>
        <v>750000</v>
      </c>
      <c r="J543" s="515">
        <v>7.0000000000000007E-2</v>
      </c>
      <c r="K543" s="475">
        <f>K541</f>
        <v>750000</v>
      </c>
      <c r="L543" s="515">
        <v>7.0000000000000007E-2</v>
      </c>
      <c r="M543" s="475">
        <f>M541</f>
        <v>750000</v>
      </c>
      <c r="N543" s="515">
        <v>7.0000000000000007E-2</v>
      </c>
      <c r="O543" s="475">
        <f>O541</f>
        <v>750000</v>
      </c>
      <c r="P543" s="515">
        <v>7.0000000000000007E-2</v>
      </c>
      <c r="Q543" s="475">
        <f>Q541</f>
        <v>1500000</v>
      </c>
      <c r="R543" s="515">
        <v>7.0000000000000007E-2</v>
      </c>
      <c r="S543" s="475">
        <f>S541</f>
        <v>1500000</v>
      </c>
      <c r="T543" s="515">
        <v>7.0000000000000007E-2</v>
      </c>
      <c r="U543" s="475">
        <f>U541</f>
        <v>1500000</v>
      </c>
      <c r="V543" s="515">
        <v>7.0000000000000007E-2</v>
      </c>
      <c r="W543" s="475">
        <f>W541</f>
        <v>1500000</v>
      </c>
      <c r="X543" s="515">
        <v>7.0000000000000007E-2</v>
      </c>
      <c r="Y543" s="475">
        <f>Y541</f>
        <v>1500000</v>
      </c>
      <c r="Z543" s="515">
        <v>7.0000000000000007E-2</v>
      </c>
      <c r="AA543" s="475">
        <f>AA541</f>
        <v>1500000</v>
      </c>
      <c r="AB543" s="476"/>
      <c r="AC543" s="477"/>
      <c r="AD543" s="478"/>
    </row>
    <row r="544" spans="1:30" s="485" customFormat="1">
      <c r="A544" s="480"/>
      <c r="B544" s="480"/>
      <c r="C544" s="507"/>
      <c r="D544" s="480"/>
      <c r="E544" s="481">
        <f>E543*D543</f>
        <v>52500.000000000007</v>
      </c>
      <c r="F544" s="480"/>
      <c r="G544" s="482">
        <f>G543*F543</f>
        <v>52500.000000000007</v>
      </c>
      <c r="H544" s="516"/>
      <c r="I544" s="481">
        <f>I543*H543</f>
        <v>52500.000000000007</v>
      </c>
      <c r="J544" s="516"/>
      <c r="K544" s="481">
        <f>K543*J543</f>
        <v>52500.000000000007</v>
      </c>
      <c r="L544" s="516"/>
      <c r="M544" s="481">
        <f>M543*L543</f>
        <v>52500.000000000007</v>
      </c>
      <c r="N544" s="516"/>
      <c r="O544" s="481">
        <f>O543*N543</f>
        <v>52500.000000000007</v>
      </c>
      <c r="P544" s="516"/>
      <c r="Q544" s="481">
        <f>Q543*P543</f>
        <v>105000.00000000001</v>
      </c>
      <c r="R544" s="516"/>
      <c r="S544" s="481">
        <f>S543*R543</f>
        <v>105000.00000000001</v>
      </c>
      <c r="T544" s="516"/>
      <c r="U544" s="481">
        <f>U543*T543</f>
        <v>105000.00000000001</v>
      </c>
      <c r="V544" s="516"/>
      <c r="W544" s="481">
        <f>W543*V543</f>
        <v>105000.00000000001</v>
      </c>
      <c r="X544" s="516"/>
      <c r="Y544" s="481">
        <f>Y543*X543</f>
        <v>105000.00000000001</v>
      </c>
      <c r="Z544" s="516"/>
      <c r="AA544" s="481">
        <f>AA543*Z543</f>
        <v>105000.00000000001</v>
      </c>
      <c r="AB544" s="481">
        <f>SUM(AA544,Y544,W544,U544,S544,Q544,O544,M544,K544,I544,G544,E544)</f>
        <v>945000.00000000012</v>
      </c>
      <c r="AC544" s="483"/>
      <c r="AD544" s="484"/>
    </row>
    <row r="545" spans="1:30" s="349" customFormat="1">
      <c r="A545" s="364"/>
      <c r="B545" s="359"/>
      <c r="C545" s="504"/>
      <c r="D545" s="359"/>
      <c r="E545" s="472"/>
      <c r="F545" s="359"/>
      <c r="G545" s="471"/>
      <c r="H545" s="492"/>
      <c r="I545" s="472"/>
      <c r="J545" s="492"/>
      <c r="K545" s="472"/>
      <c r="L545" s="492"/>
      <c r="M545" s="472"/>
      <c r="N545" s="492"/>
      <c r="O545" s="472"/>
      <c r="P545" s="492"/>
      <c r="Q545" s="472"/>
      <c r="R545" s="492"/>
      <c r="S545" s="472"/>
      <c r="T545" s="492"/>
      <c r="U545" s="472"/>
      <c r="V545" s="492"/>
      <c r="W545" s="472"/>
      <c r="X545" s="492"/>
      <c r="Y545" s="472"/>
      <c r="Z545" s="492"/>
      <c r="AA545" s="472"/>
      <c r="AB545" s="472"/>
      <c r="AC545" s="342"/>
      <c r="AD545" s="473"/>
    </row>
    <row r="546" spans="1:30" s="349" customFormat="1" ht="14.6">
      <c r="A546" s="470" t="s">
        <v>254</v>
      </c>
      <c r="B546" s="359"/>
      <c r="C546" s="504"/>
      <c r="D546" s="359"/>
      <c r="E546" s="362"/>
      <c r="F546" s="359"/>
      <c r="G546" s="362"/>
      <c r="H546" s="492"/>
      <c r="I546" s="362"/>
      <c r="J546" s="492"/>
      <c r="K546" s="362"/>
      <c r="L546" s="492"/>
      <c r="M546" s="362"/>
      <c r="N546" s="492"/>
      <c r="O546" s="362"/>
      <c r="P546" s="492"/>
      <c r="Q546" s="362"/>
      <c r="R546" s="492"/>
      <c r="S546" s="362"/>
      <c r="T546" s="492"/>
      <c r="U546" s="362"/>
      <c r="V546" s="492"/>
      <c r="W546" s="362"/>
      <c r="X546" s="492"/>
      <c r="Y546" s="362"/>
      <c r="Z546" s="492"/>
      <c r="AA546" s="362"/>
      <c r="AB546" s="361"/>
      <c r="AC546" s="342"/>
      <c r="AD546" s="348"/>
    </row>
    <row r="547" spans="1:30" s="349" customFormat="1" ht="180">
      <c r="A547" s="469" t="s">
        <v>255</v>
      </c>
      <c r="B547" s="359"/>
      <c r="C547" s="504">
        <v>15000</v>
      </c>
      <c r="D547" s="359">
        <v>60</v>
      </c>
      <c r="E547" s="362">
        <f>D547*C547</f>
        <v>900000</v>
      </c>
      <c r="F547" s="359">
        <v>60</v>
      </c>
      <c r="G547" s="362">
        <f>F547*C547</f>
        <v>900000</v>
      </c>
      <c r="H547" s="492">
        <v>60</v>
      </c>
      <c r="I547" s="362">
        <f>H547*C547</f>
        <v>900000</v>
      </c>
      <c r="J547" s="492">
        <v>60</v>
      </c>
      <c r="K547" s="362">
        <f>J547*C547</f>
        <v>900000</v>
      </c>
      <c r="L547" s="492">
        <v>60</v>
      </c>
      <c r="M547" s="362">
        <f>L547*C547</f>
        <v>900000</v>
      </c>
      <c r="N547" s="492">
        <v>60</v>
      </c>
      <c r="O547" s="362">
        <f>N547*C547</f>
        <v>900000</v>
      </c>
      <c r="P547" s="492">
        <v>120</v>
      </c>
      <c r="Q547" s="362">
        <f>P547*C547</f>
        <v>1800000</v>
      </c>
      <c r="R547" s="492">
        <v>120</v>
      </c>
      <c r="S547" s="362">
        <f>R547*C547</f>
        <v>1800000</v>
      </c>
      <c r="T547" s="492">
        <v>120</v>
      </c>
      <c r="U547" s="362">
        <f>T547*C547</f>
        <v>1800000</v>
      </c>
      <c r="V547" s="492">
        <v>120</v>
      </c>
      <c r="W547" s="362">
        <f>V547*C547</f>
        <v>1800000</v>
      </c>
      <c r="X547" s="492">
        <v>120</v>
      </c>
      <c r="Y547" s="362">
        <f>X547*C547</f>
        <v>1800000</v>
      </c>
      <c r="Z547" s="492">
        <v>120</v>
      </c>
      <c r="AA547" s="362">
        <f>Z547*C547</f>
        <v>1800000</v>
      </c>
      <c r="AB547" s="361"/>
      <c r="AC547" s="342"/>
      <c r="AD547" s="348"/>
    </row>
    <row r="548" spans="1:30" s="349" customFormat="1">
      <c r="A548" s="359"/>
      <c r="B548" s="359"/>
      <c r="C548" s="504"/>
      <c r="D548" s="359"/>
      <c r="E548" s="362"/>
      <c r="F548" s="359"/>
      <c r="G548" s="362"/>
      <c r="H548" s="359"/>
      <c r="I548" s="362"/>
      <c r="J548" s="359"/>
      <c r="K548" s="362"/>
      <c r="L548" s="359"/>
      <c r="M548" s="362"/>
      <c r="N548" s="359"/>
      <c r="O548" s="362"/>
      <c r="P548" s="492"/>
      <c r="Q548" s="362"/>
      <c r="R548" s="492"/>
      <c r="S548" s="362"/>
      <c r="T548" s="492"/>
      <c r="U548" s="362"/>
      <c r="V548" s="492"/>
      <c r="W548" s="362"/>
      <c r="X548" s="492"/>
      <c r="Y548" s="362"/>
      <c r="Z548" s="492"/>
      <c r="AA548" s="362"/>
      <c r="AB548" s="360"/>
      <c r="AC548" s="342"/>
      <c r="AD548" s="348"/>
    </row>
    <row r="549" spans="1:30" s="479" customFormat="1">
      <c r="A549" s="474"/>
      <c r="B549" s="474"/>
      <c r="C549" s="505"/>
      <c r="D549" s="474">
        <v>7.0000000000000007E-2</v>
      </c>
      <c r="E549" s="475">
        <f>E547</f>
        <v>900000</v>
      </c>
      <c r="F549" s="474">
        <v>7.0000000000000007E-2</v>
      </c>
      <c r="G549" s="475">
        <f>G547</f>
        <v>900000</v>
      </c>
      <c r="H549" s="474">
        <v>7.0000000000000007E-2</v>
      </c>
      <c r="I549" s="475">
        <f>I547</f>
        <v>900000</v>
      </c>
      <c r="J549" s="474">
        <v>7.0000000000000007E-2</v>
      </c>
      <c r="K549" s="475">
        <f>K547</f>
        <v>900000</v>
      </c>
      <c r="L549" s="474">
        <v>7.0000000000000007E-2</v>
      </c>
      <c r="M549" s="475">
        <f>M547</f>
        <v>900000</v>
      </c>
      <c r="N549" s="474">
        <v>7.0000000000000007E-2</v>
      </c>
      <c r="O549" s="475">
        <f>O547</f>
        <v>900000</v>
      </c>
      <c r="P549" s="515">
        <v>7.0000000000000007E-2</v>
      </c>
      <c r="Q549" s="475">
        <f>Q547</f>
        <v>1800000</v>
      </c>
      <c r="R549" s="515">
        <v>7.0000000000000007E-2</v>
      </c>
      <c r="S549" s="475">
        <f>S547</f>
        <v>1800000</v>
      </c>
      <c r="T549" s="515">
        <v>7.0000000000000007E-2</v>
      </c>
      <c r="U549" s="475">
        <f>U547</f>
        <v>1800000</v>
      </c>
      <c r="V549" s="515">
        <v>7.0000000000000007E-2</v>
      </c>
      <c r="W549" s="475">
        <f>W547</f>
        <v>1800000</v>
      </c>
      <c r="X549" s="515">
        <v>7.0000000000000007E-2</v>
      </c>
      <c r="Y549" s="475">
        <f>Y547</f>
        <v>1800000</v>
      </c>
      <c r="Z549" s="515">
        <v>7.0000000000000007E-2</v>
      </c>
      <c r="AA549" s="475">
        <f>AA547</f>
        <v>1800000</v>
      </c>
      <c r="AB549" s="476"/>
      <c r="AC549" s="477"/>
      <c r="AD549" s="478"/>
    </row>
    <row r="550" spans="1:30" s="485" customFormat="1">
      <c r="A550" s="480"/>
      <c r="B550" s="480"/>
      <c r="C550" s="507"/>
      <c r="D550" s="480"/>
      <c r="E550" s="481">
        <f>E549*D549</f>
        <v>63000.000000000007</v>
      </c>
      <c r="F550" s="480"/>
      <c r="G550" s="482">
        <f>G549*F549</f>
        <v>63000.000000000007</v>
      </c>
      <c r="H550" s="480"/>
      <c r="I550" s="481">
        <f>I549*H549</f>
        <v>63000.000000000007</v>
      </c>
      <c r="J550" s="480"/>
      <c r="K550" s="481">
        <f>K549*J549</f>
        <v>63000.000000000007</v>
      </c>
      <c r="L550" s="480"/>
      <c r="M550" s="481">
        <f>M549*L549</f>
        <v>63000.000000000007</v>
      </c>
      <c r="N550" s="480"/>
      <c r="O550" s="481">
        <f>O549*N549</f>
        <v>63000.000000000007</v>
      </c>
      <c r="P550" s="480"/>
      <c r="Q550" s="481">
        <f>Q549*P549</f>
        <v>126000.00000000001</v>
      </c>
      <c r="R550" s="480"/>
      <c r="S550" s="481">
        <f>S549*R549</f>
        <v>126000.00000000001</v>
      </c>
      <c r="T550" s="480"/>
      <c r="U550" s="481">
        <f>U549*T549</f>
        <v>126000.00000000001</v>
      </c>
      <c r="V550" s="480"/>
      <c r="W550" s="481">
        <f>W549*V549</f>
        <v>126000.00000000001</v>
      </c>
      <c r="X550" s="480"/>
      <c r="Y550" s="481">
        <f>Y549*X549</f>
        <v>126000.00000000001</v>
      </c>
      <c r="Z550" s="480"/>
      <c r="AA550" s="481">
        <f>AA549*Z549</f>
        <v>126000.00000000001</v>
      </c>
      <c r="AB550" s="481">
        <f>SUM(AA550,Y550,W550,U550,S550,Q550,O550,M550,K550,I550,G550,E550)</f>
        <v>1134000.0000000002</v>
      </c>
      <c r="AC550" s="483"/>
      <c r="AD550" s="484"/>
    </row>
    <row r="551" spans="1:30" s="396" customFormat="1">
      <c r="A551" s="397" t="s">
        <v>213</v>
      </c>
      <c r="B551" s="397"/>
      <c r="C551" s="502"/>
      <c r="D551" s="397"/>
      <c r="E551" s="399"/>
      <c r="F551" s="397"/>
      <c r="G551" s="399"/>
      <c r="H551" s="397"/>
      <c r="I551" s="399"/>
      <c r="J551" s="397"/>
      <c r="K551" s="399"/>
      <c r="L551" s="397"/>
      <c r="M551" s="399"/>
      <c r="N551" s="397"/>
      <c r="O551" s="399"/>
      <c r="P551" s="397"/>
      <c r="Q551" s="399"/>
      <c r="R551" s="397"/>
      <c r="S551" s="399"/>
      <c r="T551" s="397"/>
      <c r="U551" s="399"/>
      <c r="V551" s="397"/>
      <c r="W551" s="399"/>
      <c r="X551" s="397"/>
      <c r="Y551" s="399"/>
      <c r="Z551" s="397"/>
      <c r="AA551" s="399"/>
      <c r="AB551" s="399"/>
      <c r="AC551" s="395"/>
    </row>
    <row r="552" spans="1:30">
      <c r="A552" s="379" t="s">
        <v>208</v>
      </c>
      <c r="B552" s="379"/>
      <c r="C552" s="508"/>
      <c r="D552" s="379"/>
      <c r="E552" s="378"/>
      <c r="F552" s="379"/>
      <c r="G552" s="378"/>
      <c r="H552" s="379"/>
      <c r="I552" s="378"/>
      <c r="J552" s="379"/>
      <c r="K552" s="378"/>
      <c r="L552" s="379"/>
      <c r="M552" s="378"/>
      <c r="N552" s="379"/>
      <c r="O552" s="378"/>
      <c r="P552" s="379"/>
      <c r="Q552" s="378"/>
      <c r="R552" s="379"/>
      <c r="S552" s="378"/>
      <c r="T552" s="379"/>
      <c r="U552" s="378"/>
      <c r="V552" s="379"/>
      <c r="W552" s="378"/>
      <c r="X552" s="379"/>
      <c r="Y552" s="378"/>
      <c r="Z552" s="379"/>
      <c r="AA552" s="378"/>
      <c r="AB552" s="378"/>
      <c r="AD552" s="350"/>
    </row>
    <row r="553" spans="1:30" s="396" customFormat="1">
      <c r="A553" s="397" t="s">
        <v>209</v>
      </c>
      <c r="B553" s="397"/>
      <c r="C553" s="502"/>
      <c r="D553" s="397"/>
      <c r="E553" s="399"/>
      <c r="F553" s="397"/>
      <c r="G553" s="399"/>
      <c r="H553" s="397"/>
      <c r="I553" s="399"/>
      <c r="J553" s="397"/>
      <c r="K553" s="399"/>
      <c r="L553" s="397"/>
      <c r="M553" s="399"/>
      <c r="N553" s="397"/>
      <c r="O553" s="399"/>
      <c r="P553" s="397"/>
      <c r="Q553" s="399"/>
      <c r="R553" s="397"/>
      <c r="S553" s="399"/>
      <c r="T553" s="397"/>
      <c r="U553" s="399"/>
      <c r="V553" s="397"/>
      <c r="W553" s="399"/>
      <c r="X553" s="397"/>
      <c r="Y553" s="399"/>
      <c r="Z553" s="397"/>
      <c r="AA553" s="399"/>
      <c r="AB553" s="399"/>
      <c r="AC553" s="395"/>
    </row>
    <row r="554" spans="1:30">
      <c r="A554" s="349"/>
      <c r="B554" s="349"/>
      <c r="C554" s="509"/>
      <c r="D554" s="349"/>
      <c r="E554" s="349"/>
      <c r="F554" s="349"/>
      <c r="G554" s="340"/>
      <c r="H554" s="349"/>
      <c r="I554" s="346"/>
      <c r="J554" s="349"/>
      <c r="K554" s="346"/>
      <c r="L554" s="349"/>
      <c r="M554" s="346"/>
      <c r="N554" s="349"/>
      <c r="O554" s="346"/>
      <c r="P554" s="349"/>
      <c r="Q554" s="346"/>
      <c r="R554" s="349"/>
      <c r="S554" s="346"/>
      <c r="T554" s="349"/>
      <c r="U554" s="346"/>
      <c r="V554" s="349"/>
      <c r="W554" s="346"/>
      <c r="X554" s="349"/>
      <c r="Y554" s="346"/>
      <c r="Z554" s="349"/>
      <c r="AA554" s="346"/>
      <c r="AB554" s="347"/>
      <c r="AD554" s="350"/>
    </row>
    <row r="555" spans="1:30">
      <c r="A555" s="349"/>
      <c r="B555" s="349"/>
      <c r="C555" s="509"/>
      <c r="D555" s="349"/>
      <c r="E555" s="344"/>
      <c r="F555" s="349"/>
      <c r="G555" s="317"/>
      <c r="H555" s="349"/>
      <c r="I555" s="318"/>
      <c r="J555" s="349"/>
      <c r="K555" s="318"/>
      <c r="L555" s="349"/>
      <c r="M555" s="318"/>
      <c r="N555" s="349"/>
      <c r="O555" s="318"/>
      <c r="P555" s="349"/>
      <c r="Q555" s="318"/>
      <c r="R555" s="349"/>
      <c r="S555" s="318"/>
      <c r="T555" s="349"/>
      <c r="U555" s="318"/>
      <c r="V555" s="349"/>
      <c r="W555" s="318"/>
      <c r="X555" s="349"/>
      <c r="Y555" s="318"/>
      <c r="Z555" s="349"/>
      <c r="AA555" s="318"/>
      <c r="AB555" s="338"/>
      <c r="AD555" s="350"/>
    </row>
    <row r="556" spans="1:30">
      <c r="A556" s="349"/>
      <c r="B556" s="349"/>
      <c r="C556" s="509"/>
      <c r="D556" s="349"/>
      <c r="E556" s="317"/>
      <c r="F556" s="349"/>
      <c r="G556" s="317"/>
      <c r="H556" s="349"/>
      <c r="I556" s="318"/>
      <c r="J556" s="349"/>
      <c r="K556" s="318"/>
      <c r="L556" s="349"/>
      <c r="M556" s="318"/>
      <c r="N556" s="349"/>
      <c r="O556" s="318"/>
      <c r="P556" s="349"/>
      <c r="Q556" s="318"/>
      <c r="R556" s="349"/>
      <c r="S556" s="318"/>
      <c r="T556" s="349"/>
      <c r="U556" s="318"/>
      <c r="V556" s="349"/>
      <c r="W556" s="318"/>
      <c r="X556" s="349"/>
      <c r="Y556" s="318"/>
      <c r="Z556" s="349"/>
      <c r="AA556" s="318"/>
      <c r="AB556" s="333"/>
      <c r="AD556" s="350"/>
    </row>
    <row r="557" spans="1:30" s="349" customFormat="1">
      <c r="A557" s="343"/>
      <c r="B557" s="343"/>
      <c r="C557" s="510"/>
      <c r="D557" s="343"/>
      <c r="E557" s="344"/>
      <c r="F557" s="343"/>
      <c r="G557" s="340"/>
      <c r="H557" s="343"/>
      <c r="I557" s="345"/>
      <c r="J557" s="343"/>
      <c r="K557" s="345"/>
      <c r="L557" s="343"/>
      <c r="M557" s="345"/>
      <c r="N557" s="343"/>
      <c r="O557" s="345"/>
      <c r="P557" s="343"/>
      <c r="Q557" s="345"/>
      <c r="R557" s="343"/>
      <c r="S557" s="345"/>
      <c r="T557" s="343"/>
      <c r="U557" s="345"/>
      <c r="V557" s="343"/>
      <c r="W557" s="345"/>
      <c r="X557" s="343"/>
      <c r="Y557" s="345"/>
      <c r="Z557" s="343"/>
      <c r="AA557" s="345"/>
      <c r="AB557" s="347"/>
      <c r="AC557" s="342"/>
      <c r="AD557" s="348"/>
    </row>
    <row r="558" spans="1:30" s="349" customFormat="1">
      <c r="A558" s="343"/>
      <c r="B558" s="343"/>
      <c r="C558" s="510"/>
      <c r="D558" s="343"/>
      <c r="E558" s="343"/>
      <c r="F558" s="343"/>
      <c r="G558" s="340"/>
      <c r="H558" s="343"/>
      <c r="I558" s="345"/>
      <c r="J558" s="343"/>
      <c r="K558" s="345"/>
      <c r="L558" s="343"/>
      <c r="M558" s="345"/>
      <c r="N558" s="343"/>
      <c r="O558" s="345"/>
      <c r="P558" s="343"/>
      <c r="Q558" s="345"/>
      <c r="R558" s="343"/>
      <c r="S558" s="345"/>
      <c r="T558" s="343"/>
      <c r="U558" s="345"/>
      <c r="V558" s="343"/>
      <c r="W558" s="345"/>
      <c r="X558" s="343"/>
      <c r="Y558" s="345"/>
      <c r="Z558" s="343"/>
      <c r="AA558" s="345"/>
      <c r="AB558" s="347"/>
      <c r="AC558" s="342"/>
      <c r="AD558" s="348"/>
    </row>
    <row r="559" spans="1:30">
      <c r="A559" s="349"/>
      <c r="B559" s="349"/>
      <c r="C559" s="509"/>
      <c r="D559" s="349"/>
      <c r="E559" s="349"/>
      <c r="F559" s="349"/>
      <c r="G559" s="340"/>
      <c r="H559" s="349"/>
      <c r="I559" s="345"/>
      <c r="J559" s="349"/>
      <c r="K559" s="345"/>
      <c r="L559" s="349"/>
      <c r="M559" s="345"/>
      <c r="N559" s="349"/>
      <c r="O559" s="345"/>
      <c r="P559" s="349"/>
      <c r="Q559" s="345"/>
      <c r="R559" s="349"/>
      <c r="S559" s="345"/>
      <c r="T559" s="349"/>
      <c r="U559" s="345"/>
      <c r="V559" s="349"/>
      <c r="W559" s="345"/>
      <c r="X559" s="349"/>
      <c r="Y559" s="345"/>
      <c r="Z559" s="349"/>
      <c r="AA559" s="345"/>
      <c r="AB559" s="347"/>
      <c r="AD559" s="350"/>
    </row>
    <row r="560" spans="1:30">
      <c r="A560" s="349"/>
      <c r="B560" s="349"/>
      <c r="C560" s="509"/>
      <c r="D560" s="349"/>
      <c r="E560" s="344"/>
      <c r="F560" s="349"/>
      <c r="G560" s="317"/>
      <c r="H560" s="349"/>
      <c r="I560" s="318"/>
      <c r="J560" s="349"/>
      <c r="K560" s="318"/>
      <c r="L560" s="349"/>
      <c r="M560" s="318"/>
      <c r="N560" s="349"/>
      <c r="O560" s="318"/>
      <c r="P560" s="349"/>
      <c r="Q560" s="318"/>
      <c r="R560" s="349"/>
      <c r="S560" s="318"/>
      <c r="T560" s="349"/>
      <c r="U560" s="318"/>
      <c r="V560" s="349"/>
      <c r="W560" s="318"/>
      <c r="X560" s="349"/>
      <c r="Y560" s="318"/>
      <c r="Z560" s="349"/>
      <c r="AA560" s="318"/>
      <c r="AB560" s="333"/>
      <c r="AD560" s="350"/>
    </row>
    <row r="561" spans="1:30" s="495" customFormat="1">
      <c r="A561" s="490"/>
      <c r="B561" s="490"/>
      <c r="C561" s="511"/>
      <c r="D561" s="490"/>
      <c r="E561" s="493">
        <f>SUM(E550,E544,E538,E532,E527,E522,E515,E510,E504,E498,E479,E465,E440,E415,E390,E365,E340,E315)</f>
        <v>209819525</v>
      </c>
      <c r="F561" s="490"/>
      <c r="G561" s="493">
        <f>SUM(G550,G544,G538,G532,G527,G522,G515,G510,G504,G498,G479,G465,G440,G415,G390,G365,G340,G315)</f>
        <v>209819525</v>
      </c>
      <c r="H561" s="490"/>
      <c r="I561" s="517">
        <f>SUM(I550,I544,I538,I532,I527,I522,I515,I510,I504,I498,I479,I465,I440,I415,I390,I365,I340,I315)</f>
        <v>209819525</v>
      </c>
      <c r="J561" s="490"/>
      <c r="K561" s="517">
        <f>SUM(K550,K544,K538,K532,K527,K522,K515,K510,K504,K498,K479,K465,K440,K415,K390,K365,K340,K315)</f>
        <v>209819525</v>
      </c>
      <c r="L561" s="490"/>
      <c r="M561" s="517">
        <f>SUM(M550,M544,M538,M532,M527,M522,M515,M510,M504,M498,M479,M465,M440,M415,M390,M365,M340,M315)</f>
        <v>209291525</v>
      </c>
      <c r="N561" s="490"/>
      <c r="O561" s="517">
        <f>SUM(O550,O544,O538,O532,O527,O522,O515,O510,O504,O498,O479,O465,O440,O415,O390,O365,O340,O315)</f>
        <v>209819525</v>
      </c>
      <c r="P561" s="490"/>
      <c r="Q561" s="517">
        <f>SUM(Q550,Q544,Q538,Q532,Q527,Q522,Q515,Q510,Q504,Q498,Q479,Q465,Q440,Q415,Q390,Q365,Q340,Q315)</f>
        <v>411915700</v>
      </c>
      <c r="R561" s="490"/>
      <c r="S561" s="517">
        <f>SUM(S550,S544,S538,S532,S527,S522,S515,S510,S504,S498,S479,S465,S440,S415,S390,S365,S340,S315)</f>
        <v>411915700</v>
      </c>
      <c r="T561" s="490"/>
      <c r="U561" s="517">
        <f>SUM(U550,U544,U538,U532,U527,U522,U515,U510,U504,U498,U479,U465,U440,U415,U390,U365,U340,U315)</f>
        <v>411915700</v>
      </c>
      <c r="V561" s="490"/>
      <c r="W561" s="517">
        <f>SUM(W550,W544,W538,W532,W527,W522,W515,W510,W504,W498,W479,W465,W440,W415,W390,W365,W340,W315)</f>
        <v>411915700</v>
      </c>
      <c r="X561" s="490"/>
      <c r="Y561" s="517">
        <f>SUM(Y550,Y544,Y538,Y532,Y527,Y522,Y515,Y510,Y504,Y498,Y479,Y465,Y440,Y415,Y390,Y365,Y340,Y315)</f>
        <v>411915700</v>
      </c>
      <c r="Z561" s="490"/>
      <c r="AA561" s="517">
        <f>SUM(AA550,AA544,AA538,AA532,AA527,AA522,AA515,AA510,AA504,AA498,AA479,AA465,AA440,AA415,AA390,AA365,AA340,AA315)</f>
        <v>411915700</v>
      </c>
      <c r="AB561" s="498">
        <f>SUM(AB440,AB415,AB390,AB365,AB340,AB315)</f>
        <v>3531984150</v>
      </c>
      <c r="AC561" s="494"/>
    </row>
    <row r="562" spans="1:30" s="349" customFormat="1">
      <c r="A562" s="343"/>
      <c r="B562" s="343"/>
      <c r="C562" s="510"/>
      <c r="D562" s="343"/>
      <c r="E562" s="344"/>
      <c r="F562" s="343"/>
      <c r="G562" s="340"/>
      <c r="H562" s="343"/>
      <c r="I562" s="496"/>
      <c r="J562" s="343"/>
      <c r="K562" s="496"/>
      <c r="L562" s="343"/>
      <c r="M562" s="496"/>
      <c r="N562" s="343"/>
      <c r="O562" s="496"/>
      <c r="P562" s="343"/>
      <c r="Q562" s="496"/>
      <c r="R562" s="343"/>
      <c r="S562" s="496"/>
      <c r="T562" s="343"/>
      <c r="U562" s="496"/>
      <c r="V562" s="343"/>
      <c r="W562" s="496"/>
      <c r="X562" s="343"/>
      <c r="Y562" s="496"/>
      <c r="Z562" s="343"/>
      <c r="AA562" s="496"/>
      <c r="AB562" s="497"/>
      <c r="AC562" s="342"/>
      <c r="AD562" s="473"/>
    </row>
    <row r="563" spans="1:30" s="396" customFormat="1">
      <c r="A563" s="397"/>
      <c r="B563" s="397"/>
      <c r="C563" s="502"/>
      <c r="D563" s="397"/>
      <c r="E563" s="399"/>
      <c r="F563" s="397"/>
      <c r="G563" s="399"/>
      <c r="H563" s="397"/>
      <c r="I563" s="399"/>
      <c r="J563" s="397"/>
      <c r="K563" s="399"/>
      <c r="L563" s="397"/>
      <c r="M563" s="399"/>
      <c r="N563" s="397"/>
      <c r="O563" s="399"/>
      <c r="P563" s="397"/>
      <c r="Q563" s="399"/>
      <c r="R563" s="397"/>
      <c r="S563" s="399"/>
      <c r="T563" s="397"/>
      <c r="U563" s="399"/>
      <c r="V563" s="397"/>
      <c r="W563" s="399"/>
      <c r="X563" s="397"/>
      <c r="Y563" s="399"/>
      <c r="Z563" s="397"/>
      <c r="AA563" s="399"/>
      <c r="AB563" s="399"/>
      <c r="AC563" s="395"/>
    </row>
    <row r="564" spans="1:30" ht="24.75" customHeight="1">
      <c r="A564" s="381" t="s">
        <v>170</v>
      </c>
      <c r="B564" s="381"/>
      <c r="C564" s="499"/>
      <c r="D564" s="381"/>
      <c r="E564" s="376"/>
      <c r="F564" s="381"/>
      <c r="G564" s="376"/>
      <c r="H564" s="381"/>
      <c r="I564" s="376"/>
      <c r="J564" s="381"/>
      <c r="K564" s="376"/>
      <c r="L564" s="381"/>
      <c r="M564" s="376"/>
      <c r="N564" s="381"/>
      <c r="O564" s="376"/>
      <c r="P564" s="381"/>
      <c r="Q564" s="376"/>
      <c r="R564" s="381"/>
      <c r="S564" s="376"/>
      <c r="T564" s="381"/>
      <c r="U564" s="376"/>
      <c r="V564" s="381"/>
      <c r="W564" s="376"/>
      <c r="X564" s="381"/>
      <c r="Y564" s="376"/>
      <c r="Z564" s="381"/>
      <c r="AA564" s="376"/>
      <c r="AB564" s="376"/>
    </row>
    <row r="565" spans="1:30">
      <c r="A565" s="610" t="s">
        <v>115</v>
      </c>
      <c r="B565" s="466" t="s">
        <v>210</v>
      </c>
      <c r="C565" s="500" t="s">
        <v>62</v>
      </c>
      <c r="D565" s="466" t="s">
        <v>211</v>
      </c>
      <c r="E565" s="609">
        <v>44562</v>
      </c>
      <c r="F565" s="466" t="s">
        <v>211</v>
      </c>
      <c r="G565" s="605">
        <v>44593</v>
      </c>
      <c r="H565" s="466" t="s">
        <v>211</v>
      </c>
      <c r="I565" s="609">
        <v>44621</v>
      </c>
      <c r="J565" s="466" t="s">
        <v>211</v>
      </c>
      <c r="K565" s="605">
        <v>44652</v>
      </c>
      <c r="L565" s="466" t="s">
        <v>211</v>
      </c>
      <c r="M565" s="609">
        <v>44682</v>
      </c>
      <c r="N565" s="466" t="s">
        <v>211</v>
      </c>
      <c r="O565" s="605">
        <v>44713</v>
      </c>
      <c r="P565" s="466" t="s">
        <v>211</v>
      </c>
      <c r="Q565" s="609">
        <v>44743</v>
      </c>
      <c r="R565" s="466" t="s">
        <v>211</v>
      </c>
      <c r="S565" s="605">
        <v>44774</v>
      </c>
      <c r="T565" s="466" t="s">
        <v>211</v>
      </c>
      <c r="U565" s="609">
        <v>44805</v>
      </c>
      <c r="V565" s="466" t="s">
        <v>211</v>
      </c>
      <c r="W565" s="605">
        <v>44835</v>
      </c>
      <c r="X565" s="466" t="s">
        <v>211</v>
      </c>
      <c r="Y565" s="606">
        <v>44866</v>
      </c>
      <c r="Z565" s="466" t="s">
        <v>211</v>
      </c>
      <c r="AA565" s="605">
        <v>44896</v>
      </c>
      <c r="AB565" s="608" t="s">
        <v>112</v>
      </c>
      <c r="AD565" s="350"/>
    </row>
    <row r="566" spans="1:30">
      <c r="A566" s="610"/>
      <c r="B566" s="466"/>
      <c r="C566" s="500"/>
      <c r="D566" s="466"/>
      <c r="E566" s="609"/>
      <c r="F566" s="466"/>
      <c r="G566" s="605"/>
      <c r="H566" s="466"/>
      <c r="I566" s="609"/>
      <c r="J566" s="466"/>
      <c r="K566" s="605"/>
      <c r="L566" s="466"/>
      <c r="M566" s="609"/>
      <c r="N566" s="466"/>
      <c r="O566" s="605"/>
      <c r="P566" s="466"/>
      <c r="Q566" s="609"/>
      <c r="R566" s="466"/>
      <c r="S566" s="605"/>
      <c r="T566" s="466"/>
      <c r="U566" s="609"/>
      <c r="V566" s="466"/>
      <c r="W566" s="605"/>
      <c r="X566" s="466"/>
      <c r="Y566" s="607"/>
      <c r="Z566" s="466"/>
      <c r="AA566" s="605"/>
      <c r="AB566" s="608"/>
      <c r="AD566" s="350"/>
    </row>
    <row r="567" spans="1:30">
      <c r="A567" s="374"/>
      <c r="B567" s="374"/>
      <c r="C567" s="503"/>
      <c r="D567" s="374"/>
      <c r="E567" s="363"/>
      <c r="F567" s="374"/>
      <c r="G567" s="363"/>
      <c r="H567" s="374"/>
      <c r="I567" s="363"/>
      <c r="J567" s="374"/>
      <c r="K567" s="363"/>
      <c r="L567" s="374"/>
      <c r="M567" s="363"/>
      <c r="N567" s="374"/>
      <c r="O567" s="363"/>
      <c r="P567" s="374"/>
      <c r="Q567" s="363"/>
      <c r="R567" s="374"/>
      <c r="S567" s="363"/>
      <c r="T567" s="374"/>
      <c r="U567" s="363"/>
      <c r="V567" s="374"/>
      <c r="W567" s="363"/>
      <c r="X567" s="374"/>
      <c r="Y567" s="363"/>
      <c r="Z567" s="374"/>
      <c r="AA567" s="363"/>
      <c r="AB567" s="363"/>
      <c r="AD567" s="350"/>
    </row>
    <row r="568" spans="1:30" s="349" customFormat="1">
      <c r="A568" s="359" t="s">
        <v>200</v>
      </c>
      <c r="B568" s="359">
        <v>26</v>
      </c>
      <c r="C568" s="504">
        <v>850</v>
      </c>
      <c r="D568" s="359">
        <v>500</v>
      </c>
      <c r="E568" s="362">
        <f>(B568*C568)*D568</f>
        <v>11050000</v>
      </c>
      <c r="F568" s="359">
        <v>500</v>
      </c>
      <c r="G568" s="362">
        <f>(B568*C568)*F568</f>
        <v>11050000</v>
      </c>
      <c r="H568" s="359">
        <v>500</v>
      </c>
      <c r="I568" s="362">
        <f>(B568*C568)*H568</f>
        <v>11050000</v>
      </c>
      <c r="J568" s="359">
        <v>500</v>
      </c>
      <c r="K568" s="362">
        <f>(B568*C568)*J568</f>
        <v>11050000</v>
      </c>
      <c r="L568" s="359">
        <v>500</v>
      </c>
      <c r="M568" s="362">
        <f>(B568*C568)*L568</f>
        <v>11050000</v>
      </c>
      <c r="N568" s="359">
        <v>500</v>
      </c>
      <c r="O568" s="362">
        <f>(B568*C568)*N568</f>
        <v>11050000</v>
      </c>
      <c r="P568" s="359">
        <v>500</v>
      </c>
      <c r="Q568" s="362">
        <f>(B568*C568)*P568</f>
        <v>11050000</v>
      </c>
      <c r="R568" s="359">
        <v>500</v>
      </c>
      <c r="S568" s="362">
        <f>(B568*C568)*R568</f>
        <v>11050000</v>
      </c>
      <c r="T568" s="359">
        <v>500</v>
      </c>
      <c r="U568" s="362">
        <f>(B568*C568)*T568</f>
        <v>11050000</v>
      </c>
      <c r="V568" s="359">
        <v>500</v>
      </c>
      <c r="W568" s="362">
        <f>(B568*C568)*V568</f>
        <v>11050000</v>
      </c>
      <c r="X568" s="359">
        <v>500</v>
      </c>
      <c r="Y568" s="362">
        <f>(B568*C568)*X568</f>
        <v>11050000</v>
      </c>
      <c r="Z568" s="359">
        <v>500</v>
      </c>
      <c r="AA568" s="362">
        <f>(B568*C568)*Z568</f>
        <v>11050000</v>
      </c>
      <c r="AB568" s="361"/>
      <c r="AC568" s="342"/>
      <c r="AD568" s="348"/>
    </row>
    <row r="569" spans="1:30" s="349" customFormat="1">
      <c r="A569" s="359" t="s">
        <v>200</v>
      </c>
      <c r="B569" s="359">
        <v>33</v>
      </c>
      <c r="C569" s="504">
        <v>850</v>
      </c>
      <c r="D569" s="359">
        <v>200</v>
      </c>
      <c r="E569" s="362">
        <f>(B569*C569)*D569</f>
        <v>5610000</v>
      </c>
      <c r="F569" s="359">
        <v>200</v>
      </c>
      <c r="G569" s="362">
        <f t="shared" ref="G569:G613" si="68">(B569*C569)*F569</f>
        <v>5610000</v>
      </c>
      <c r="H569" s="359">
        <v>200</v>
      </c>
      <c r="I569" s="362">
        <f t="shared" ref="I569:I613" si="69">(B569*C569)*H569</f>
        <v>5610000</v>
      </c>
      <c r="J569" s="359">
        <v>200</v>
      </c>
      <c r="K569" s="362">
        <f t="shared" ref="K569:K613" si="70">(B569*C569)*J569</f>
        <v>5610000</v>
      </c>
      <c r="L569" s="359">
        <v>200</v>
      </c>
      <c r="M569" s="362">
        <f t="shared" ref="M569:M613" si="71">(B569*C569)*L569</f>
        <v>5610000</v>
      </c>
      <c r="N569" s="359">
        <v>200</v>
      </c>
      <c r="O569" s="362">
        <f t="shared" ref="O569:O613" si="72">(B569*C569)*N569</f>
        <v>5610000</v>
      </c>
      <c r="P569" s="359">
        <v>200</v>
      </c>
      <c r="Q569" s="362">
        <f t="shared" ref="Q569:Q613" si="73">(B569*C569)*P569</f>
        <v>5610000</v>
      </c>
      <c r="R569" s="359">
        <v>200</v>
      </c>
      <c r="S569" s="362">
        <f t="shared" ref="S569:S613" si="74">(B569*C569)*R569</f>
        <v>5610000</v>
      </c>
      <c r="T569" s="359">
        <v>200</v>
      </c>
      <c r="U569" s="362">
        <f t="shared" ref="U569:U613" si="75">(B569*C569)*T569</f>
        <v>5610000</v>
      </c>
      <c r="V569" s="359">
        <v>200</v>
      </c>
      <c r="W569" s="362">
        <f t="shared" ref="W569:W613" si="76">(B569*C569)*V569</f>
        <v>5610000</v>
      </c>
      <c r="X569" s="359">
        <v>200</v>
      </c>
      <c r="Y569" s="362">
        <f t="shared" ref="Y569:Y613" si="77">(B569*C569)*X569</f>
        <v>5610000</v>
      </c>
      <c r="Z569" s="359">
        <v>200</v>
      </c>
      <c r="AA569" s="362">
        <f t="shared" ref="AA569:AA613" si="78">(B569*C569)*Z569</f>
        <v>5610000</v>
      </c>
      <c r="AB569" s="361"/>
      <c r="AC569" s="342"/>
      <c r="AD569" s="348"/>
    </row>
    <row r="570" spans="1:30" s="349" customFormat="1">
      <c r="A570" s="359" t="s">
        <v>200</v>
      </c>
      <c r="B570" s="359">
        <v>64</v>
      </c>
      <c r="C570" s="504">
        <v>850</v>
      </c>
      <c r="D570" s="359">
        <v>100</v>
      </c>
      <c r="E570" s="362">
        <f>(B570*C570)*D570</f>
        <v>5440000</v>
      </c>
      <c r="F570" s="359">
        <v>100</v>
      </c>
      <c r="G570" s="362">
        <f t="shared" si="68"/>
        <v>5440000</v>
      </c>
      <c r="H570" s="359">
        <v>100</v>
      </c>
      <c r="I570" s="362">
        <f t="shared" si="69"/>
        <v>5440000</v>
      </c>
      <c r="J570" s="359">
        <v>100</v>
      </c>
      <c r="K570" s="362">
        <f t="shared" si="70"/>
        <v>5440000</v>
      </c>
      <c r="L570" s="359">
        <v>100</v>
      </c>
      <c r="M570" s="362">
        <f t="shared" si="71"/>
        <v>5440000</v>
      </c>
      <c r="N570" s="359">
        <v>100</v>
      </c>
      <c r="O570" s="362">
        <f t="shared" si="72"/>
        <v>5440000</v>
      </c>
      <c r="P570" s="359">
        <v>100</v>
      </c>
      <c r="Q570" s="362">
        <f t="shared" si="73"/>
        <v>5440000</v>
      </c>
      <c r="R570" s="359">
        <v>100</v>
      </c>
      <c r="S570" s="362">
        <f t="shared" si="74"/>
        <v>5440000</v>
      </c>
      <c r="T570" s="359">
        <v>100</v>
      </c>
      <c r="U570" s="362">
        <f t="shared" si="75"/>
        <v>5440000</v>
      </c>
      <c r="V570" s="359">
        <v>100</v>
      </c>
      <c r="W570" s="362">
        <f t="shared" si="76"/>
        <v>5440000</v>
      </c>
      <c r="X570" s="359">
        <v>100</v>
      </c>
      <c r="Y570" s="362">
        <f t="shared" si="77"/>
        <v>5440000</v>
      </c>
      <c r="Z570" s="359">
        <v>100</v>
      </c>
      <c r="AA570" s="362">
        <f t="shared" si="78"/>
        <v>5440000</v>
      </c>
      <c r="AB570" s="361"/>
      <c r="AC570" s="342"/>
      <c r="AD570" s="348"/>
    </row>
    <row r="571" spans="1:30" s="349" customFormat="1">
      <c r="A571" s="359" t="s">
        <v>200</v>
      </c>
      <c r="B571" s="359">
        <v>100</v>
      </c>
      <c r="C571" s="504">
        <v>850</v>
      </c>
      <c r="D571" s="359">
        <v>20</v>
      </c>
      <c r="E571" s="362">
        <f>(B571*C571)*D571</f>
        <v>1700000</v>
      </c>
      <c r="F571" s="359">
        <v>20</v>
      </c>
      <c r="G571" s="362">
        <f t="shared" si="68"/>
        <v>1700000</v>
      </c>
      <c r="H571" s="359">
        <v>20</v>
      </c>
      <c r="I571" s="362">
        <f t="shared" si="69"/>
        <v>1700000</v>
      </c>
      <c r="J571" s="359">
        <v>20</v>
      </c>
      <c r="K571" s="362">
        <f t="shared" si="70"/>
        <v>1700000</v>
      </c>
      <c r="L571" s="359">
        <v>20</v>
      </c>
      <c r="M571" s="362">
        <f t="shared" si="71"/>
        <v>1700000</v>
      </c>
      <c r="N571" s="359">
        <v>20</v>
      </c>
      <c r="O571" s="362">
        <f t="shared" si="72"/>
        <v>1700000</v>
      </c>
      <c r="P571" s="359">
        <v>20</v>
      </c>
      <c r="Q571" s="362">
        <f t="shared" si="73"/>
        <v>1700000</v>
      </c>
      <c r="R571" s="359">
        <v>20</v>
      </c>
      <c r="S571" s="362">
        <f t="shared" si="74"/>
        <v>1700000</v>
      </c>
      <c r="T571" s="359">
        <v>20</v>
      </c>
      <c r="U571" s="362">
        <f t="shared" si="75"/>
        <v>1700000</v>
      </c>
      <c r="V571" s="359">
        <v>20</v>
      </c>
      <c r="W571" s="362">
        <f t="shared" si="76"/>
        <v>1700000</v>
      </c>
      <c r="X571" s="359">
        <v>20</v>
      </c>
      <c r="Y571" s="362">
        <f t="shared" si="77"/>
        <v>1700000</v>
      </c>
      <c r="Z571" s="359">
        <v>20</v>
      </c>
      <c r="AA571" s="362">
        <f t="shared" si="78"/>
        <v>1700000</v>
      </c>
      <c r="AB571" s="361"/>
      <c r="AC571" s="342"/>
      <c r="AD571" s="348"/>
    </row>
    <row r="572" spans="1:30" s="349" customFormat="1">
      <c r="A572" s="359"/>
      <c r="B572" s="359"/>
      <c r="C572" s="504"/>
      <c r="D572" s="359"/>
      <c r="E572" s="362"/>
      <c r="F572" s="359"/>
      <c r="G572" s="362"/>
      <c r="H572" s="359"/>
      <c r="I572" s="362"/>
      <c r="J572" s="359"/>
      <c r="K572" s="362">
        <f t="shared" si="70"/>
        <v>0</v>
      </c>
      <c r="L572" s="359"/>
      <c r="M572" s="362">
        <f t="shared" si="71"/>
        <v>0</v>
      </c>
      <c r="N572" s="359"/>
      <c r="O572" s="362">
        <f t="shared" si="72"/>
        <v>0</v>
      </c>
      <c r="P572" s="359"/>
      <c r="Q572" s="362">
        <f t="shared" si="73"/>
        <v>0</v>
      </c>
      <c r="R572" s="359"/>
      <c r="S572" s="362">
        <f t="shared" si="74"/>
        <v>0</v>
      </c>
      <c r="T572" s="359"/>
      <c r="U572" s="362">
        <f t="shared" si="75"/>
        <v>0</v>
      </c>
      <c r="V572" s="359"/>
      <c r="W572" s="362">
        <f t="shared" si="76"/>
        <v>0</v>
      </c>
      <c r="X572" s="359"/>
      <c r="Y572" s="362">
        <f t="shared" si="77"/>
        <v>0</v>
      </c>
      <c r="Z572" s="359"/>
      <c r="AA572" s="362">
        <f t="shared" si="78"/>
        <v>0</v>
      </c>
      <c r="AB572" s="361"/>
      <c r="AC572" s="342"/>
      <c r="AD572" s="348"/>
    </row>
    <row r="573" spans="1:30" s="349" customFormat="1">
      <c r="A573" s="359" t="s">
        <v>201</v>
      </c>
      <c r="B573" s="359">
        <v>150</v>
      </c>
      <c r="C573" s="504">
        <v>850</v>
      </c>
      <c r="D573" s="359">
        <v>500</v>
      </c>
      <c r="E573" s="362">
        <f>(B573*C573)*D573</f>
        <v>63750000</v>
      </c>
      <c r="F573" s="359">
        <v>500</v>
      </c>
      <c r="G573" s="362">
        <f t="shared" si="68"/>
        <v>63750000</v>
      </c>
      <c r="H573" s="359">
        <v>500</v>
      </c>
      <c r="I573" s="362">
        <f t="shared" si="69"/>
        <v>63750000</v>
      </c>
      <c r="J573" s="359">
        <v>500</v>
      </c>
      <c r="K573" s="362">
        <f t="shared" si="70"/>
        <v>63750000</v>
      </c>
      <c r="L573" s="359">
        <v>500</v>
      </c>
      <c r="M573" s="362">
        <f t="shared" si="71"/>
        <v>63750000</v>
      </c>
      <c r="N573" s="359">
        <v>500</v>
      </c>
      <c r="O573" s="362">
        <f t="shared" si="72"/>
        <v>63750000</v>
      </c>
      <c r="P573" s="359">
        <v>500</v>
      </c>
      <c r="Q573" s="362">
        <f t="shared" si="73"/>
        <v>63750000</v>
      </c>
      <c r="R573" s="359">
        <v>500</v>
      </c>
      <c r="S573" s="362">
        <f t="shared" si="74"/>
        <v>63750000</v>
      </c>
      <c r="T573" s="359">
        <v>500</v>
      </c>
      <c r="U573" s="362">
        <f t="shared" si="75"/>
        <v>63750000</v>
      </c>
      <c r="V573" s="359">
        <v>500</v>
      </c>
      <c r="W573" s="362">
        <f t="shared" si="76"/>
        <v>63750000</v>
      </c>
      <c r="X573" s="359">
        <v>500</v>
      </c>
      <c r="Y573" s="362">
        <f t="shared" si="77"/>
        <v>63750000</v>
      </c>
      <c r="Z573" s="359">
        <v>500</v>
      </c>
      <c r="AA573" s="362">
        <f t="shared" si="78"/>
        <v>63750000</v>
      </c>
      <c r="AB573" s="361"/>
      <c r="AC573" s="342"/>
      <c r="AD573" s="348"/>
    </row>
    <row r="574" spans="1:30" s="349" customFormat="1">
      <c r="A574" s="359" t="s">
        <v>201</v>
      </c>
      <c r="B574" s="359">
        <v>250</v>
      </c>
      <c r="C574" s="504">
        <v>850</v>
      </c>
      <c r="D574" s="359">
        <v>200</v>
      </c>
      <c r="E574" s="362">
        <f>(B574*C574)*D574</f>
        <v>42500000</v>
      </c>
      <c r="F574" s="359">
        <v>200</v>
      </c>
      <c r="G574" s="362">
        <f t="shared" si="68"/>
        <v>42500000</v>
      </c>
      <c r="H574" s="359">
        <v>200</v>
      </c>
      <c r="I574" s="362">
        <f t="shared" si="69"/>
        <v>42500000</v>
      </c>
      <c r="J574" s="359">
        <v>200</v>
      </c>
      <c r="K574" s="362">
        <f t="shared" si="70"/>
        <v>42500000</v>
      </c>
      <c r="L574" s="359">
        <v>200</v>
      </c>
      <c r="M574" s="362">
        <f t="shared" si="71"/>
        <v>42500000</v>
      </c>
      <c r="N574" s="359">
        <v>200</v>
      </c>
      <c r="O574" s="362">
        <f t="shared" si="72"/>
        <v>42500000</v>
      </c>
      <c r="P574" s="359">
        <v>200</v>
      </c>
      <c r="Q574" s="362">
        <f t="shared" si="73"/>
        <v>42500000</v>
      </c>
      <c r="R574" s="359">
        <v>200</v>
      </c>
      <c r="S574" s="362">
        <f t="shared" si="74"/>
        <v>42500000</v>
      </c>
      <c r="T574" s="359">
        <v>200</v>
      </c>
      <c r="U574" s="362">
        <f t="shared" si="75"/>
        <v>42500000</v>
      </c>
      <c r="V574" s="359">
        <v>200</v>
      </c>
      <c r="W574" s="362">
        <f t="shared" si="76"/>
        <v>42500000</v>
      </c>
      <c r="X574" s="359">
        <v>200</v>
      </c>
      <c r="Y574" s="362">
        <f t="shared" si="77"/>
        <v>42500000</v>
      </c>
      <c r="Z574" s="359">
        <v>200</v>
      </c>
      <c r="AA574" s="362">
        <f t="shared" si="78"/>
        <v>42500000</v>
      </c>
      <c r="AB574" s="361"/>
      <c r="AC574" s="342"/>
      <c r="AD574" s="348"/>
    </row>
    <row r="575" spans="1:30" s="349" customFormat="1">
      <c r="A575" s="359" t="s">
        <v>201</v>
      </c>
      <c r="B575" s="359">
        <v>350</v>
      </c>
      <c r="C575" s="504">
        <v>850</v>
      </c>
      <c r="D575" s="359">
        <v>100</v>
      </c>
      <c r="E575" s="362">
        <f>(B575*C575)*D575</f>
        <v>29750000</v>
      </c>
      <c r="F575" s="359">
        <v>100</v>
      </c>
      <c r="G575" s="362">
        <f t="shared" si="68"/>
        <v>29750000</v>
      </c>
      <c r="H575" s="359">
        <v>100</v>
      </c>
      <c r="I575" s="362">
        <f t="shared" si="69"/>
        <v>29750000</v>
      </c>
      <c r="J575" s="359">
        <v>100</v>
      </c>
      <c r="K575" s="362">
        <f t="shared" si="70"/>
        <v>29750000</v>
      </c>
      <c r="L575" s="359">
        <v>100</v>
      </c>
      <c r="M575" s="362">
        <f t="shared" si="71"/>
        <v>29750000</v>
      </c>
      <c r="N575" s="359">
        <v>100</v>
      </c>
      <c r="O575" s="362">
        <f t="shared" si="72"/>
        <v>29750000</v>
      </c>
      <c r="P575" s="359">
        <v>100</v>
      </c>
      <c r="Q575" s="362">
        <f t="shared" si="73"/>
        <v>29750000</v>
      </c>
      <c r="R575" s="359">
        <v>100</v>
      </c>
      <c r="S575" s="362">
        <f t="shared" si="74"/>
        <v>29750000</v>
      </c>
      <c r="T575" s="359">
        <v>100</v>
      </c>
      <c r="U575" s="362">
        <f t="shared" si="75"/>
        <v>29750000</v>
      </c>
      <c r="V575" s="359">
        <v>100</v>
      </c>
      <c r="W575" s="362">
        <f t="shared" si="76"/>
        <v>29750000</v>
      </c>
      <c r="X575" s="359">
        <v>100</v>
      </c>
      <c r="Y575" s="362">
        <f t="shared" si="77"/>
        <v>29750000</v>
      </c>
      <c r="Z575" s="359">
        <v>100</v>
      </c>
      <c r="AA575" s="362">
        <f t="shared" si="78"/>
        <v>29750000</v>
      </c>
      <c r="AB575" s="361"/>
      <c r="AC575" s="342"/>
      <c r="AD575" s="348"/>
    </row>
    <row r="576" spans="1:30" s="349" customFormat="1">
      <c r="A576" s="359" t="s">
        <v>201</v>
      </c>
      <c r="B576" s="359">
        <v>500</v>
      </c>
      <c r="C576" s="504">
        <v>850</v>
      </c>
      <c r="D576" s="359">
        <v>20</v>
      </c>
      <c r="E576" s="362">
        <f>(B576*C576)*D576</f>
        <v>8500000</v>
      </c>
      <c r="F576" s="359">
        <v>20</v>
      </c>
      <c r="G576" s="362">
        <f t="shared" si="68"/>
        <v>8500000</v>
      </c>
      <c r="H576" s="359">
        <v>20</v>
      </c>
      <c r="I576" s="362">
        <f t="shared" si="69"/>
        <v>8500000</v>
      </c>
      <c r="J576" s="359">
        <v>20</v>
      </c>
      <c r="K576" s="362">
        <f t="shared" si="70"/>
        <v>8500000</v>
      </c>
      <c r="L576" s="359">
        <v>20</v>
      </c>
      <c r="M576" s="362">
        <f t="shared" si="71"/>
        <v>8500000</v>
      </c>
      <c r="N576" s="359">
        <v>20</v>
      </c>
      <c r="O576" s="362">
        <f t="shared" si="72"/>
        <v>8500000</v>
      </c>
      <c r="P576" s="359">
        <v>20</v>
      </c>
      <c r="Q576" s="362">
        <f t="shared" si="73"/>
        <v>8500000</v>
      </c>
      <c r="R576" s="359">
        <v>20</v>
      </c>
      <c r="S576" s="362">
        <f t="shared" si="74"/>
        <v>8500000</v>
      </c>
      <c r="T576" s="359">
        <v>20</v>
      </c>
      <c r="U576" s="362">
        <f t="shared" si="75"/>
        <v>8500000</v>
      </c>
      <c r="V576" s="359">
        <v>20</v>
      </c>
      <c r="W576" s="362">
        <f t="shared" si="76"/>
        <v>8500000</v>
      </c>
      <c r="X576" s="359">
        <v>20</v>
      </c>
      <c r="Y576" s="362">
        <f t="shared" si="77"/>
        <v>8500000</v>
      </c>
      <c r="Z576" s="359">
        <v>20</v>
      </c>
      <c r="AA576" s="362">
        <f t="shared" si="78"/>
        <v>8500000</v>
      </c>
      <c r="AB576" s="361"/>
      <c r="AC576" s="342"/>
      <c r="AD576" s="348"/>
    </row>
    <row r="577" spans="1:30" s="349" customFormat="1">
      <c r="A577" s="359"/>
      <c r="B577" s="359"/>
      <c r="C577" s="504"/>
      <c r="D577" s="359"/>
      <c r="E577" s="362"/>
      <c r="F577" s="359"/>
      <c r="G577" s="362"/>
      <c r="H577" s="359"/>
      <c r="I577" s="362"/>
      <c r="J577" s="359"/>
      <c r="K577" s="362">
        <f t="shared" si="70"/>
        <v>0</v>
      </c>
      <c r="L577" s="359"/>
      <c r="M577" s="362">
        <f t="shared" si="71"/>
        <v>0</v>
      </c>
      <c r="N577" s="359"/>
      <c r="O577" s="362">
        <f t="shared" si="72"/>
        <v>0</v>
      </c>
      <c r="P577" s="359"/>
      <c r="Q577" s="362">
        <f t="shared" si="73"/>
        <v>0</v>
      </c>
      <c r="R577" s="359"/>
      <c r="S577" s="362">
        <f t="shared" si="74"/>
        <v>0</v>
      </c>
      <c r="T577" s="359"/>
      <c r="U577" s="362">
        <f t="shared" si="75"/>
        <v>0</v>
      </c>
      <c r="V577" s="359"/>
      <c r="W577" s="362">
        <f t="shared" si="76"/>
        <v>0</v>
      </c>
      <c r="X577" s="359"/>
      <c r="Y577" s="362">
        <f t="shared" si="77"/>
        <v>0</v>
      </c>
      <c r="Z577" s="359"/>
      <c r="AA577" s="362">
        <f t="shared" si="78"/>
        <v>0</v>
      </c>
      <c r="AB577" s="360"/>
      <c r="AC577" s="342"/>
      <c r="AD577" s="348"/>
    </row>
    <row r="578" spans="1:30" s="349" customFormat="1">
      <c r="A578" s="359" t="s">
        <v>202</v>
      </c>
      <c r="B578" s="359">
        <v>100</v>
      </c>
      <c r="C578" s="504">
        <v>850</v>
      </c>
      <c r="D578" s="359">
        <v>100</v>
      </c>
      <c r="E578" s="362">
        <f>(B578*C578)*D578</f>
        <v>8500000</v>
      </c>
      <c r="F578" s="359">
        <v>100</v>
      </c>
      <c r="G578" s="362">
        <f t="shared" si="68"/>
        <v>8500000</v>
      </c>
      <c r="H578" s="359">
        <v>100</v>
      </c>
      <c r="I578" s="362">
        <f t="shared" si="69"/>
        <v>8500000</v>
      </c>
      <c r="J578" s="359">
        <v>100</v>
      </c>
      <c r="K578" s="362">
        <f t="shared" si="70"/>
        <v>8500000</v>
      </c>
      <c r="L578" s="359">
        <v>100</v>
      </c>
      <c r="M578" s="362">
        <f t="shared" si="71"/>
        <v>8500000</v>
      </c>
      <c r="N578" s="359">
        <v>100</v>
      </c>
      <c r="O578" s="362">
        <f t="shared" si="72"/>
        <v>8500000</v>
      </c>
      <c r="P578" s="359">
        <v>100</v>
      </c>
      <c r="Q578" s="362">
        <f t="shared" si="73"/>
        <v>8500000</v>
      </c>
      <c r="R578" s="359">
        <v>100</v>
      </c>
      <c r="S578" s="362">
        <f t="shared" si="74"/>
        <v>8500000</v>
      </c>
      <c r="T578" s="359">
        <v>100</v>
      </c>
      <c r="U578" s="362">
        <f t="shared" si="75"/>
        <v>8500000</v>
      </c>
      <c r="V578" s="359">
        <v>100</v>
      </c>
      <c r="W578" s="362">
        <f t="shared" si="76"/>
        <v>8500000</v>
      </c>
      <c r="X578" s="359">
        <v>100</v>
      </c>
      <c r="Y578" s="362">
        <f t="shared" si="77"/>
        <v>8500000</v>
      </c>
      <c r="Z578" s="359">
        <v>100</v>
      </c>
      <c r="AA578" s="362">
        <f t="shared" si="78"/>
        <v>8500000</v>
      </c>
      <c r="AB578" s="361"/>
      <c r="AC578" s="342"/>
      <c r="AD578" s="348"/>
    </row>
    <row r="579" spans="1:30" s="349" customFormat="1">
      <c r="A579" s="359" t="s">
        <v>202</v>
      </c>
      <c r="B579" s="359">
        <v>150</v>
      </c>
      <c r="C579" s="504">
        <v>850</v>
      </c>
      <c r="D579" s="359">
        <v>80</v>
      </c>
      <c r="E579" s="362">
        <f>(B579*C579)*D579</f>
        <v>10200000</v>
      </c>
      <c r="F579" s="359">
        <v>80</v>
      </c>
      <c r="G579" s="362">
        <f t="shared" si="68"/>
        <v>10200000</v>
      </c>
      <c r="H579" s="359">
        <v>80</v>
      </c>
      <c r="I579" s="362">
        <f t="shared" si="69"/>
        <v>10200000</v>
      </c>
      <c r="J579" s="359">
        <v>80</v>
      </c>
      <c r="K579" s="362">
        <f t="shared" si="70"/>
        <v>10200000</v>
      </c>
      <c r="L579" s="359">
        <v>80</v>
      </c>
      <c r="M579" s="362">
        <f t="shared" si="71"/>
        <v>10200000</v>
      </c>
      <c r="N579" s="359">
        <v>80</v>
      </c>
      <c r="O579" s="362">
        <f t="shared" si="72"/>
        <v>10200000</v>
      </c>
      <c r="P579" s="359">
        <v>80</v>
      </c>
      <c r="Q579" s="362">
        <f t="shared" si="73"/>
        <v>10200000</v>
      </c>
      <c r="R579" s="359">
        <v>80</v>
      </c>
      <c r="S579" s="362">
        <f t="shared" si="74"/>
        <v>10200000</v>
      </c>
      <c r="T579" s="359">
        <v>80</v>
      </c>
      <c r="U579" s="362">
        <f t="shared" si="75"/>
        <v>10200000</v>
      </c>
      <c r="V579" s="359">
        <v>80</v>
      </c>
      <c r="W579" s="362">
        <f t="shared" si="76"/>
        <v>10200000</v>
      </c>
      <c r="X579" s="359">
        <v>80</v>
      </c>
      <c r="Y579" s="362">
        <f t="shared" si="77"/>
        <v>10200000</v>
      </c>
      <c r="Z579" s="359">
        <v>80</v>
      </c>
      <c r="AA579" s="362">
        <f t="shared" si="78"/>
        <v>10200000</v>
      </c>
      <c r="AB579" s="361"/>
      <c r="AC579" s="342"/>
      <c r="AD579" s="348"/>
    </row>
    <row r="580" spans="1:30" s="349" customFormat="1">
      <c r="A580" s="359" t="s">
        <v>202</v>
      </c>
      <c r="B580" s="359">
        <v>250</v>
      </c>
      <c r="C580" s="504">
        <v>850</v>
      </c>
      <c r="D580" s="359">
        <v>60</v>
      </c>
      <c r="E580" s="362">
        <f>(B580*C580)*D580</f>
        <v>12750000</v>
      </c>
      <c r="F580" s="359">
        <v>60</v>
      </c>
      <c r="G580" s="362">
        <f t="shared" si="68"/>
        <v>12750000</v>
      </c>
      <c r="H580" s="359">
        <v>60</v>
      </c>
      <c r="I580" s="362">
        <f t="shared" si="69"/>
        <v>12750000</v>
      </c>
      <c r="J580" s="359">
        <v>60</v>
      </c>
      <c r="K580" s="362">
        <f t="shared" si="70"/>
        <v>12750000</v>
      </c>
      <c r="L580" s="359">
        <v>60</v>
      </c>
      <c r="M580" s="362">
        <f t="shared" si="71"/>
        <v>12750000</v>
      </c>
      <c r="N580" s="359">
        <v>60</v>
      </c>
      <c r="O580" s="362">
        <f t="shared" si="72"/>
        <v>12750000</v>
      </c>
      <c r="P580" s="359">
        <v>60</v>
      </c>
      <c r="Q580" s="362">
        <f t="shared" si="73"/>
        <v>12750000</v>
      </c>
      <c r="R580" s="359">
        <v>60</v>
      </c>
      <c r="S580" s="362">
        <f t="shared" si="74"/>
        <v>12750000</v>
      </c>
      <c r="T580" s="359">
        <v>60</v>
      </c>
      <c r="U580" s="362">
        <f t="shared" si="75"/>
        <v>12750000</v>
      </c>
      <c r="V580" s="359">
        <v>60</v>
      </c>
      <c r="W580" s="362">
        <f t="shared" si="76"/>
        <v>12750000</v>
      </c>
      <c r="X580" s="359">
        <v>60</v>
      </c>
      <c r="Y580" s="362">
        <f t="shared" si="77"/>
        <v>12750000</v>
      </c>
      <c r="Z580" s="359">
        <v>60</v>
      </c>
      <c r="AA580" s="362">
        <f t="shared" si="78"/>
        <v>12750000</v>
      </c>
      <c r="AB580" s="361"/>
      <c r="AC580" s="342"/>
      <c r="AD580" s="348"/>
    </row>
    <row r="581" spans="1:30" s="349" customFormat="1">
      <c r="A581" s="359" t="s">
        <v>202</v>
      </c>
      <c r="B581" s="359">
        <v>350</v>
      </c>
      <c r="C581" s="504">
        <v>850</v>
      </c>
      <c r="D581" s="359">
        <v>40</v>
      </c>
      <c r="E581" s="362">
        <f>(B581*C581)*D581</f>
        <v>11900000</v>
      </c>
      <c r="F581" s="359">
        <v>40</v>
      </c>
      <c r="G581" s="362">
        <f t="shared" si="68"/>
        <v>11900000</v>
      </c>
      <c r="H581" s="359">
        <v>40</v>
      </c>
      <c r="I581" s="362">
        <f t="shared" si="69"/>
        <v>11900000</v>
      </c>
      <c r="J581" s="359">
        <v>40</v>
      </c>
      <c r="K581" s="362">
        <f t="shared" si="70"/>
        <v>11900000</v>
      </c>
      <c r="L581" s="359">
        <v>40</v>
      </c>
      <c r="M581" s="362">
        <f t="shared" si="71"/>
        <v>11900000</v>
      </c>
      <c r="N581" s="359">
        <v>40</v>
      </c>
      <c r="O581" s="362">
        <f t="shared" si="72"/>
        <v>11900000</v>
      </c>
      <c r="P581" s="359">
        <v>40</v>
      </c>
      <c r="Q581" s="362">
        <f t="shared" si="73"/>
        <v>11900000</v>
      </c>
      <c r="R581" s="359">
        <v>40</v>
      </c>
      <c r="S581" s="362">
        <f t="shared" si="74"/>
        <v>11900000</v>
      </c>
      <c r="T581" s="359">
        <v>40</v>
      </c>
      <c r="U581" s="362">
        <f t="shared" si="75"/>
        <v>11900000</v>
      </c>
      <c r="V581" s="359">
        <v>40</v>
      </c>
      <c r="W581" s="362">
        <f t="shared" si="76"/>
        <v>11900000</v>
      </c>
      <c r="X581" s="359">
        <v>40</v>
      </c>
      <c r="Y581" s="362">
        <f t="shared" si="77"/>
        <v>11900000</v>
      </c>
      <c r="Z581" s="359">
        <v>40</v>
      </c>
      <c r="AA581" s="362">
        <f t="shared" si="78"/>
        <v>11900000</v>
      </c>
      <c r="AB581" s="361"/>
      <c r="AC581" s="342"/>
      <c r="AD581" s="348"/>
    </row>
    <row r="582" spans="1:30" s="349" customFormat="1">
      <c r="A582" s="359" t="s">
        <v>202</v>
      </c>
      <c r="B582" s="359">
        <v>500</v>
      </c>
      <c r="C582" s="504">
        <v>850</v>
      </c>
      <c r="D582" s="359">
        <v>20</v>
      </c>
      <c r="E582" s="362">
        <f>(B582*C582)*D582</f>
        <v>8500000</v>
      </c>
      <c r="F582" s="359">
        <v>20</v>
      </c>
      <c r="G582" s="362">
        <f t="shared" si="68"/>
        <v>8500000</v>
      </c>
      <c r="H582" s="359">
        <v>20</v>
      </c>
      <c r="I582" s="362">
        <f t="shared" si="69"/>
        <v>8500000</v>
      </c>
      <c r="J582" s="359">
        <v>20</v>
      </c>
      <c r="K582" s="362">
        <f t="shared" si="70"/>
        <v>8500000</v>
      </c>
      <c r="L582" s="359">
        <v>20</v>
      </c>
      <c r="M582" s="362">
        <f t="shared" si="71"/>
        <v>8500000</v>
      </c>
      <c r="N582" s="359">
        <v>20</v>
      </c>
      <c r="O582" s="362">
        <f t="shared" si="72"/>
        <v>8500000</v>
      </c>
      <c r="P582" s="359">
        <v>20</v>
      </c>
      <c r="Q582" s="362">
        <f t="shared" si="73"/>
        <v>8500000</v>
      </c>
      <c r="R582" s="359">
        <v>20</v>
      </c>
      <c r="S582" s="362">
        <f t="shared" si="74"/>
        <v>8500000</v>
      </c>
      <c r="T582" s="359">
        <v>20</v>
      </c>
      <c r="U582" s="362">
        <f t="shared" si="75"/>
        <v>8500000</v>
      </c>
      <c r="V582" s="359">
        <v>20</v>
      </c>
      <c r="W582" s="362">
        <f t="shared" si="76"/>
        <v>8500000</v>
      </c>
      <c r="X582" s="359">
        <v>20</v>
      </c>
      <c r="Y582" s="362">
        <f t="shared" si="77"/>
        <v>8500000</v>
      </c>
      <c r="Z582" s="359">
        <v>20</v>
      </c>
      <c r="AA582" s="362">
        <f t="shared" si="78"/>
        <v>8500000</v>
      </c>
      <c r="AB582" s="361"/>
      <c r="AC582" s="342"/>
      <c r="AD582" s="348"/>
    </row>
    <row r="583" spans="1:30" s="349" customFormat="1">
      <c r="A583" s="359"/>
      <c r="B583" s="359"/>
      <c r="C583" s="504"/>
      <c r="D583" s="359"/>
      <c r="E583" s="362"/>
      <c r="F583" s="359"/>
      <c r="G583" s="362"/>
      <c r="H583" s="359"/>
      <c r="I583" s="362"/>
      <c r="J583" s="359"/>
      <c r="K583" s="362">
        <f t="shared" si="70"/>
        <v>0</v>
      </c>
      <c r="L583" s="359"/>
      <c r="M583" s="362">
        <f t="shared" si="71"/>
        <v>0</v>
      </c>
      <c r="N583" s="359"/>
      <c r="O583" s="362">
        <f t="shared" si="72"/>
        <v>0</v>
      </c>
      <c r="P583" s="359"/>
      <c r="Q583" s="362">
        <f t="shared" si="73"/>
        <v>0</v>
      </c>
      <c r="R583" s="359"/>
      <c r="S583" s="362">
        <f t="shared" si="74"/>
        <v>0</v>
      </c>
      <c r="T583" s="359"/>
      <c r="U583" s="362">
        <f t="shared" si="75"/>
        <v>0</v>
      </c>
      <c r="V583" s="359"/>
      <c r="W583" s="362">
        <f t="shared" si="76"/>
        <v>0</v>
      </c>
      <c r="X583" s="359"/>
      <c r="Y583" s="362">
        <f t="shared" si="77"/>
        <v>0</v>
      </c>
      <c r="Z583" s="359"/>
      <c r="AA583" s="362">
        <f t="shared" si="78"/>
        <v>0</v>
      </c>
      <c r="AB583" s="360"/>
      <c r="AC583" s="342"/>
      <c r="AD583" s="348"/>
    </row>
    <row r="584" spans="1:30" s="349" customFormat="1">
      <c r="A584" s="359" t="s">
        <v>203</v>
      </c>
      <c r="B584" s="359">
        <v>100</v>
      </c>
      <c r="C584" s="504">
        <v>850</v>
      </c>
      <c r="D584" s="359">
        <v>100</v>
      </c>
      <c r="E584" s="362">
        <f>(B584*C584)*D584</f>
        <v>8500000</v>
      </c>
      <c r="F584" s="359">
        <v>100</v>
      </c>
      <c r="G584" s="362">
        <f t="shared" si="68"/>
        <v>8500000</v>
      </c>
      <c r="H584" s="359">
        <v>100</v>
      </c>
      <c r="I584" s="362">
        <f t="shared" si="69"/>
        <v>8500000</v>
      </c>
      <c r="J584" s="359">
        <v>100</v>
      </c>
      <c r="K584" s="362">
        <f t="shared" si="70"/>
        <v>8500000</v>
      </c>
      <c r="L584" s="359">
        <v>100</v>
      </c>
      <c r="M584" s="362">
        <f t="shared" si="71"/>
        <v>8500000</v>
      </c>
      <c r="N584" s="359">
        <v>100</v>
      </c>
      <c r="O584" s="362">
        <f t="shared" si="72"/>
        <v>8500000</v>
      </c>
      <c r="P584" s="359">
        <v>100</v>
      </c>
      <c r="Q584" s="362">
        <f t="shared" si="73"/>
        <v>8500000</v>
      </c>
      <c r="R584" s="359">
        <v>100</v>
      </c>
      <c r="S584" s="362">
        <f t="shared" si="74"/>
        <v>8500000</v>
      </c>
      <c r="T584" s="359">
        <v>100</v>
      </c>
      <c r="U584" s="362">
        <f t="shared" si="75"/>
        <v>8500000</v>
      </c>
      <c r="V584" s="359">
        <v>100</v>
      </c>
      <c r="W584" s="362">
        <f t="shared" si="76"/>
        <v>8500000</v>
      </c>
      <c r="X584" s="359">
        <v>100</v>
      </c>
      <c r="Y584" s="362">
        <f t="shared" si="77"/>
        <v>8500000</v>
      </c>
      <c r="Z584" s="359">
        <v>100</v>
      </c>
      <c r="AA584" s="362">
        <f t="shared" si="78"/>
        <v>8500000</v>
      </c>
      <c r="AB584" s="361"/>
      <c r="AC584" s="342"/>
      <c r="AD584" s="348"/>
    </row>
    <row r="585" spans="1:30" s="349" customFormat="1">
      <c r="A585" s="359" t="s">
        <v>203</v>
      </c>
      <c r="B585" s="359">
        <v>150</v>
      </c>
      <c r="C585" s="504">
        <v>850</v>
      </c>
      <c r="D585" s="359">
        <v>80</v>
      </c>
      <c r="E585" s="362">
        <f>(B585*C585)*D585</f>
        <v>10200000</v>
      </c>
      <c r="F585" s="359">
        <v>80</v>
      </c>
      <c r="G585" s="362">
        <f t="shared" si="68"/>
        <v>10200000</v>
      </c>
      <c r="H585" s="359">
        <v>80</v>
      </c>
      <c r="I585" s="362">
        <f t="shared" si="69"/>
        <v>10200000</v>
      </c>
      <c r="J585" s="359">
        <v>80</v>
      </c>
      <c r="K585" s="362">
        <f t="shared" si="70"/>
        <v>10200000</v>
      </c>
      <c r="L585" s="359">
        <v>80</v>
      </c>
      <c r="M585" s="362">
        <f t="shared" si="71"/>
        <v>10200000</v>
      </c>
      <c r="N585" s="359">
        <v>80</v>
      </c>
      <c r="O585" s="362">
        <f t="shared" si="72"/>
        <v>10200000</v>
      </c>
      <c r="P585" s="359">
        <v>80</v>
      </c>
      <c r="Q585" s="362">
        <f t="shared" si="73"/>
        <v>10200000</v>
      </c>
      <c r="R585" s="359">
        <v>80</v>
      </c>
      <c r="S585" s="362">
        <f t="shared" si="74"/>
        <v>10200000</v>
      </c>
      <c r="T585" s="359">
        <v>80</v>
      </c>
      <c r="U585" s="362">
        <f t="shared" si="75"/>
        <v>10200000</v>
      </c>
      <c r="V585" s="359">
        <v>80</v>
      </c>
      <c r="W585" s="362">
        <f t="shared" si="76"/>
        <v>10200000</v>
      </c>
      <c r="X585" s="359">
        <v>80</v>
      </c>
      <c r="Y585" s="362">
        <f t="shared" si="77"/>
        <v>10200000</v>
      </c>
      <c r="Z585" s="359">
        <v>80</v>
      </c>
      <c r="AA585" s="362">
        <f t="shared" si="78"/>
        <v>10200000</v>
      </c>
      <c r="AB585" s="361"/>
      <c r="AC585" s="342"/>
      <c r="AD585" s="348"/>
    </row>
    <row r="586" spans="1:30" s="349" customFormat="1">
      <c r="A586" s="359" t="s">
        <v>203</v>
      </c>
      <c r="B586" s="359">
        <v>250</v>
      </c>
      <c r="C586" s="504">
        <v>850</v>
      </c>
      <c r="D586" s="359">
        <v>60</v>
      </c>
      <c r="E586" s="362">
        <f>(B586*C586)*D586</f>
        <v>12750000</v>
      </c>
      <c r="F586" s="359">
        <v>60</v>
      </c>
      <c r="G586" s="362">
        <f t="shared" si="68"/>
        <v>12750000</v>
      </c>
      <c r="H586" s="359">
        <v>60</v>
      </c>
      <c r="I586" s="362">
        <f t="shared" si="69"/>
        <v>12750000</v>
      </c>
      <c r="J586" s="359">
        <v>60</v>
      </c>
      <c r="K586" s="362">
        <f t="shared" si="70"/>
        <v>12750000</v>
      </c>
      <c r="L586" s="359">
        <v>60</v>
      </c>
      <c r="M586" s="362">
        <f t="shared" si="71"/>
        <v>12750000</v>
      </c>
      <c r="N586" s="359">
        <v>60</v>
      </c>
      <c r="O586" s="362">
        <f t="shared" si="72"/>
        <v>12750000</v>
      </c>
      <c r="P586" s="359">
        <v>60</v>
      </c>
      <c r="Q586" s="362">
        <f t="shared" si="73"/>
        <v>12750000</v>
      </c>
      <c r="R586" s="359">
        <v>60</v>
      </c>
      <c r="S586" s="362">
        <f t="shared" si="74"/>
        <v>12750000</v>
      </c>
      <c r="T586" s="359">
        <v>60</v>
      </c>
      <c r="U586" s="362">
        <f t="shared" si="75"/>
        <v>12750000</v>
      </c>
      <c r="V586" s="359">
        <v>60</v>
      </c>
      <c r="W586" s="362">
        <f t="shared" si="76"/>
        <v>12750000</v>
      </c>
      <c r="X586" s="359">
        <v>60</v>
      </c>
      <c r="Y586" s="362">
        <f t="shared" si="77"/>
        <v>12750000</v>
      </c>
      <c r="Z586" s="359">
        <v>60</v>
      </c>
      <c r="AA586" s="362">
        <f t="shared" si="78"/>
        <v>12750000</v>
      </c>
      <c r="AB586" s="361"/>
      <c r="AC586" s="342"/>
      <c r="AD586" s="348"/>
    </row>
    <row r="587" spans="1:30" s="349" customFormat="1">
      <c r="A587" s="359" t="s">
        <v>203</v>
      </c>
      <c r="B587" s="359">
        <v>350</v>
      </c>
      <c r="C587" s="504">
        <v>850</v>
      </c>
      <c r="D587" s="359">
        <v>40</v>
      </c>
      <c r="E587" s="362">
        <f>(B587*C587)*D587</f>
        <v>11900000</v>
      </c>
      <c r="F587" s="359">
        <v>40</v>
      </c>
      <c r="G587" s="362">
        <f t="shared" si="68"/>
        <v>11900000</v>
      </c>
      <c r="H587" s="359">
        <v>40</v>
      </c>
      <c r="I587" s="362">
        <f t="shared" si="69"/>
        <v>11900000</v>
      </c>
      <c r="J587" s="359">
        <v>40</v>
      </c>
      <c r="K587" s="362">
        <f t="shared" si="70"/>
        <v>11900000</v>
      </c>
      <c r="L587" s="359">
        <v>40</v>
      </c>
      <c r="M587" s="362">
        <f t="shared" si="71"/>
        <v>11900000</v>
      </c>
      <c r="N587" s="359">
        <v>40</v>
      </c>
      <c r="O587" s="362">
        <f t="shared" si="72"/>
        <v>11900000</v>
      </c>
      <c r="P587" s="359">
        <v>40</v>
      </c>
      <c r="Q587" s="362">
        <f t="shared" si="73"/>
        <v>11900000</v>
      </c>
      <c r="R587" s="359">
        <v>40</v>
      </c>
      <c r="S587" s="362">
        <f t="shared" si="74"/>
        <v>11900000</v>
      </c>
      <c r="T587" s="359">
        <v>40</v>
      </c>
      <c r="U587" s="362">
        <f t="shared" si="75"/>
        <v>11900000</v>
      </c>
      <c r="V587" s="359">
        <v>40</v>
      </c>
      <c r="W587" s="362">
        <f t="shared" si="76"/>
        <v>11900000</v>
      </c>
      <c r="X587" s="359">
        <v>40</v>
      </c>
      <c r="Y587" s="362">
        <f t="shared" si="77"/>
        <v>11900000</v>
      </c>
      <c r="Z587" s="359">
        <v>40</v>
      </c>
      <c r="AA587" s="362">
        <f t="shared" si="78"/>
        <v>11900000</v>
      </c>
      <c r="AB587" s="361"/>
      <c r="AC587" s="342"/>
      <c r="AD587" s="348"/>
    </row>
    <row r="588" spans="1:30" s="349" customFormat="1">
      <c r="A588" s="359" t="s">
        <v>203</v>
      </c>
      <c r="B588" s="359">
        <v>500</v>
      </c>
      <c r="C588" s="504">
        <v>850</v>
      </c>
      <c r="D588" s="359">
        <v>20</v>
      </c>
      <c r="E588" s="362">
        <f>(B588*C588)*D588</f>
        <v>8500000</v>
      </c>
      <c r="F588" s="359">
        <v>20</v>
      </c>
      <c r="G588" s="362">
        <f t="shared" si="68"/>
        <v>8500000</v>
      </c>
      <c r="H588" s="359">
        <v>20</v>
      </c>
      <c r="I588" s="362">
        <f t="shared" si="69"/>
        <v>8500000</v>
      </c>
      <c r="J588" s="359">
        <v>20</v>
      </c>
      <c r="K588" s="362">
        <f t="shared" si="70"/>
        <v>8500000</v>
      </c>
      <c r="L588" s="359">
        <v>20</v>
      </c>
      <c r="M588" s="362">
        <f t="shared" si="71"/>
        <v>8500000</v>
      </c>
      <c r="N588" s="359">
        <v>20</v>
      </c>
      <c r="O588" s="362">
        <f t="shared" si="72"/>
        <v>8500000</v>
      </c>
      <c r="P588" s="359">
        <v>20</v>
      </c>
      <c r="Q588" s="362">
        <f t="shared" si="73"/>
        <v>8500000</v>
      </c>
      <c r="R588" s="359">
        <v>20</v>
      </c>
      <c r="S588" s="362">
        <f t="shared" si="74"/>
        <v>8500000</v>
      </c>
      <c r="T588" s="359">
        <v>20</v>
      </c>
      <c r="U588" s="362">
        <f t="shared" si="75"/>
        <v>8500000</v>
      </c>
      <c r="V588" s="359">
        <v>20</v>
      </c>
      <c r="W588" s="362">
        <f t="shared" si="76"/>
        <v>8500000</v>
      </c>
      <c r="X588" s="359">
        <v>20</v>
      </c>
      <c r="Y588" s="362">
        <f t="shared" si="77"/>
        <v>8500000</v>
      </c>
      <c r="Z588" s="359">
        <v>20</v>
      </c>
      <c r="AA588" s="362">
        <f t="shared" si="78"/>
        <v>8500000</v>
      </c>
      <c r="AB588" s="361"/>
      <c r="AC588" s="342"/>
      <c r="AD588" s="348"/>
    </row>
    <row r="589" spans="1:30" s="349" customFormat="1">
      <c r="A589" s="359"/>
      <c r="B589" s="359"/>
      <c r="C589" s="504"/>
      <c r="D589" s="359"/>
      <c r="E589" s="362"/>
      <c r="F589" s="359"/>
      <c r="G589" s="362"/>
      <c r="H589" s="359"/>
      <c r="I589" s="362"/>
      <c r="J589" s="359"/>
      <c r="K589" s="362"/>
      <c r="L589" s="359"/>
      <c r="M589" s="362"/>
      <c r="N589" s="359"/>
      <c r="O589" s="362"/>
      <c r="P589" s="359"/>
      <c r="Q589" s="362"/>
      <c r="R589" s="359"/>
      <c r="S589" s="362"/>
      <c r="T589" s="359"/>
      <c r="U589" s="362"/>
      <c r="V589" s="359"/>
      <c r="W589" s="362"/>
      <c r="X589" s="359"/>
      <c r="Y589" s="362"/>
      <c r="Z589" s="359"/>
      <c r="AA589" s="362"/>
      <c r="AB589" s="361"/>
      <c r="AC589" s="342"/>
      <c r="AD589" s="348"/>
    </row>
    <row r="590" spans="1:30" s="349" customFormat="1">
      <c r="A590" s="474"/>
      <c r="B590" s="474"/>
      <c r="C590" s="505"/>
      <c r="D590" s="474">
        <v>0.15</v>
      </c>
      <c r="E590" s="476">
        <f>SUM(E568:E588)</f>
        <v>272000000</v>
      </c>
      <c r="F590" s="474">
        <v>0.15</v>
      </c>
      <c r="G590" s="475">
        <f>SUM(G568:G588)</f>
        <v>272000000</v>
      </c>
      <c r="H590" s="474">
        <v>0.15</v>
      </c>
      <c r="I590" s="475">
        <f>SUM(I568:I588)</f>
        <v>272000000</v>
      </c>
      <c r="J590" s="474">
        <v>0.15</v>
      </c>
      <c r="K590" s="475">
        <f>SUM(K568:K588)</f>
        <v>272000000</v>
      </c>
      <c r="L590" s="474">
        <v>0.15</v>
      </c>
      <c r="M590" s="475">
        <f>SUM(M568:M588)</f>
        <v>272000000</v>
      </c>
      <c r="N590" s="474">
        <v>0.15</v>
      </c>
      <c r="O590" s="475">
        <f>SUM(O568:O588)</f>
        <v>272000000</v>
      </c>
      <c r="P590" s="474">
        <v>0.15</v>
      </c>
      <c r="Q590" s="475">
        <f>SUM(Q568:Q588)</f>
        <v>272000000</v>
      </c>
      <c r="R590" s="474">
        <v>0.15</v>
      </c>
      <c r="S590" s="475">
        <f>SUM(S568:S588)</f>
        <v>272000000</v>
      </c>
      <c r="T590" s="474">
        <v>0.15</v>
      </c>
      <c r="U590" s="475">
        <f>SUM(U568:U588)</f>
        <v>272000000</v>
      </c>
      <c r="V590" s="474">
        <v>0.15</v>
      </c>
      <c r="W590" s="475">
        <f>SUM(W568:W589)</f>
        <v>272000000</v>
      </c>
      <c r="X590" s="474">
        <v>0.15</v>
      </c>
      <c r="Y590" s="475">
        <f>SUM(Y568:Y589)</f>
        <v>272000000</v>
      </c>
      <c r="Z590" s="474">
        <v>0.15</v>
      </c>
      <c r="AA590" s="475">
        <f>SUM(AA568:AA589)</f>
        <v>272000000</v>
      </c>
      <c r="AB590" s="476"/>
      <c r="AC590" s="342"/>
      <c r="AD590" s="473"/>
    </row>
    <row r="591" spans="1:30" s="349" customFormat="1">
      <c r="A591" s="486"/>
      <c r="B591" s="486"/>
      <c r="C591" s="506"/>
      <c r="D591" s="486"/>
      <c r="E591" s="487">
        <f>E590*D590</f>
        <v>40800000</v>
      </c>
      <c r="F591" s="486"/>
      <c r="G591" s="487">
        <f>G590*F590</f>
        <v>40800000</v>
      </c>
      <c r="H591" s="486"/>
      <c r="I591" s="487">
        <f>I590*H590</f>
        <v>40800000</v>
      </c>
      <c r="J591" s="486"/>
      <c r="K591" s="487">
        <f>K590*J590</f>
        <v>40800000</v>
      </c>
      <c r="L591" s="486"/>
      <c r="M591" s="487">
        <f>M590*L590</f>
        <v>40800000</v>
      </c>
      <c r="N591" s="486"/>
      <c r="O591" s="487">
        <f>O590*N590</f>
        <v>40800000</v>
      </c>
      <c r="P591" s="486"/>
      <c r="Q591" s="487">
        <f>Q590*P590</f>
        <v>40800000</v>
      </c>
      <c r="R591" s="486"/>
      <c r="S591" s="487">
        <f>S590*R590</f>
        <v>40800000</v>
      </c>
      <c r="T591" s="486"/>
      <c r="U591" s="487">
        <f>U590*T590</f>
        <v>40800000</v>
      </c>
      <c r="V591" s="486"/>
      <c r="W591" s="487">
        <f>W590*V590</f>
        <v>40800000</v>
      </c>
      <c r="X591" s="486"/>
      <c r="Y591" s="487">
        <f>Y590*X590</f>
        <v>40800000</v>
      </c>
      <c r="Z591" s="486"/>
      <c r="AA591" s="487">
        <f>AA590*Z590</f>
        <v>40800000</v>
      </c>
      <c r="AB591" s="488">
        <f>SUM(AA591,Y591,W591,U591,S591,Q591,O591,M591,K591,I591,G591,E591)</f>
        <v>489600000</v>
      </c>
      <c r="AC591" s="342"/>
      <c r="AD591" s="473"/>
    </row>
    <row r="592" spans="1:30" s="349" customFormat="1">
      <c r="A592" s="359"/>
      <c r="B592" s="359"/>
      <c r="C592" s="504"/>
      <c r="D592" s="359"/>
      <c r="E592" s="360"/>
      <c r="F592" s="359"/>
      <c r="G592" s="362"/>
      <c r="H592" s="359"/>
      <c r="I592" s="362"/>
      <c r="J592" s="359"/>
      <c r="K592" s="362">
        <f t="shared" si="70"/>
        <v>0</v>
      </c>
      <c r="L592" s="359"/>
      <c r="M592" s="362">
        <f t="shared" si="71"/>
        <v>0</v>
      </c>
      <c r="N592" s="359"/>
      <c r="O592" s="362">
        <f t="shared" si="72"/>
        <v>0</v>
      </c>
      <c r="P592" s="359"/>
      <c r="Q592" s="362">
        <f t="shared" si="73"/>
        <v>0</v>
      </c>
      <c r="R592" s="359"/>
      <c r="S592" s="362">
        <f t="shared" si="74"/>
        <v>0</v>
      </c>
      <c r="T592" s="359"/>
      <c r="U592" s="362">
        <f t="shared" si="75"/>
        <v>0</v>
      </c>
      <c r="V592" s="359"/>
      <c r="W592" s="362">
        <f t="shared" si="76"/>
        <v>0</v>
      </c>
      <c r="X592" s="359"/>
      <c r="Y592" s="362">
        <f t="shared" si="77"/>
        <v>0</v>
      </c>
      <c r="Z592" s="359"/>
      <c r="AA592" s="362">
        <f t="shared" si="78"/>
        <v>0</v>
      </c>
      <c r="AB592" s="360"/>
      <c r="AC592" s="342"/>
      <c r="AD592" s="348"/>
    </row>
    <row r="593" spans="1:30" s="349" customFormat="1">
      <c r="A593" s="359" t="s">
        <v>204</v>
      </c>
      <c r="B593" s="359">
        <v>26</v>
      </c>
      <c r="C593" s="504">
        <v>15000</v>
      </c>
      <c r="D593" s="359">
        <v>500</v>
      </c>
      <c r="E593" s="362">
        <f>(B593*C593)*D593</f>
        <v>195000000</v>
      </c>
      <c r="F593" s="359">
        <v>500</v>
      </c>
      <c r="G593" s="362">
        <f t="shared" si="68"/>
        <v>195000000</v>
      </c>
      <c r="H593" s="359">
        <v>500</v>
      </c>
      <c r="I593" s="362">
        <f t="shared" si="69"/>
        <v>195000000</v>
      </c>
      <c r="J593" s="359">
        <v>500</v>
      </c>
      <c r="K593" s="362">
        <f t="shared" si="70"/>
        <v>195000000</v>
      </c>
      <c r="L593" s="359">
        <v>500</v>
      </c>
      <c r="M593" s="362">
        <f t="shared" si="71"/>
        <v>195000000</v>
      </c>
      <c r="N593" s="359">
        <v>500</v>
      </c>
      <c r="O593" s="362">
        <f t="shared" si="72"/>
        <v>195000000</v>
      </c>
      <c r="P593" s="359">
        <v>500</v>
      </c>
      <c r="Q593" s="362">
        <f t="shared" si="73"/>
        <v>195000000</v>
      </c>
      <c r="R593" s="359">
        <v>500</v>
      </c>
      <c r="S593" s="362">
        <f t="shared" si="74"/>
        <v>195000000</v>
      </c>
      <c r="T593" s="359">
        <v>500</v>
      </c>
      <c r="U593" s="362">
        <f t="shared" si="75"/>
        <v>195000000</v>
      </c>
      <c r="V593" s="359">
        <v>500</v>
      </c>
      <c r="W593" s="362">
        <f t="shared" si="76"/>
        <v>195000000</v>
      </c>
      <c r="X593" s="359">
        <v>500</v>
      </c>
      <c r="Y593" s="362">
        <f t="shared" si="77"/>
        <v>195000000</v>
      </c>
      <c r="Z593" s="359">
        <v>500</v>
      </c>
      <c r="AA593" s="362">
        <f t="shared" si="78"/>
        <v>195000000</v>
      </c>
      <c r="AB593" s="361"/>
      <c r="AC593" s="342"/>
      <c r="AD593" s="348"/>
    </row>
    <row r="594" spans="1:30" s="349" customFormat="1">
      <c r="A594" s="359" t="s">
        <v>204</v>
      </c>
      <c r="B594" s="359">
        <v>33</v>
      </c>
      <c r="C594" s="504">
        <v>15000</v>
      </c>
      <c r="D594" s="359">
        <v>200</v>
      </c>
      <c r="E594" s="362">
        <f>(B594*C594)*D594</f>
        <v>99000000</v>
      </c>
      <c r="F594" s="359">
        <v>200</v>
      </c>
      <c r="G594" s="362">
        <f t="shared" si="68"/>
        <v>99000000</v>
      </c>
      <c r="H594" s="359">
        <v>200</v>
      </c>
      <c r="I594" s="362">
        <f t="shared" si="69"/>
        <v>99000000</v>
      </c>
      <c r="J594" s="359">
        <v>200</v>
      </c>
      <c r="K594" s="362">
        <f t="shared" si="70"/>
        <v>99000000</v>
      </c>
      <c r="L594" s="359">
        <v>200</v>
      </c>
      <c r="M594" s="362">
        <f t="shared" si="71"/>
        <v>99000000</v>
      </c>
      <c r="N594" s="359">
        <v>200</v>
      </c>
      <c r="O594" s="362">
        <f t="shared" si="72"/>
        <v>99000000</v>
      </c>
      <c r="P594" s="359">
        <v>200</v>
      </c>
      <c r="Q594" s="362">
        <f t="shared" si="73"/>
        <v>99000000</v>
      </c>
      <c r="R594" s="359">
        <v>200</v>
      </c>
      <c r="S594" s="362">
        <f t="shared" si="74"/>
        <v>99000000</v>
      </c>
      <c r="T594" s="359">
        <v>200</v>
      </c>
      <c r="U594" s="362">
        <f t="shared" si="75"/>
        <v>99000000</v>
      </c>
      <c r="V594" s="359">
        <v>200</v>
      </c>
      <c r="W594" s="362">
        <f t="shared" si="76"/>
        <v>99000000</v>
      </c>
      <c r="X594" s="359">
        <v>200</v>
      </c>
      <c r="Y594" s="362">
        <f t="shared" si="77"/>
        <v>99000000</v>
      </c>
      <c r="Z594" s="359">
        <v>200</v>
      </c>
      <c r="AA594" s="362">
        <f t="shared" si="78"/>
        <v>99000000</v>
      </c>
      <c r="AB594" s="361"/>
      <c r="AC594" s="342"/>
      <c r="AD594" s="348"/>
    </row>
    <row r="595" spans="1:30" s="349" customFormat="1">
      <c r="A595" s="359" t="s">
        <v>204</v>
      </c>
      <c r="B595" s="359">
        <v>64</v>
      </c>
      <c r="C595" s="504">
        <v>15000</v>
      </c>
      <c r="D595" s="359">
        <v>100</v>
      </c>
      <c r="E595" s="362">
        <f>(B595*C595)*D595</f>
        <v>96000000</v>
      </c>
      <c r="F595" s="359">
        <v>100</v>
      </c>
      <c r="G595" s="362">
        <f t="shared" si="68"/>
        <v>96000000</v>
      </c>
      <c r="H595" s="359">
        <v>100</v>
      </c>
      <c r="I595" s="362">
        <f t="shared" si="69"/>
        <v>96000000</v>
      </c>
      <c r="J595" s="359">
        <v>100</v>
      </c>
      <c r="K595" s="362">
        <f t="shared" si="70"/>
        <v>96000000</v>
      </c>
      <c r="L595" s="359">
        <v>100</v>
      </c>
      <c r="M595" s="362">
        <f t="shared" si="71"/>
        <v>96000000</v>
      </c>
      <c r="N595" s="359">
        <v>100</v>
      </c>
      <c r="O595" s="362">
        <f t="shared" si="72"/>
        <v>96000000</v>
      </c>
      <c r="P595" s="359">
        <v>100</v>
      </c>
      <c r="Q595" s="362">
        <f t="shared" si="73"/>
        <v>96000000</v>
      </c>
      <c r="R595" s="359">
        <v>100</v>
      </c>
      <c r="S595" s="362">
        <f t="shared" si="74"/>
        <v>96000000</v>
      </c>
      <c r="T595" s="359">
        <v>100</v>
      </c>
      <c r="U595" s="362">
        <f t="shared" si="75"/>
        <v>96000000</v>
      </c>
      <c r="V595" s="359">
        <v>100</v>
      </c>
      <c r="W595" s="362">
        <f t="shared" si="76"/>
        <v>96000000</v>
      </c>
      <c r="X595" s="359">
        <v>100</v>
      </c>
      <c r="Y595" s="362">
        <f t="shared" si="77"/>
        <v>96000000</v>
      </c>
      <c r="Z595" s="359">
        <v>100</v>
      </c>
      <c r="AA595" s="362">
        <f t="shared" si="78"/>
        <v>96000000</v>
      </c>
      <c r="AB595" s="361"/>
      <c r="AC595" s="342"/>
      <c r="AD595" s="348"/>
    </row>
    <row r="596" spans="1:30" s="349" customFormat="1">
      <c r="A596" s="359" t="s">
        <v>204</v>
      </c>
      <c r="B596" s="359">
        <v>100</v>
      </c>
      <c r="C596" s="504">
        <v>15000</v>
      </c>
      <c r="D596" s="359">
        <v>20</v>
      </c>
      <c r="E596" s="362">
        <f>(B596*C596)*D596</f>
        <v>30000000</v>
      </c>
      <c r="F596" s="359">
        <v>20</v>
      </c>
      <c r="G596" s="362">
        <f t="shared" si="68"/>
        <v>30000000</v>
      </c>
      <c r="H596" s="359">
        <v>20</v>
      </c>
      <c r="I596" s="362">
        <f t="shared" si="69"/>
        <v>30000000</v>
      </c>
      <c r="J596" s="359">
        <v>20</v>
      </c>
      <c r="K596" s="362">
        <f t="shared" si="70"/>
        <v>30000000</v>
      </c>
      <c r="L596" s="359">
        <v>20</v>
      </c>
      <c r="M596" s="362">
        <f t="shared" si="71"/>
        <v>30000000</v>
      </c>
      <c r="N596" s="359">
        <v>20</v>
      </c>
      <c r="O596" s="362">
        <f t="shared" si="72"/>
        <v>30000000</v>
      </c>
      <c r="P596" s="359">
        <v>20</v>
      </c>
      <c r="Q596" s="362">
        <f t="shared" si="73"/>
        <v>30000000</v>
      </c>
      <c r="R596" s="359">
        <v>20</v>
      </c>
      <c r="S596" s="362">
        <f t="shared" si="74"/>
        <v>30000000</v>
      </c>
      <c r="T596" s="359">
        <v>20</v>
      </c>
      <c r="U596" s="362">
        <f t="shared" si="75"/>
        <v>30000000</v>
      </c>
      <c r="V596" s="359">
        <v>20</v>
      </c>
      <c r="W596" s="362">
        <f t="shared" si="76"/>
        <v>30000000</v>
      </c>
      <c r="X596" s="359">
        <v>20</v>
      </c>
      <c r="Y596" s="362">
        <f t="shared" si="77"/>
        <v>30000000</v>
      </c>
      <c r="Z596" s="359">
        <v>20</v>
      </c>
      <c r="AA596" s="362">
        <f t="shared" si="78"/>
        <v>30000000</v>
      </c>
      <c r="AB596" s="361"/>
      <c r="AC596" s="342"/>
      <c r="AD596" s="348"/>
    </row>
    <row r="597" spans="1:30" s="349" customFormat="1">
      <c r="A597" s="359"/>
      <c r="B597" s="359"/>
      <c r="C597" s="504"/>
      <c r="D597" s="359"/>
      <c r="E597" s="362"/>
      <c r="F597" s="359"/>
      <c r="G597" s="362"/>
      <c r="H597" s="359"/>
      <c r="I597" s="362"/>
      <c r="J597" s="359"/>
      <c r="K597" s="362">
        <f t="shared" si="70"/>
        <v>0</v>
      </c>
      <c r="L597" s="359"/>
      <c r="M597" s="362">
        <f t="shared" si="71"/>
        <v>0</v>
      </c>
      <c r="N597" s="359"/>
      <c r="O597" s="362">
        <f t="shared" si="72"/>
        <v>0</v>
      </c>
      <c r="P597" s="359"/>
      <c r="Q597" s="362">
        <f t="shared" si="73"/>
        <v>0</v>
      </c>
      <c r="R597" s="359"/>
      <c r="S597" s="362">
        <f t="shared" si="74"/>
        <v>0</v>
      </c>
      <c r="T597" s="359"/>
      <c r="U597" s="362">
        <f t="shared" si="75"/>
        <v>0</v>
      </c>
      <c r="V597" s="359"/>
      <c r="W597" s="362">
        <f t="shared" si="76"/>
        <v>0</v>
      </c>
      <c r="X597" s="359"/>
      <c r="Y597" s="362">
        <f t="shared" si="77"/>
        <v>0</v>
      </c>
      <c r="Z597" s="359"/>
      <c r="AA597" s="362">
        <f t="shared" si="78"/>
        <v>0</v>
      </c>
      <c r="AB597" s="361"/>
      <c r="AC597" s="342"/>
      <c r="AD597" s="348"/>
    </row>
    <row r="598" spans="1:30" s="349" customFormat="1">
      <c r="A598" s="359" t="s">
        <v>205</v>
      </c>
      <c r="B598" s="359">
        <v>150</v>
      </c>
      <c r="C598" s="504">
        <v>15000</v>
      </c>
      <c r="D598" s="359">
        <v>500</v>
      </c>
      <c r="E598" s="362">
        <f>(B598*C598)*D598</f>
        <v>1125000000</v>
      </c>
      <c r="F598" s="359">
        <v>500</v>
      </c>
      <c r="G598" s="362">
        <f t="shared" si="68"/>
        <v>1125000000</v>
      </c>
      <c r="H598" s="359">
        <v>500</v>
      </c>
      <c r="I598" s="362">
        <f t="shared" si="69"/>
        <v>1125000000</v>
      </c>
      <c r="J598" s="359">
        <v>500</v>
      </c>
      <c r="K598" s="362">
        <f t="shared" si="70"/>
        <v>1125000000</v>
      </c>
      <c r="L598" s="359">
        <v>500</v>
      </c>
      <c r="M598" s="362">
        <f t="shared" si="71"/>
        <v>1125000000</v>
      </c>
      <c r="N598" s="359">
        <v>500</v>
      </c>
      <c r="O598" s="362">
        <f t="shared" si="72"/>
        <v>1125000000</v>
      </c>
      <c r="P598" s="359">
        <v>500</v>
      </c>
      <c r="Q598" s="362">
        <f t="shared" si="73"/>
        <v>1125000000</v>
      </c>
      <c r="R598" s="359">
        <v>500</v>
      </c>
      <c r="S598" s="362">
        <f t="shared" si="74"/>
        <v>1125000000</v>
      </c>
      <c r="T598" s="359">
        <v>500</v>
      </c>
      <c r="U598" s="362">
        <f t="shared" si="75"/>
        <v>1125000000</v>
      </c>
      <c r="V598" s="359">
        <v>500</v>
      </c>
      <c r="W598" s="362">
        <f t="shared" si="76"/>
        <v>1125000000</v>
      </c>
      <c r="X598" s="359">
        <v>500</v>
      </c>
      <c r="Y598" s="362">
        <f t="shared" si="77"/>
        <v>1125000000</v>
      </c>
      <c r="Z598" s="359">
        <v>500</v>
      </c>
      <c r="AA598" s="362">
        <f t="shared" si="78"/>
        <v>1125000000</v>
      </c>
      <c r="AB598" s="361"/>
      <c r="AC598" s="342"/>
      <c r="AD598" s="348"/>
    </row>
    <row r="599" spans="1:30" s="349" customFormat="1">
      <c r="A599" s="359" t="s">
        <v>205</v>
      </c>
      <c r="B599" s="359">
        <v>250</v>
      </c>
      <c r="C599" s="504">
        <v>15000</v>
      </c>
      <c r="D599" s="359">
        <v>200</v>
      </c>
      <c r="E599" s="362">
        <f>(B599*C599)*D599</f>
        <v>750000000</v>
      </c>
      <c r="F599" s="359">
        <v>200</v>
      </c>
      <c r="G599" s="362">
        <f t="shared" si="68"/>
        <v>750000000</v>
      </c>
      <c r="H599" s="359">
        <v>200</v>
      </c>
      <c r="I599" s="362">
        <f t="shared" si="69"/>
        <v>750000000</v>
      </c>
      <c r="J599" s="359">
        <v>200</v>
      </c>
      <c r="K599" s="362">
        <f t="shared" si="70"/>
        <v>750000000</v>
      </c>
      <c r="L599" s="359">
        <v>200</v>
      </c>
      <c r="M599" s="362">
        <f t="shared" si="71"/>
        <v>750000000</v>
      </c>
      <c r="N599" s="359">
        <v>200</v>
      </c>
      <c r="O599" s="362">
        <f t="shared" si="72"/>
        <v>750000000</v>
      </c>
      <c r="P599" s="359">
        <v>200</v>
      </c>
      <c r="Q599" s="362">
        <f t="shared" si="73"/>
        <v>750000000</v>
      </c>
      <c r="R599" s="359">
        <v>200</v>
      </c>
      <c r="S599" s="362">
        <f t="shared" si="74"/>
        <v>750000000</v>
      </c>
      <c r="T599" s="359">
        <v>200</v>
      </c>
      <c r="U599" s="362">
        <f t="shared" si="75"/>
        <v>750000000</v>
      </c>
      <c r="V599" s="359">
        <v>200</v>
      </c>
      <c r="W599" s="362">
        <f t="shared" si="76"/>
        <v>750000000</v>
      </c>
      <c r="X599" s="359">
        <v>200</v>
      </c>
      <c r="Y599" s="362">
        <f t="shared" si="77"/>
        <v>750000000</v>
      </c>
      <c r="Z599" s="359">
        <v>200</v>
      </c>
      <c r="AA599" s="362">
        <f t="shared" si="78"/>
        <v>750000000</v>
      </c>
      <c r="AB599" s="361"/>
      <c r="AC599" s="342"/>
      <c r="AD599" s="348"/>
    </row>
    <row r="600" spans="1:30" s="349" customFormat="1">
      <c r="A600" s="359" t="s">
        <v>205</v>
      </c>
      <c r="B600" s="359">
        <v>350</v>
      </c>
      <c r="C600" s="504">
        <v>15000</v>
      </c>
      <c r="D600" s="359">
        <v>100</v>
      </c>
      <c r="E600" s="362">
        <f>(B600*C600)*D600</f>
        <v>525000000</v>
      </c>
      <c r="F600" s="359">
        <v>100</v>
      </c>
      <c r="G600" s="362">
        <f t="shared" si="68"/>
        <v>525000000</v>
      </c>
      <c r="H600" s="359">
        <v>100</v>
      </c>
      <c r="I600" s="362">
        <f t="shared" si="69"/>
        <v>525000000</v>
      </c>
      <c r="J600" s="359">
        <v>100</v>
      </c>
      <c r="K600" s="362">
        <f t="shared" si="70"/>
        <v>525000000</v>
      </c>
      <c r="L600" s="359">
        <v>100</v>
      </c>
      <c r="M600" s="362">
        <f t="shared" si="71"/>
        <v>525000000</v>
      </c>
      <c r="N600" s="359">
        <v>100</v>
      </c>
      <c r="O600" s="362">
        <f t="shared" si="72"/>
        <v>525000000</v>
      </c>
      <c r="P600" s="359">
        <v>100</v>
      </c>
      <c r="Q600" s="362">
        <f t="shared" si="73"/>
        <v>525000000</v>
      </c>
      <c r="R600" s="359">
        <v>100</v>
      </c>
      <c r="S600" s="362">
        <f t="shared" si="74"/>
        <v>525000000</v>
      </c>
      <c r="T600" s="359">
        <v>100</v>
      </c>
      <c r="U600" s="362">
        <f t="shared" si="75"/>
        <v>525000000</v>
      </c>
      <c r="V600" s="359">
        <v>100</v>
      </c>
      <c r="W600" s="362">
        <f t="shared" si="76"/>
        <v>525000000</v>
      </c>
      <c r="X600" s="359">
        <v>100</v>
      </c>
      <c r="Y600" s="362">
        <f t="shared" si="77"/>
        <v>525000000</v>
      </c>
      <c r="Z600" s="359">
        <v>100</v>
      </c>
      <c r="AA600" s="362">
        <f t="shared" si="78"/>
        <v>525000000</v>
      </c>
      <c r="AB600" s="361"/>
      <c r="AC600" s="342"/>
      <c r="AD600" s="348"/>
    </row>
    <row r="601" spans="1:30" s="349" customFormat="1">
      <c r="A601" s="359" t="s">
        <v>205</v>
      </c>
      <c r="B601" s="359">
        <v>500</v>
      </c>
      <c r="C601" s="504">
        <v>15000</v>
      </c>
      <c r="D601" s="359">
        <v>20</v>
      </c>
      <c r="E601" s="362">
        <f>(B601*C601)*D601</f>
        <v>150000000</v>
      </c>
      <c r="F601" s="359">
        <v>20</v>
      </c>
      <c r="G601" s="362">
        <f t="shared" si="68"/>
        <v>150000000</v>
      </c>
      <c r="H601" s="359">
        <v>20</v>
      </c>
      <c r="I601" s="362">
        <f t="shared" si="69"/>
        <v>150000000</v>
      </c>
      <c r="J601" s="359">
        <v>20</v>
      </c>
      <c r="K601" s="362">
        <f t="shared" si="70"/>
        <v>150000000</v>
      </c>
      <c r="L601" s="359">
        <v>20</v>
      </c>
      <c r="M601" s="362">
        <f t="shared" si="71"/>
        <v>150000000</v>
      </c>
      <c r="N601" s="359">
        <v>20</v>
      </c>
      <c r="O601" s="362">
        <f t="shared" si="72"/>
        <v>150000000</v>
      </c>
      <c r="P601" s="359">
        <v>20</v>
      </c>
      <c r="Q601" s="362">
        <f t="shared" si="73"/>
        <v>150000000</v>
      </c>
      <c r="R601" s="359">
        <v>20</v>
      </c>
      <c r="S601" s="362">
        <f t="shared" si="74"/>
        <v>150000000</v>
      </c>
      <c r="T601" s="359">
        <v>20</v>
      </c>
      <c r="U601" s="362">
        <f t="shared" si="75"/>
        <v>150000000</v>
      </c>
      <c r="V601" s="359">
        <v>20</v>
      </c>
      <c r="W601" s="362">
        <f t="shared" si="76"/>
        <v>150000000</v>
      </c>
      <c r="X601" s="359">
        <v>20</v>
      </c>
      <c r="Y601" s="362">
        <f t="shared" si="77"/>
        <v>150000000</v>
      </c>
      <c r="Z601" s="359">
        <v>20</v>
      </c>
      <c r="AA601" s="362">
        <f t="shared" si="78"/>
        <v>150000000</v>
      </c>
      <c r="AB601" s="361"/>
      <c r="AC601" s="342"/>
      <c r="AD601" s="348"/>
    </row>
    <row r="602" spans="1:30" s="349" customFormat="1">
      <c r="A602" s="359"/>
      <c r="B602" s="359"/>
      <c r="C602" s="504"/>
      <c r="D602" s="359"/>
      <c r="E602" s="362"/>
      <c r="F602" s="359"/>
      <c r="G602" s="362"/>
      <c r="H602" s="359"/>
      <c r="I602" s="362"/>
      <c r="J602" s="359"/>
      <c r="K602" s="362">
        <f t="shared" si="70"/>
        <v>0</v>
      </c>
      <c r="L602" s="359"/>
      <c r="M602" s="362">
        <f t="shared" si="71"/>
        <v>0</v>
      </c>
      <c r="N602" s="359"/>
      <c r="O602" s="362">
        <f t="shared" si="72"/>
        <v>0</v>
      </c>
      <c r="P602" s="359"/>
      <c r="Q602" s="362">
        <f t="shared" si="73"/>
        <v>0</v>
      </c>
      <c r="R602" s="359"/>
      <c r="S602" s="362">
        <f t="shared" si="74"/>
        <v>0</v>
      </c>
      <c r="T602" s="359"/>
      <c r="U602" s="362">
        <f t="shared" si="75"/>
        <v>0</v>
      </c>
      <c r="V602" s="359"/>
      <c r="W602" s="362">
        <f t="shared" si="76"/>
        <v>0</v>
      </c>
      <c r="X602" s="359"/>
      <c r="Y602" s="362">
        <f t="shared" si="77"/>
        <v>0</v>
      </c>
      <c r="Z602" s="359"/>
      <c r="AA602" s="362">
        <f t="shared" si="78"/>
        <v>0</v>
      </c>
      <c r="AB602" s="361"/>
      <c r="AC602" s="342"/>
      <c r="AD602" s="348"/>
    </row>
    <row r="603" spans="1:30" s="349" customFormat="1">
      <c r="A603" s="359" t="s">
        <v>206</v>
      </c>
      <c r="B603" s="359">
        <v>100</v>
      </c>
      <c r="C603" s="504">
        <v>20000</v>
      </c>
      <c r="D603" s="359">
        <v>100</v>
      </c>
      <c r="E603" s="362">
        <f>(B603*C603)*D603</f>
        <v>200000000</v>
      </c>
      <c r="F603" s="359">
        <v>100</v>
      </c>
      <c r="G603" s="362">
        <f t="shared" si="68"/>
        <v>200000000</v>
      </c>
      <c r="H603" s="359">
        <v>100</v>
      </c>
      <c r="I603" s="362">
        <f t="shared" si="69"/>
        <v>200000000</v>
      </c>
      <c r="J603" s="359">
        <v>100</v>
      </c>
      <c r="K603" s="362">
        <f t="shared" si="70"/>
        <v>200000000</v>
      </c>
      <c r="L603" s="359">
        <v>100</v>
      </c>
      <c r="M603" s="362">
        <f t="shared" si="71"/>
        <v>200000000</v>
      </c>
      <c r="N603" s="359">
        <v>100</v>
      </c>
      <c r="O603" s="362">
        <f t="shared" si="72"/>
        <v>200000000</v>
      </c>
      <c r="P603" s="359">
        <v>100</v>
      </c>
      <c r="Q603" s="362">
        <f t="shared" si="73"/>
        <v>200000000</v>
      </c>
      <c r="R603" s="359">
        <v>100</v>
      </c>
      <c r="S603" s="362">
        <f t="shared" si="74"/>
        <v>200000000</v>
      </c>
      <c r="T603" s="359">
        <v>100</v>
      </c>
      <c r="U603" s="362">
        <f t="shared" si="75"/>
        <v>200000000</v>
      </c>
      <c r="V603" s="359">
        <v>100</v>
      </c>
      <c r="W603" s="362">
        <f t="shared" si="76"/>
        <v>200000000</v>
      </c>
      <c r="X603" s="359">
        <v>100</v>
      </c>
      <c r="Y603" s="362">
        <f t="shared" si="77"/>
        <v>200000000</v>
      </c>
      <c r="Z603" s="359">
        <v>100</v>
      </c>
      <c r="AA603" s="362">
        <f t="shared" si="78"/>
        <v>200000000</v>
      </c>
      <c r="AB603" s="361"/>
      <c r="AC603" s="342"/>
      <c r="AD603" s="348"/>
    </row>
    <row r="604" spans="1:30" s="349" customFormat="1">
      <c r="A604" s="359" t="s">
        <v>206</v>
      </c>
      <c r="B604" s="359">
        <v>150</v>
      </c>
      <c r="C604" s="504">
        <v>20000</v>
      </c>
      <c r="D604" s="359">
        <v>80</v>
      </c>
      <c r="E604" s="362">
        <f>(B604*C604)*D604</f>
        <v>240000000</v>
      </c>
      <c r="F604" s="359">
        <v>80</v>
      </c>
      <c r="G604" s="362">
        <f t="shared" si="68"/>
        <v>240000000</v>
      </c>
      <c r="H604" s="359">
        <v>80</v>
      </c>
      <c r="I604" s="362">
        <f t="shared" si="69"/>
        <v>240000000</v>
      </c>
      <c r="J604" s="359">
        <v>80</v>
      </c>
      <c r="K604" s="362">
        <f t="shared" si="70"/>
        <v>240000000</v>
      </c>
      <c r="L604" s="359">
        <v>80</v>
      </c>
      <c r="M604" s="362">
        <f t="shared" si="71"/>
        <v>240000000</v>
      </c>
      <c r="N604" s="359">
        <v>80</v>
      </c>
      <c r="O604" s="362">
        <f t="shared" si="72"/>
        <v>240000000</v>
      </c>
      <c r="P604" s="359">
        <v>80</v>
      </c>
      <c r="Q604" s="362">
        <f t="shared" si="73"/>
        <v>240000000</v>
      </c>
      <c r="R604" s="359">
        <v>80</v>
      </c>
      <c r="S604" s="362">
        <f t="shared" si="74"/>
        <v>240000000</v>
      </c>
      <c r="T604" s="359">
        <v>80</v>
      </c>
      <c r="U604" s="362">
        <f t="shared" si="75"/>
        <v>240000000</v>
      </c>
      <c r="V604" s="359">
        <v>80</v>
      </c>
      <c r="W604" s="362">
        <f t="shared" si="76"/>
        <v>240000000</v>
      </c>
      <c r="X604" s="359">
        <v>80</v>
      </c>
      <c r="Y604" s="362">
        <f t="shared" si="77"/>
        <v>240000000</v>
      </c>
      <c r="Z604" s="359">
        <v>80</v>
      </c>
      <c r="AA604" s="362">
        <f t="shared" si="78"/>
        <v>240000000</v>
      </c>
      <c r="AB604" s="361"/>
      <c r="AC604" s="342"/>
      <c r="AD604" s="348"/>
    </row>
    <row r="605" spans="1:30" s="349" customFormat="1">
      <c r="A605" s="359" t="s">
        <v>206</v>
      </c>
      <c r="B605" s="359">
        <v>250</v>
      </c>
      <c r="C605" s="504">
        <v>20000</v>
      </c>
      <c r="D605" s="359">
        <v>60</v>
      </c>
      <c r="E605" s="362">
        <f>(B605*C605)*D605</f>
        <v>300000000</v>
      </c>
      <c r="F605" s="359">
        <v>60</v>
      </c>
      <c r="G605" s="362">
        <f t="shared" si="68"/>
        <v>300000000</v>
      </c>
      <c r="H605" s="359">
        <v>60</v>
      </c>
      <c r="I605" s="362">
        <f t="shared" si="69"/>
        <v>300000000</v>
      </c>
      <c r="J605" s="359">
        <v>60</v>
      </c>
      <c r="K605" s="362">
        <f t="shared" si="70"/>
        <v>300000000</v>
      </c>
      <c r="L605" s="359">
        <v>60</v>
      </c>
      <c r="M605" s="362">
        <f t="shared" si="71"/>
        <v>300000000</v>
      </c>
      <c r="N605" s="359">
        <v>60</v>
      </c>
      <c r="O605" s="362">
        <f t="shared" si="72"/>
        <v>300000000</v>
      </c>
      <c r="P605" s="359">
        <v>60</v>
      </c>
      <c r="Q605" s="362">
        <f t="shared" si="73"/>
        <v>300000000</v>
      </c>
      <c r="R605" s="359">
        <v>60</v>
      </c>
      <c r="S605" s="362">
        <f t="shared" si="74"/>
        <v>300000000</v>
      </c>
      <c r="T605" s="359">
        <v>60</v>
      </c>
      <c r="U605" s="362">
        <f t="shared" si="75"/>
        <v>300000000</v>
      </c>
      <c r="V605" s="359">
        <v>60</v>
      </c>
      <c r="W605" s="362">
        <f t="shared" si="76"/>
        <v>300000000</v>
      </c>
      <c r="X605" s="359">
        <v>60</v>
      </c>
      <c r="Y605" s="362">
        <f t="shared" si="77"/>
        <v>300000000</v>
      </c>
      <c r="Z605" s="359">
        <v>60</v>
      </c>
      <c r="AA605" s="362">
        <f t="shared" si="78"/>
        <v>300000000</v>
      </c>
      <c r="AB605" s="361"/>
      <c r="AC605" s="342"/>
      <c r="AD605" s="348"/>
    </row>
    <row r="606" spans="1:30" s="349" customFormat="1">
      <c r="A606" s="359" t="s">
        <v>206</v>
      </c>
      <c r="B606" s="359">
        <v>350</v>
      </c>
      <c r="C606" s="504">
        <v>20000</v>
      </c>
      <c r="D606" s="359">
        <v>40</v>
      </c>
      <c r="E606" s="362">
        <f>(B606*C606)*D606</f>
        <v>280000000</v>
      </c>
      <c r="F606" s="359">
        <v>40</v>
      </c>
      <c r="G606" s="362">
        <f t="shared" si="68"/>
        <v>280000000</v>
      </c>
      <c r="H606" s="359">
        <v>40</v>
      </c>
      <c r="I606" s="362">
        <f t="shared" si="69"/>
        <v>280000000</v>
      </c>
      <c r="J606" s="359">
        <v>40</v>
      </c>
      <c r="K606" s="362">
        <f t="shared" si="70"/>
        <v>280000000</v>
      </c>
      <c r="L606" s="359">
        <v>40</v>
      </c>
      <c r="M606" s="362">
        <f t="shared" si="71"/>
        <v>280000000</v>
      </c>
      <c r="N606" s="359">
        <v>40</v>
      </c>
      <c r="O606" s="362">
        <f t="shared" si="72"/>
        <v>280000000</v>
      </c>
      <c r="P606" s="359">
        <v>40</v>
      </c>
      <c r="Q606" s="362">
        <f t="shared" si="73"/>
        <v>280000000</v>
      </c>
      <c r="R606" s="359">
        <v>40</v>
      </c>
      <c r="S606" s="362">
        <f t="shared" si="74"/>
        <v>280000000</v>
      </c>
      <c r="T606" s="359">
        <v>40</v>
      </c>
      <c r="U606" s="362">
        <f t="shared" si="75"/>
        <v>280000000</v>
      </c>
      <c r="V606" s="359">
        <v>40</v>
      </c>
      <c r="W606" s="362">
        <f t="shared" si="76"/>
        <v>280000000</v>
      </c>
      <c r="X606" s="359">
        <v>40</v>
      </c>
      <c r="Y606" s="362">
        <f t="shared" si="77"/>
        <v>280000000</v>
      </c>
      <c r="Z606" s="359">
        <v>40</v>
      </c>
      <c r="AA606" s="362">
        <f t="shared" si="78"/>
        <v>280000000</v>
      </c>
      <c r="AB606" s="361"/>
      <c r="AC606" s="342"/>
      <c r="AD606" s="348"/>
    </row>
    <row r="607" spans="1:30" s="349" customFormat="1">
      <c r="A607" s="359" t="s">
        <v>206</v>
      </c>
      <c r="B607" s="359">
        <v>500</v>
      </c>
      <c r="C607" s="504">
        <v>20000</v>
      </c>
      <c r="D607" s="359">
        <v>20</v>
      </c>
      <c r="E607" s="362">
        <f>(B607*C607)*D607</f>
        <v>200000000</v>
      </c>
      <c r="F607" s="359">
        <v>20</v>
      </c>
      <c r="G607" s="362">
        <f t="shared" si="68"/>
        <v>200000000</v>
      </c>
      <c r="H607" s="359">
        <v>20</v>
      </c>
      <c r="I607" s="362">
        <f t="shared" si="69"/>
        <v>200000000</v>
      </c>
      <c r="J607" s="359">
        <v>20</v>
      </c>
      <c r="K607" s="362">
        <f t="shared" si="70"/>
        <v>200000000</v>
      </c>
      <c r="L607" s="359">
        <v>20</v>
      </c>
      <c r="M607" s="362">
        <f t="shared" si="71"/>
        <v>200000000</v>
      </c>
      <c r="N607" s="359">
        <v>20</v>
      </c>
      <c r="O607" s="362">
        <f t="shared" si="72"/>
        <v>200000000</v>
      </c>
      <c r="P607" s="359">
        <v>20</v>
      </c>
      <c r="Q607" s="362">
        <f t="shared" si="73"/>
        <v>200000000</v>
      </c>
      <c r="R607" s="359">
        <v>20</v>
      </c>
      <c r="S607" s="362">
        <f t="shared" si="74"/>
        <v>200000000</v>
      </c>
      <c r="T607" s="359">
        <v>20</v>
      </c>
      <c r="U607" s="362">
        <f t="shared" si="75"/>
        <v>200000000</v>
      </c>
      <c r="V607" s="359">
        <v>20</v>
      </c>
      <c r="W607" s="362">
        <f t="shared" si="76"/>
        <v>200000000</v>
      </c>
      <c r="X607" s="359">
        <v>20</v>
      </c>
      <c r="Y607" s="362">
        <f t="shared" si="77"/>
        <v>200000000</v>
      </c>
      <c r="Z607" s="359">
        <v>20</v>
      </c>
      <c r="AA607" s="362">
        <f t="shared" si="78"/>
        <v>200000000</v>
      </c>
      <c r="AB607" s="361"/>
      <c r="AC607" s="342"/>
      <c r="AD607" s="348"/>
    </row>
    <row r="608" spans="1:30">
      <c r="A608" s="359"/>
      <c r="B608" s="359"/>
      <c r="C608" s="504"/>
      <c r="D608" s="359"/>
      <c r="E608" s="360"/>
      <c r="F608" s="359"/>
      <c r="G608" s="362"/>
      <c r="H608" s="359"/>
      <c r="I608" s="362"/>
      <c r="J608" s="359"/>
      <c r="K608" s="362">
        <f t="shared" si="70"/>
        <v>0</v>
      </c>
      <c r="L608" s="359"/>
      <c r="M608" s="362">
        <f t="shared" si="71"/>
        <v>0</v>
      </c>
      <c r="N608" s="359"/>
      <c r="O608" s="362">
        <f t="shared" si="72"/>
        <v>0</v>
      </c>
      <c r="P608" s="359"/>
      <c r="Q608" s="362">
        <f t="shared" si="73"/>
        <v>0</v>
      </c>
      <c r="R608" s="359"/>
      <c r="S608" s="362">
        <f t="shared" si="74"/>
        <v>0</v>
      </c>
      <c r="T608" s="359"/>
      <c r="U608" s="362">
        <f t="shared" si="75"/>
        <v>0</v>
      </c>
      <c r="V608" s="359"/>
      <c r="W608" s="362">
        <f t="shared" si="76"/>
        <v>0</v>
      </c>
      <c r="X608" s="359"/>
      <c r="Y608" s="362">
        <f t="shared" si="77"/>
        <v>0</v>
      </c>
      <c r="Z608" s="359"/>
      <c r="AA608" s="362">
        <f t="shared" si="78"/>
        <v>0</v>
      </c>
      <c r="AB608" s="361"/>
      <c r="AD608" s="350"/>
    </row>
    <row r="609" spans="1:30" s="349" customFormat="1">
      <c r="A609" s="359" t="s">
        <v>207</v>
      </c>
      <c r="B609" s="359">
        <v>100</v>
      </c>
      <c r="C609" s="504">
        <v>10000</v>
      </c>
      <c r="D609" s="359">
        <v>100</v>
      </c>
      <c r="E609" s="362">
        <f>(B609*C609)*D609</f>
        <v>100000000</v>
      </c>
      <c r="F609" s="359">
        <v>100</v>
      </c>
      <c r="G609" s="362">
        <f t="shared" si="68"/>
        <v>100000000</v>
      </c>
      <c r="H609" s="359">
        <v>100</v>
      </c>
      <c r="I609" s="362">
        <f t="shared" si="69"/>
        <v>100000000</v>
      </c>
      <c r="J609" s="359">
        <v>100</v>
      </c>
      <c r="K609" s="362">
        <f t="shared" si="70"/>
        <v>100000000</v>
      </c>
      <c r="L609" s="359">
        <v>100</v>
      </c>
      <c r="M609" s="362">
        <f t="shared" si="71"/>
        <v>100000000</v>
      </c>
      <c r="N609" s="359">
        <v>100</v>
      </c>
      <c r="O609" s="362">
        <f t="shared" si="72"/>
        <v>100000000</v>
      </c>
      <c r="P609" s="359">
        <v>100</v>
      </c>
      <c r="Q609" s="362">
        <f t="shared" si="73"/>
        <v>100000000</v>
      </c>
      <c r="R609" s="359">
        <v>100</v>
      </c>
      <c r="S609" s="362">
        <f t="shared" si="74"/>
        <v>100000000</v>
      </c>
      <c r="T609" s="359">
        <v>100</v>
      </c>
      <c r="U609" s="362">
        <f t="shared" si="75"/>
        <v>100000000</v>
      </c>
      <c r="V609" s="359">
        <v>100</v>
      </c>
      <c r="W609" s="362">
        <f t="shared" si="76"/>
        <v>100000000</v>
      </c>
      <c r="X609" s="359">
        <v>100</v>
      </c>
      <c r="Y609" s="362">
        <f t="shared" si="77"/>
        <v>100000000</v>
      </c>
      <c r="Z609" s="359">
        <v>100</v>
      </c>
      <c r="AA609" s="362">
        <f t="shared" si="78"/>
        <v>100000000</v>
      </c>
      <c r="AB609" s="361"/>
      <c r="AC609" s="342"/>
      <c r="AD609" s="348"/>
    </row>
    <row r="610" spans="1:30" s="349" customFormat="1">
      <c r="A610" s="359" t="s">
        <v>207</v>
      </c>
      <c r="B610" s="359">
        <v>150</v>
      </c>
      <c r="C610" s="504">
        <v>10000</v>
      </c>
      <c r="D610" s="359">
        <v>80</v>
      </c>
      <c r="E610" s="362">
        <f>(B610*C610)*D610</f>
        <v>120000000</v>
      </c>
      <c r="F610" s="359">
        <v>80</v>
      </c>
      <c r="G610" s="362">
        <f t="shared" si="68"/>
        <v>120000000</v>
      </c>
      <c r="H610" s="359">
        <v>80</v>
      </c>
      <c r="I610" s="362">
        <f t="shared" si="69"/>
        <v>120000000</v>
      </c>
      <c r="J610" s="359">
        <v>80</v>
      </c>
      <c r="K610" s="362">
        <f t="shared" si="70"/>
        <v>120000000</v>
      </c>
      <c r="L610" s="359">
        <v>80</v>
      </c>
      <c r="M610" s="362">
        <f t="shared" si="71"/>
        <v>120000000</v>
      </c>
      <c r="N610" s="359">
        <v>80</v>
      </c>
      <c r="O610" s="362">
        <f t="shared" si="72"/>
        <v>120000000</v>
      </c>
      <c r="P610" s="359">
        <v>80</v>
      </c>
      <c r="Q610" s="362">
        <f t="shared" si="73"/>
        <v>120000000</v>
      </c>
      <c r="R610" s="359">
        <v>80</v>
      </c>
      <c r="S610" s="362">
        <f t="shared" si="74"/>
        <v>120000000</v>
      </c>
      <c r="T610" s="359">
        <v>80</v>
      </c>
      <c r="U610" s="362">
        <f t="shared" si="75"/>
        <v>120000000</v>
      </c>
      <c r="V610" s="359">
        <v>80</v>
      </c>
      <c r="W610" s="362">
        <f t="shared" si="76"/>
        <v>120000000</v>
      </c>
      <c r="X610" s="359">
        <v>80</v>
      </c>
      <c r="Y610" s="362">
        <f t="shared" si="77"/>
        <v>120000000</v>
      </c>
      <c r="Z610" s="359">
        <v>80</v>
      </c>
      <c r="AA610" s="362">
        <f t="shared" si="78"/>
        <v>120000000</v>
      </c>
      <c r="AB610" s="361"/>
      <c r="AC610" s="342"/>
      <c r="AD610" s="348"/>
    </row>
    <row r="611" spans="1:30" s="349" customFormat="1">
      <c r="A611" s="359" t="s">
        <v>207</v>
      </c>
      <c r="B611" s="359">
        <v>250</v>
      </c>
      <c r="C611" s="504">
        <v>10000</v>
      </c>
      <c r="D611" s="359">
        <v>60</v>
      </c>
      <c r="E611" s="362">
        <f>(B611*C611)*D611</f>
        <v>150000000</v>
      </c>
      <c r="F611" s="359">
        <v>60</v>
      </c>
      <c r="G611" s="362">
        <f t="shared" si="68"/>
        <v>150000000</v>
      </c>
      <c r="H611" s="359">
        <v>60</v>
      </c>
      <c r="I611" s="362">
        <f t="shared" si="69"/>
        <v>150000000</v>
      </c>
      <c r="J611" s="359">
        <v>60</v>
      </c>
      <c r="K611" s="362">
        <f t="shared" si="70"/>
        <v>150000000</v>
      </c>
      <c r="L611" s="359">
        <v>60</v>
      </c>
      <c r="M611" s="362">
        <f t="shared" si="71"/>
        <v>150000000</v>
      </c>
      <c r="N611" s="359">
        <v>60</v>
      </c>
      <c r="O611" s="362">
        <f t="shared" si="72"/>
        <v>150000000</v>
      </c>
      <c r="P611" s="359">
        <v>60</v>
      </c>
      <c r="Q611" s="362">
        <f t="shared" si="73"/>
        <v>150000000</v>
      </c>
      <c r="R611" s="359">
        <v>60</v>
      </c>
      <c r="S611" s="362">
        <f t="shared" si="74"/>
        <v>150000000</v>
      </c>
      <c r="T611" s="359">
        <v>60</v>
      </c>
      <c r="U611" s="362">
        <f t="shared" si="75"/>
        <v>150000000</v>
      </c>
      <c r="V611" s="359">
        <v>60</v>
      </c>
      <c r="W611" s="362">
        <f t="shared" si="76"/>
        <v>150000000</v>
      </c>
      <c r="X611" s="359">
        <v>60</v>
      </c>
      <c r="Y611" s="362">
        <f t="shared" si="77"/>
        <v>150000000</v>
      </c>
      <c r="Z611" s="359">
        <v>60</v>
      </c>
      <c r="AA611" s="362">
        <f t="shared" si="78"/>
        <v>150000000</v>
      </c>
      <c r="AB611" s="361"/>
      <c r="AC611" s="342"/>
      <c r="AD611" s="348"/>
    </row>
    <row r="612" spans="1:30" s="349" customFormat="1">
      <c r="A612" s="359" t="s">
        <v>207</v>
      </c>
      <c r="B612" s="359">
        <v>350</v>
      </c>
      <c r="C612" s="504">
        <v>10000</v>
      </c>
      <c r="D612" s="359">
        <v>40</v>
      </c>
      <c r="E612" s="362">
        <f>(B612*C612)*D612</f>
        <v>140000000</v>
      </c>
      <c r="F612" s="359">
        <v>40</v>
      </c>
      <c r="G612" s="362">
        <f t="shared" si="68"/>
        <v>140000000</v>
      </c>
      <c r="H612" s="359">
        <v>40</v>
      </c>
      <c r="I612" s="362">
        <f t="shared" si="69"/>
        <v>140000000</v>
      </c>
      <c r="J612" s="359">
        <v>40</v>
      </c>
      <c r="K612" s="362">
        <f t="shared" si="70"/>
        <v>140000000</v>
      </c>
      <c r="L612" s="359">
        <v>40</v>
      </c>
      <c r="M612" s="362">
        <f t="shared" si="71"/>
        <v>140000000</v>
      </c>
      <c r="N612" s="359">
        <v>40</v>
      </c>
      <c r="O612" s="362">
        <f t="shared" si="72"/>
        <v>140000000</v>
      </c>
      <c r="P612" s="359">
        <v>40</v>
      </c>
      <c r="Q612" s="362">
        <f t="shared" si="73"/>
        <v>140000000</v>
      </c>
      <c r="R612" s="359">
        <v>40</v>
      </c>
      <c r="S612" s="362">
        <f t="shared" si="74"/>
        <v>140000000</v>
      </c>
      <c r="T612" s="359">
        <v>40</v>
      </c>
      <c r="U612" s="362">
        <f t="shared" si="75"/>
        <v>140000000</v>
      </c>
      <c r="V612" s="359">
        <v>40</v>
      </c>
      <c r="W612" s="362">
        <f t="shared" si="76"/>
        <v>140000000</v>
      </c>
      <c r="X612" s="359">
        <v>40</v>
      </c>
      <c r="Y612" s="362">
        <f t="shared" si="77"/>
        <v>140000000</v>
      </c>
      <c r="Z612" s="359">
        <v>40</v>
      </c>
      <c r="AA612" s="362">
        <f t="shared" si="78"/>
        <v>140000000</v>
      </c>
      <c r="AB612" s="361"/>
      <c r="AC612" s="342"/>
      <c r="AD612" s="348"/>
    </row>
    <row r="613" spans="1:30" s="349" customFormat="1">
      <c r="A613" s="359" t="s">
        <v>207</v>
      </c>
      <c r="B613" s="359">
        <v>500</v>
      </c>
      <c r="C613" s="504">
        <v>10000</v>
      </c>
      <c r="D613" s="359">
        <v>20</v>
      </c>
      <c r="E613" s="362">
        <f>(B613*C613)*D613</f>
        <v>100000000</v>
      </c>
      <c r="F613" s="359">
        <v>20</v>
      </c>
      <c r="G613" s="362">
        <f t="shared" si="68"/>
        <v>100000000</v>
      </c>
      <c r="H613" s="359">
        <v>20</v>
      </c>
      <c r="I613" s="362">
        <f t="shared" si="69"/>
        <v>100000000</v>
      </c>
      <c r="J613" s="359">
        <v>20</v>
      </c>
      <c r="K613" s="362">
        <f t="shared" si="70"/>
        <v>100000000</v>
      </c>
      <c r="L613" s="359">
        <v>20</v>
      </c>
      <c r="M613" s="362">
        <f t="shared" si="71"/>
        <v>100000000</v>
      </c>
      <c r="N613" s="359">
        <v>20</v>
      </c>
      <c r="O613" s="362">
        <f t="shared" si="72"/>
        <v>100000000</v>
      </c>
      <c r="P613" s="359">
        <v>20</v>
      </c>
      <c r="Q613" s="362">
        <f t="shared" si="73"/>
        <v>100000000</v>
      </c>
      <c r="R613" s="359">
        <v>20</v>
      </c>
      <c r="S613" s="362">
        <f t="shared" si="74"/>
        <v>100000000</v>
      </c>
      <c r="T613" s="359">
        <v>20</v>
      </c>
      <c r="U613" s="362">
        <f t="shared" si="75"/>
        <v>100000000</v>
      </c>
      <c r="V613" s="359">
        <v>20</v>
      </c>
      <c r="W613" s="362">
        <f t="shared" si="76"/>
        <v>100000000</v>
      </c>
      <c r="X613" s="359">
        <v>20</v>
      </c>
      <c r="Y613" s="362">
        <f t="shared" si="77"/>
        <v>100000000</v>
      </c>
      <c r="Z613" s="359">
        <v>20</v>
      </c>
      <c r="AA613" s="362">
        <f t="shared" si="78"/>
        <v>100000000</v>
      </c>
      <c r="AB613" s="361"/>
      <c r="AC613" s="342"/>
      <c r="AD613" s="348"/>
    </row>
    <row r="614" spans="1:30" s="349" customFormat="1">
      <c r="A614" s="359"/>
      <c r="B614" s="359"/>
      <c r="C614" s="504"/>
      <c r="D614" s="359"/>
      <c r="E614" s="362"/>
      <c r="F614" s="359"/>
      <c r="G614" s="362"/>
      <c r="H614" s="359"/>
      <c r="I614" s="362"/>
      <c r="J614" s="359"/>
      <c r="K614" s="362"/>
      <c r="L614" s="359"/>
      <c r="M614" s="362"/>
      <c r="N614" s="359"/>
      <c r="O614" s="362"/>
      <c r="P614" s="359"/>
      <c r="Q614" s="362"/>
      <c r="R614" s="359"/>
      <c r="S614" s="362"/>
      <c r="T614" s="359"/>
      <c r="U614" s="362"/>
      <c r="V614" s="359"/>
      <c r="W614" s="362"/>
      <c r="X614" s="359"/>
      <c r="Y614" s="362"/>
      <c r="Z614" s="359"/>
      <c r="AA614" s="362"/>
      <c r="AB614" s="360"/>
      <c r="AC614" s="342"/>
      <c r="AD614" s="348"/>
    </row>
    <row r="615" spans="1:30" s="479" customFormat="1">
      <c r="A615" s="474"/>
      <c r="B615" s="474"/>
      <c r="C615" s="505"/>
      <c r="D615" s="474">
        <v>0.1</v>
      </c>
      <c r="E615" s="475">
        <f>SUM(E593:E613)</f>
        <v>4800000000</v>
      </c>
      <c r="F615" s="474">
        <v>0.1</v>
      </c>
      <c r="G615" s="475">
        <f>SUM(G593:G613)</f>
        <v>4800000000</v>
      </c>
      <c r="H615" s="474">
        <v>0.1</v>
      </c>
      <c r="I615" s="475">
        <f>SUM(I593:I613)</f>
        <v>4800000000</v>
      </c>
      <c r="J615" s="474">
        <v>0.1</v>
      </c>
      <c r="K615" s="475">
        <f>SUM(K593:K613)</f>
        <v>4800000000</v>
      </c>
      <c r="L615" s="474">
        <v>0.1</v>
      </c>
      <c r="M615" s="475">
        <f>SUM(M593:M613)</f>
        <v>4800000000</v>
      </c>
      <c r="N615" s="474">
        <v>0.1</v>
      </c>
      <c r="O615" s="475">
        <f>SUM(O593:O613)</f>
        <v>4800000000</v>
      </c>
      <c r="P615" s="474">
        <v>0.1</v>
      </c>
      <c r="Q615" s="475">
        <f>SUM(Q593:Q613)</f>
        <v>4800000000</v>
      </c>
      <c r="R615" s="474">
        <v>0.1</v>
      </c>
      <c r="S615" s="475">
        <f>SUM(S593:S613)</f>
        <v>4800000000</v>
      </c>
      <c r="T615" s="474">
        <v>0.1</v>
      </c>
      <c r="U615" s="475">
        <f>SUM(U593:U613)</f>
        <v>4800000000</v>
      </c>
      <c r="V615" s="474">
        <v>0.1</v>
      </c>
      <c r="W615" s="475">
        <f>SUM(W593:W613)</f>
        <v>4800000000</v>
      </c>
      <c r="X615" s="474">
        <v>0.1</v>
      </c>
      <c r="Y615" s="475">
        <f>SUM(Y593:Y613)</f>
        <v>4800000000</v>
      </c>
      <c r="Z615" s="474">
        <v>0.1</v>
      </c>
      <c r="AA615" s="475">
        <f>SUM(AA593:AA613)</f>
        <v>4800000000</v>
      </c>
      <c r="AB615" s="476"/>
      <c r="AC615" s="477"/>
      <c r="AD615" s="478"/>
    </row>
    <row r="616" spans="1:30" s="485" customFormat="1">
      <c r="A616" s="480"/>
      <c r="B616" s="480"/>
      <c r="C616" s="507"/>
      <c r="D616" s="480"/>
      <c r="E616" s="481">
        <f>E615*D615</f>
        <v>480000000</v>
      </c>
      <c r="F616" s="480"/>
      <c r="G616" s="482">
        <f>G615*F615</f>
        <v>480000000</v>
      </c>
      <c r="H616" s="480"/>
      <c r="I616" s="481">
        <f>I615*H615</f>
        <v>480000000</v>
      </c>
      <c r="J616" s="480"/>
      <c r="K616" s="481">
        <f>K615*J615</f>
        <v>480000000</v>
      </c>
      <c r="L616" s="480"/>
      <c r="M616" s="481">
        <f>M615*L615</f>
        <v>480000000</v>
      </c>
      <c r="N616" s="480"/>
      <c r="O616" s="481">
        <f>O615*N615</f>
        <v>480000000</v>
      </c>
      <c r="P616" s="480"/>
      <c r="Q616" s="481">
        <f>Q615*P615</f>
        <v>480000000</v>
      </c>
      <c r="R616" s="480"/>
      <c r="S616" s="481">
        <f>S615*R615</f>
        <v>480000000</v>
      </c>
      <c r="T616" s="480"/>
      <c r="U616" s="481">
        <f>U615*T615</f>
        <v>480000000</v>
      </c>
      <c r="V616" s="480"/>
      <c r="W616" s="481">
        <f>W615*V615</f>
        <v>480000000</v>
      </c>
      <c r="X616" s="480"/>
      <c r="Y616" s="481">
        <f>Y615*X615</f>
        <v>480000000</v>
      </c>
      <c r="Z616" s="480"/>
      <c r="AA616" s="481">
        <f>AA615*Z615</f>
        <v>480000000</v>
      </c>
      <c r="AB616" s="481">
        <f>SUM(AA616,Y616,W616,U616,S616,Q616,O616,M616,K616,I616,G616,E616)</f>
        <v>5760000000</v>
      </c>
      <c r="AC616" s="483"/>
      <c r="AD616" s="484"/>
    </row>
    <row r="617" spans="1:30" s="349" customFormat="1">
      <c r="A617" s="359"/>
      <c r="B617" s="359"/>
      <c r="C617" s="504"/>
      <c r="D617" s="359"/>
      <c r="E617" s="360"/>
      <c r="F617" s="359"/>
      <c r="G617" s="362"/>
      <c r="H617" s="359"/>
      <c r="I617" s="362"/>
      <c r="J617" s="359"/>
      <c r="K617" s="362"/>
      <c r="L617" s="359"/>
      <c r="M617" s="362"/>
      <c r="N617" s="359"/>
      <c r="O617" s="362"/>
      <c r="P617" s="359"/>
      <c r="Q617" s="362"/>
      <c r="R617" s="359"/>
      <c r="S617" s="362"/>
      <c r="T617" s="359"/>
      <c r="U617" s="362"/>
      <c r="V617" s="359"/>
      <c r="W617" s="362"/>
      <c r="X617" s="359"/>
      <c r="Y617" s="362"/>
      <c r="Z617" s="359"/>
      <c r="AA617" s="362"/>
      <c r="AB617" s="360"/>
      <c r="AC617" s="342"/>
      <c r="AD617" s="348"/>
    </row>
    <row r="618" spans="1:30" s="349" customFormat="1">
      <c r="A618" s="359" t="s">
        <v>217</v>
      </c>
      <c r="B618" s="359">
        <v>26</v>
      </c>
      <c r="C618" s="504">
        <v>3500</v>
      </c>
      <c r="D618" s="359">
        <v>500</v>
      </c>
      <c r="E618" s="362">
        <f>D618*C618</f>
        <v>1750000</v>
      </c>
      <c r="F618" s="359">
        <v>500</v>
      </c>
      <c r="G618" s="362">
        <f>F618*C618</f>
        <v>1750000</v>
      </c>
      <c r="H618" s="359">
        <v>500</v>
      </c>
      <c r="I618" s="362">
        <f>H618*C618</f>
        <v>1750000</v>
      </c>
      <c r="J618" s="359">
        <v>500</v>
      </c>
      <c r="K618" s="362">
        <f>J618*C618</f>
        <v>1750000</v>
      </c>
      <c r="L618" s="359">
        <v>500</v>
      </c>
      <c r="M618" s="362">
        <f>L618*C618</f>
        <v>1750000</v>
      </c>
      <c r="N618" s="359">
        <v>500</v>
      </c>
      <c r="O618" s="362">
        <f>N618*C618</f>
        <v>1750000</v>
      </c>
      <c r="P618" s="359">
        <v>500</v>
      </c>
      <c r="Q618" s="362">
        <f>P618*C618</f>
        <v>1750000</v>
      </c>
      <c r="R618" s="359">
        <v>500</v>
      </c>
      <c r="S618" s="362">
        <f>R618*C618</f>
        <v>1750000</v>
      </c>
      <c r="T618" s="359">
        <v>500</v>
      </c>
      <c r="U618" s="362">
        <f>T618*C618</f>
        <v>1750000</v>
      </c>
      <c r="V618" s="359">
        <v>500</v>
      </c>
      <c r="W618" s="362">
        <f>V618*C618</f>
        <v>1750000</v>
      </c>
      <c r="X618" s="359">
        <v>500</v>
      </c>
      <c r="Y618" s="362">
        <f>X618*C618</f>
        <v>1750000</v>
      </c>
      <c r="Z618" s="359">
        <v>500</v>
      </c>
      <c r="AA618" s="362">
        <f>Z618*C618</f>
        <v>1750000</v>
      </c>
      <c r="AB618" s="361"/>
      <c r="AC618" s="342"/>
      <c r="AD618" s="348"/>
    </row>
    <row r="619" spans="1:30" s="349" customFormat="1">
      <c r="A619" s="359" t="s">
        <v>217</v>
      </c>
      <c r="B619" s="359">
        <v>33</v>
      </c>
      <c r="C619" s="504">
        <v>4500</v>
      </c>
      <c r="D619" s="359">
        <v>200</v>
      </c>
      <c r="E619" s="362">
        <f>D619*C619</f>
        <v>900000</v>
      </c>
      <c r="F619" s="359">
        <v>200</v>
      </c>
      <c r="G619" s="362">
        <f>F619*C619</f>
        <v>900000</v>
      </c>
      <c r="H619" s="359">
        <v>200</v>
      </c>
      <c r="I619" s="362">
        <f>H619*C619</f>
        <v>900000</v>
      </c>
      <c r="J619" s="359">
        <v>200</v>
      </c>
      <c r="K619" s="362">
        <f>J619*C619</f>
        <v>900000</v>
      </c>
      <c r="L619" s="359">
        <v>200</v>
      </c>
      <c r="M619" s="362">
        <f>L619*C619</f>
        <v>900000</v>
      </c>
      <c r="N619" s="359">
        <v>200</v>
      </c>
      <c r="O619" s="362">
        <f>N619*C619</f>
        <v>900000</v>
      </c>
      <c r="P619" s="359">
        <v>200</v>
      </c>
      <c r="Q619" s="362">
        <f>P619*C619</f>
        <v>900000</v>
      </c>
      <c r="R619" s="359">
        <v>200</v>
      </c>
      <c r="S619" s="362">
        <f>R619*C619</f>
        <v>900000</v>
      </c>
      <c r="T619" s="359">
        <v>200</v>
      </c>
      <c r="U619" s="362">
        <f>T619*C619</f>
        <v>900000</v>
      </c>
      <c r="V619" s="359">
        <v>200</v>
      </c>
      <c r="W619" s="362">
        <f>V619*C619</f>
        <v>900000</v>
      </c>
      <c r="X619" s="359">
        <v>200</v>
      </c>
      <c r="Y619" s="362">
        <f>X619*C619</f>
        <v>900000</v>
      </c>
      <c r="Z619" s="359">
        <v>200</v>
      </c>
      <c r="AA619" s="362">
        <f>Z619*C619</f>
        <v>900000</v>
      </c>
      <c r="AB619" s="361"/>
      <c r="AC619" s="342"/>
      <c r="AD619" s="348"/>
    </row>
    <row r="620" spans="1:30" s="349" customFormat="1">
      <c r="A620" s="359" t="s">
        <v>217</v>
      </c>
      <c r="B620" s="359">
        <v>64</v>
      </c>
      <c r="C620" s="504">
        <v>5500</v>
      </c>
      <c r="D620" s="359">
        <v>100</v>
      </c>
      <c r="E620" s="362">
        <f>D620*C620</f>
        <v>550000</v>
      </c>
      <c r="F620" s="359">
        <v>100</v>
      </c>
      <c r="G620" s="362">
        <f>F620*C620</f>
        <v>550000</v>
      </c>
      <c r="H620" s="359">
        <v>100</v>
      </c>
      <c r="I620" s="362">
        <f>H620*C620</f>
        <v>550000</v>
      </c>
      <c r="J620" s="359">
        <v>100</v>
      </c>
      <c r="K620" s="362">
        <f>J620*C620</f>
        <v>550000</v>
      </c>
      <c r="L620" s="359">
        <v>100</v>
      </c>
      <c r="M620" s="362">
        <f>L620*C620</f>
        <v>550000</v>
      </c>
      <c r="N620" s="359">
        <v>100</v>
      </c>
      <c r="O620" s="362">
        <f>N620*C620</f>
        <v>550000</v>
      </c>
      <c r="P620" s="359">
        <v>100</v>
      </c>
      <c r="Q620" s="362">
        <f>P620*C620</f>
        <v>550000</v>
      </c>
      <c r="R620" s="359">
        <v>100</v>
      </c>
      <c r="S620" s="362">
        <f>R620*C620</f>
        <v>550000</v>
      </c>
      <c r="T620" s="359">
        <v>100</v>
      </c>
      <c r="U620" s="362">
        <f>T620*C620</f>
        <v>550000</v>
      </c>
      <c r="V620" s="359">
        <v>100</v>
      </c>
      <c r="W620" s="362">
        <f>V620*C620</f>
        <v>550000</v>
      </c>
      <c r="X620" s="359">
        <v>100</v>
      </c>
      <c r="Y620" s="362">
        <f>X620*C620</f>
        <v>550000</v>
      </c>
      <c r="Z620" s="359">
        <v>100</v>
      </c>
      <c r="AA620" s="362">
        <f>Z620*C620</f>
        <v>550000</v>
      </c>
      <c r="AB620" s="361"/>
      <c r="AC620" s="342"/>
      <c r="AD620" s="348"/>
    </row>
    <row r="621" spans="1:30" s="349" customFormat="1">
      <c r="A621" s="359" t="s">
        <v>217</v>
      </c>
      <c r="B621" s="359">
        <v>100</v>
      </c>
      <c r="C621" s="504">
        <v>6500</v>
      </c>
      <c r="D621" s="359">
        <v>20</v>
      </c>
      <c r="E621" s="362">
        <f>D621*C621</f>
        <v>130000</v>
      </c>
      <c r="F621" s="359">
        <v>20</v>
      </c>
      <c r="G621" s="362">
        <f>F621*C621</f>
        <v>130000</v>
      </c>
      <c r="H621" s="359">
        <v>20</v>
      </c>
      <c r="I621" s="362">
        <f>H621*C621</f>
        <v>130000</v>
      </c>
      <c r="J621" s="359">
        <v>20</v>
      </c>
      <c r="K621" s="362">
        <f>J621*C621</f>
        <v>130000</v>
      </c>
      <c r="L621" s="359">
        <v>20</v>
      </c>
      <c r="M621" s="362">
        <f>L621*C621</f>
        <v>130000</v>
      </c>
      <c r="N621" s="359">
        <v>20</v>
      </c>
      <c r="O621" s="362">
        <f>N621*C621</f>
        <v>130000</v>
      </c>
      <c r="P621" s="359">
        <v>20</v>
      </c>
      <c r="Q621" s="362">
        <f>P621*C621</f>
        <v>130000</v>
      </c>
      <c r="R621" s="359">
        <v>20</v>
      </c>
      <c r="S621" s="362">
        <f>R621*C621</f>
        <v>130000</v>
      </c>
      <c r="T621" s="359">
        <v>20</v>
      </c>
      <c r="U621" s="362">
        <f>T621*C621</f>
        <v>130000</v>
      </c>
      <c r="V621" s="359">
        <v>20</v>
      </c>
      <c r="W621" s="362">
        <f>V621*C621</f>
        <v>130000</v>
      </c>
      <c r="X621" s="359">
        <v>20</v>
      </c>
      <c r="Y621" s="362">
        <f>X621*C621</f>
        <v>130000</v>
      </c>
      <c r="Z621" s="359">
        <v>20</v>
      </c>
      <c r="AA621" s="362">
        <f>Z621*C621</f>
        <v>130000</v>
      </c>
      <c r="AB621" s="361"/>
      <c r="AC621" s="342"/>
      <c r="AD621" s="348"/>
    </row>
    <row r="622" spans="1:30" s="349" customFormat="1">
      <c r="A622" s="359"/>
      <c r="B622" s="359"/>
      <c r="C622" s="504"/>
      <c r="D622" s="359"/>
      <c r="E622" s="362"/>
      <c r="F622" s="359"/>
      <c r="G622" s="362"/>
      <c r="H622" s="359"/>
      <c r="I622" s="362"/>
      <c r="J622" s="359"/>
      <c r="K622" s="362"/>
      <c r="L622" s="359"/>
      <c r="M622" s="362"/>
      <c r="N622" s="359"/>
      <c r="O622" s="362"/>
      <c r="P622" s="359"/>
      <c r="Q622" s="362"/>
      <c r="R622" s="359"/>
      <c r="S622" s="362"/>
      <c r="T622" s="359"/>
      <c r="U622" s="362"/>
      <c r="V622" s="359"/>
      <c r="W622" s="362"/>
      <c r="X622" s="359"/>
      <c r="Y622" s="362"/>
      <c r="Z622" s="359"/>
      <c r="AA622" s="362"/>
      <c r="AB622" s="361"/>
      <c r="AC622" s="342"/>
      <c r="AD622" s="348"/>
    </row>
    <row r="623" spans="1:30" s="349" customFormat="1">
      <c r="A623" s="359" t="s">
        <v>216</v>
      </c>
      <c r="B623" s="359">
        <v>150</v>
      </c>
      <c r="C623" s="504">
        <v>10000</v>
      </c>
      <c r="D623" s="359">
        <v>500</v>
      </c>
      <c r="E623" s="362">
        <f>D623*C623</f>
        <v>5000000</v>
      </c>
      <c r="F623" s="359">
        <v>500</v>
      </c>
      <c r="G623" s="362">
        <f>F623*C623</f>
        <v>5000000</v>
      </c>
      <c r="H623" s="359">
        <v>500</v>
      </c>
      <c r="I623" s="362">
        <f>H623*C623</f>
        <v>5000000</v>
      </c>
      <c r="J623" s="359">
        <v>500</v>
      </c>
      <c r="K623" s="362">
        <f>J623*C623</f>
        <v>5000000</v>
      </c>
      <c r="L623" s="359">
        <v>500</v>
      </c>
      <c r="M623" s="362">
        <f>L623*C623</f>
        <v>5000000</v>
      </c>
      <c r="N623" s="359">
        <v>500</v>
      </c>
      <c r="O623" s="362">
        <f>N623*C623</f>
        <v>5000000</v>
      </c>
      <c r="P623" s="359">
        <v>500</v>
      </c>
      <c r="Q623" s="362">
        <f>P623*C623</f>
        <v>5000000</v>
      </c>
      <c r="R623" s="359">
        <v>500</v>
      </c>
      <c r="S623" s="362">
        <f>R623*C623</f>
        <v>5000000</v>
      </c>
      <c r="T623" s="359">
        <v>500</v>
      </c>
      <c r="U623" s="362">
        <f>T623*C623</f>
        <v>5000000</v>
      </c>
      <c r="V623" s="359">
        <v>500</v>
      </c>
      <c r="W623" s="362">
        <f>V623*C623</f>
        <v>5000000</v>
      </c>
      <c r="X623" s="359">
        <v>500</v>
      </c>
      <c r="Y623" s="362">
        <f>X623*C623</f>
        <v>5000000</v>
      </c>
      <c r="Z623" s="359">
        <v>500</v>
      </c>
      <c r="AA623" s="362">
        <f>Z623*C623</f>
        <v>5000000</v>
      </c>
      <c r="AB623" s="361"/>
      <c r="AC623" s="342"/>
      <c r="AD623" s="348"/>
    </row>
    <row r="624" spans="1:30" s="349" customFormat="1">
      <c r="A624" s="359" t="s">
        <v>216</v>
      </c>
      <c r="B624" s="359">
        <v>250</v>
      </c>
      <c r="C624" s="504">
        <v>18000</v>
      </c>
      <c r="D624" s="359">
        <v>200</v>
      </c>
      <c r="E624" s="362">
        <f>D624*C624</f>
        <v>3600000</v>
      </c>
      <c r="F624" s="359">
        <v>200</v>
      </c>
      <c r="G624" s="362">
        <f>F624*C624</f>
        <v>3600000</v>
      </c>
      <c r="H624" s="359">
        <v>200</v>
      </c>
      <c r="I624" s="362">
        <f>H624*C624</f>
        <v>3600000</v>
      </c>
      <c r="J624" s="359">
        <v>200</v>
      </c>
      <c r="K624" s="362">
        <f>J624*C624</f>
        <v>3600000</v>
      </c>
      <c r="L624" s="359">
        <v>200</v>
      </c>
      <c r="M624" s="362">
        <f>L624*C624</f>
        <v>3600000</v>
      </c>
      <c r="N624" s="359">
        <v>200</v>
      </c>
      <c r="O624" s="362">
        <f>N624*C624</f>
        <v>3600000</v>
      </c>
      <c r="P624" s="359">
        <v>200</v>
      </c>
      <c r="Q624" s="362">
        <f>P624*C624</f>
        <v>3600000</v>
      </c>
      <c r="R624" s="359">
        <v>200</v>
      </c>
      <c r="S624" s="362">
        <f>R624*C624</f>
        <v>3600000</v>
      </c>
      <c r="T624" s="359">
        <v>200</v>
      </c>
      <c r="U624" s="362">
        <f>T624*C624</f>
        <v>3600000</v>
      </c>
      <c r="V624" s="359">
        <v>200</v>
      </c>
      <c r="W624" s="362">
        <f>V624*C624</f>
        <v>3600000</v>
      </c>
      <c r="X624" s="359">
        <v>200</v>
      </c>
      <c r="Y624" s="362">
        <f>X624*C624</f>
        <v>3600000</v>
      </c>
      <c r="Z624" s="359">
        <v>200</v>
      </c>
      <c r="AA624" s="362">
        <f>Z624*C624</f>
        <v>3600000</v>
      </c>
      <c r="AB624" s="361"/>
      <c r="AC624" s="342"/>
      <c r="AD624" s="348"/>
    </row>
    <row r="625" spans="1:30" s="349" customFormat="1">
      <c r="A625" s="359" t="s">
        <v>216</v>
      </c>
      <c r="B625" s="359">
        <v>350</v>
      </c>
      <c r="C625" s="504">
        <v>25000</v>
      </c>
      <c r="D625" s="359">
        <v>100</v>
      </c>
      <c r="E625" s="362">
        <f>D625*C625</f>
        <v>2500000</v>
      </c>
      <c r="F625" s="359">
        <v>100</v>
      </c>
      <c r="G625" s="362">
        <f>F625*C625</f>
        <v>2500000</v>
      </c>
      <c r="H625" s="359">
        <v>100</v>
      </c>
      <c r="I625" s="362">
        <f>H625*C625</f>
        <v>2500000</v>
      </c>
      <c r="J625" s="359">
        <v>100</v>
      </c>
      <c r="K625" s="362">
        <f>J625*C625</f>
        <v>2500000</v>
      </c>
      <c r="L625" s="359">
        <v>100</v>
      </c>
      <c r="M625" s="362">
        <f>L625*C625</f>
        <v>2500000</v>
      </c>
      <c r="N625" s="359">
        <v>100</v>
      </c>
      <c r="O625" s="362">
        <f>N625*C625</f>
        <v>2500000</v>
      </c>
      <c r="P625" s="359">
        <v>100</v>
      </c>
      <c r="Q625" s="362">
        <f>P625*C625</f>
        <v>2500000</v>
      </c>
      <c r="R625" s="359">
        <v>100</v>
      </c>
      <c r="S625" s="362">
        <f>R625*C625</f>
        <v>2500000</v>
      </c>
      <c r="T625" s="359">
        <v>100</v>
      </c>
      <c r="U625" s="362">
        <f>T625*C625</f>
        <v>2500000</v>
      </c>
      <c r="V625" s="359">
        <v>100</v>
      </c>
      <c r="W625" s="362">
        <f>V625*C625</f>
        <v>2500000</v>
      </c>
      <c r="X625" s="359">
        <v>100</v>
      </c>
      <c r="Y625" s="362">
        <f>X625*C625</f>
        <v>2500000</v>
      </c>
      <c r="Z625" s="359">
        <v>100</v>
      </c>
      <c r="AA625" s="362">
        <f>Z625*C625</f>
        <v>2500000</v>
      </c>
      <c r="AB625" s="361"/>
      <c r="AC625" s="342"/>
      <c r="AD625" s="348"/>
    </row>
    <row r="626" spans="1:30" s="349" customFormat="1">
      <c r="A626" s="359" t="s">
        <v>216</v>
      </c>
      <c r="B626" s="359">
        <v>500</v>
      </c>
      <c r="C626" s="504">
        <v>40000</v>
      </c>
      <c r="D626" s="359">
        <v>20</v>
      </c>
      <c r="E626" s="362">
        <f>D626*C626</f>
        <v>800000</v>
      </c>
      <c r="F626" s="359">
        <v>20</v>
      </c>
      <c r="G626" s="362">
        <f>F626*C626</f>
        <v>800000</v>
      </c>
      <c r="H626" s="359">
        <v>20</v>
      </c>
      <c r="I626" s="362">
        <f>H626*C626</f>
        <v>800000</v>
      </c>
      <c r="J626" s="359">
        <v>20</v>
      </c>
      <c r="K626" s="362">
        <f>J626*C626</f>
        <v>800000</v>
      </c>
      <c r="L626" s="359">
        <v>20</v>
      </c>
      <c r="M626" s="362">
        <f>L626*C626</f>
        <v>800000</v>
      </c>
      <c r="N626" s="359">
        <v>20</v>
      </c>
      <c r="O626" s="362">
        <f>N626*C626</f>
        <v>800000</v>
      </c>
      <c r="P626" s="359">
        <v>20</v>
      </c>
      <c r="Q626" s="362">
        <f>P626*C626</f>
        <v>800000</v>
      </c>
      <c r="R626" s="359">
        <v>20</v>
      </c>
      <c r="S626" s="362">
        <f>R626*C626</f>
        <v>800000</v>
      </c>
      <c r="T626" s="359">
        <v>20</v>
      </c>
      <c r="U626" s="362">
        <f>T626*C626</f>
        <v>800000</v>
      </c>
      <c r="V626" s="359">
        <v>20</v>
      </c>
      <c r="W626" s="362">
        <f>V626*C626</f>
        <v>800000</v>
      </c>
      <c r="X626" s="359">
        <v>20</v>
      </c>
      <c r="Y626" s="362">
        <f>X626*C626</f>
        <v>800000</v>
      </c>
      <c r="Z626" s="359">
        <v>20</v>
      </c>
      <c r="AA626" s="362">
        <f>Z626*C626</f>
        <v>800000</v>
      </c>
      <c r="AB626" s="361"/>
      <c r="AC626" s="342"/>
      <c r="AD626" s="348"/>
    </row>
    <row r="627" spans="1:30" s="349" customFormat="1">
      <c r="A627" s="359"/>
      <c r="B627" s="359"/>
      <c r="C627" s="504"/>
      <c r="D627" s="359"/>
      <c r="E627" s="362"/>
      <c r="F627" s="359"/>
      <c r="G627" s="362"/>
      <c r="H627" s="359"/>
      <c r="I627" s="362"/>
      <c r="J627" s="359"/>
      <c r="K627" s="362"/>
      <c r="L627" s="359"/>
      <c r="M627" s="362"/>
      <c r="N627" s="359"/>
      <c r="O627" s="362"/>
      <c r="P627" s="359"/>
      <c r="Q627" s="362"/>
      <c r="R627" s="359"/>
      <c r="S627" s="362"/>
      <c r="T627" s="359"/>
      <c r="U627" s="362"/>
      <c r="V627" s="359"/>
      <c r="W627" s="362"/>
      <c r="X627" s="359"/>
      <c r="Y627" s="362"/>
      <c r="Z627" s="359"/>
      <c r="AA627" s="362"/>
      <c r="AB627" s="361"/>
      <c r="AC627" s="342"/>
      <c r="AD627" s="348"/>
    </row>
    <row r="628" spans="1:30" s="349" customFormat="1">
      <c r="A628" s="359" t="s">
        <v>215</v>
      </c>
      <c r="B628" s="359">
        <v>100</v>
      </c>
      <c r="C628" s="504">
        <v>8000</v>
      </c>
      <c r="D628" s="359">
        <v>100</v>
      </c>
      <c r="E628" s="362">
        <f>D628*C628</f>
        <v>800000</v>
      </c>
      <c r="F628" s="359">
        <v>100</v>
      </c>
      <c r="G628" s="362">
        <f>F628*C628</f>
        <v>800000</v>
      </c>
      <c r="H628" s="359">
        <v>100</v>
      </c>
      <c r="I628" s="362">
        <f>H628*C628</f>
        <v>800000</v>
      </c>
      <c r="J628" s="359">
        <v>100</v>
      </c>
      <c r="K628" s="362">
        <f>J628*C628</f>
        <v>800000</v>
      </c>
      <c r="L628" s="359">
        <v>100</v>
      </c>
      <c r="M628" s="362">
        <f>L628*C628</f>
        <v>800000</v>
      </c>
      <c r="N628" s="359">
        <v>100</v>
      </c>
      <c r="O628" s="362">
        <f>N628*C628</f>
        <v>800000</v>
      </c>
      <c r="P628" s="359">
        <v>100</v>
      </c>
      <c r="Q628" s="362">
        <f>P628*C628</f>
        <v>800000</v>
      </c>
      <c r="R628" s="359">
        <v>100</v>
      </c>
      <c r="S628" s="362">
        <f>R628*C628</f>
        <v>800000</v>
      </c>
      <c r="T628" s="359">
        <v>100</v>
      </c>
      <c r="U628" s="362">
        <f>T628*C628</f>
        <v>800000</v>
      </c>
      <c r="V628" s="359">
        <v>100</v>
      </c>
      <c r="W628" s="362">
        <f>V628*C628</f>
        <v>800000</v>
      </c>
      <c r="X628" s="359">
        <v>100</v>
      </c>
      <c r="Y628" s="362">
        <f>X628*C628</f>
        <v>800000</v>
      </c>
      <c r="Z628" s="359">
        <v>100</v>
      </c>
      <c r="AA628" s="362">
        <f>Z628*C628</f>
        <v>800000</v>
      </c>
      <c r="AB628" s="361"/>
      <c r="AC628" s="342"/>
      <c r="AD628" s="348"/>
    </row>
    <row r="629" spans="1:30" s="349" customFormat="1">
      <c r="A629" s="359" t="s">
        <v>215</v>
      </c>
      <c r="B629" s="359">
        <v>150</v>
      </c>
      <c r="C629" s="504">
        <v>12000</v>
      </c>
      <c r="D629" s="359">
        <v>80</v>
      </c>
      <c r="E629" s="362">
        <f>D629*C629</f>
        <v>960000</v>
      </c>
      <c r="F629" s="359">
        <v>80</v>
      </c>
      <c r="G629" s="362">
        <f>F629*C629</f>
        <v>960000</v>
      </c>
      <c r="H629" s="359">
        <v>80</v>
      </c>
      <c r="I629" s="362">
        <f>H629*C629</f>
        <v>960000</v>
      </c>
      <c r="J629" s="359">
        <v>80</v>
      </c>
      <c r="K629" s="362">
        <f>J629*C629</f>
        <v>960000</v>
      </c>
      <c r="L629" s="359">
        <v>80</v>
      </c>
      <c r="M629" s="362">
        <f>L629*C629</f>
        <v>960000</v>
      </c>
      <c r="N629" s="359">
        <v>80</v>
      </c>
      <c r="O629" s="362">
        <f>N629*C629</f>
        <v>960000</v>
      </c>
      <c r="P629" s="359">
        <v>80</v>
      </c>
      <c r="Q629" s="362">
        <f>P629*C629</f>
        <v>960000</v>
      </c>
      <c r="R629" s="359">
        <v>80</v>
      </c>
      <c r="S629" s="362">
        <f>R629*C629</f>
        <v>960000</v>
      </c>
      <c r="T629" s="359">
        <v>80</v>
      </c>
      <c r="U629" s="362">
        <f>T629*C629</f>
        <v>960000</v>
      </c>
      <c r="V629" s="359">
        <v>80</v>
      </c>
      <c r="W629" s="362">
        <f>V629*C629</f>
        <v>960000</v>
      </c>
      <c r="X629" s="359">
        <v>80</v>
      </c>
      <c r="Y629" s="362">
        <f>X629*C629</f>
        <v>960000</v>
      </c>
      <c r="Z629" s="359">
        <v>80</v>
      </c>
      <c r="AA629" s="362">
        <f>Z629*C629</f>
        <v>960000</v>
      </c>
      <c r="AB629" s="361"/>
      <c r="AC629" s="342"/>
      <c r="AD629" s="348"/>
    </row>
    <row r="630" spans="1:30" s="349" customFormat="1">
      <c r="A630" s="359" t="s">
        <v>215</v>
      </c>
      <c r="B630" s="359">
        <v>250</v>
      </c>
      <c r="C630" s="504">
        <v>20000</v>
      </c>
      <c r="D630" s="359">
        <v>60</v>
      </c>
      <c r="E630" s="362">
        <f>D630*C630</f>
        <v>1200000</v>
      </c>
      <c r="F630" s="359">
        <v>60</v>
      </c>
      <c r="G630" s="362">
        <f>F630*C630</f>
        <v>1200000</v>
      </c>
      <c r="H630" s="359">
        <v>60</v>
      </c>
      <c r="I630" s="362">
        <f>H630*C630</f>
        <v>1200000</v>
      </c>
      <c r="J630" s="359">
        <v>60</v>
      </c>
      <c r="K630" s="362">
        <f>J630*C630</f>
        <v>1200000</v>
      </c>
      <c r="L630" s="359">
        <v>60</v>
      </c>
      <c r="M630" s="362">
        <f>L630*C630</f>
        <v>1200000</v>
      </c>
      <c r="N630" s="359">
        <v>60</v>
      </c>
      <c r="O630" s="362">
        <f>N630*C630</f>
        <v>1200000</v>
      </c>
      <c r="P630" s="359">
        <v>60</v>
      </c>
      <c r="Q630" s="362">
        <f>P630*C630</f>
        <v>1200000</v>
      </c>
      <c r="R630" s="359">
        <v>60</v>
      </c>
      <c r="S630" s="362">
        <f>R630*C630</f>
        <v>1200000</v>
      </c>
      <c r="T630" s="359">
        <v>60</v>
      </c>
      <c r="U630" s="362">
        <f>T630*C630</f>
        <v>1200000</v>
      </c>
      <c r="V630" s="359">
        <v>60</v>
      </c>
      <c r="W630" s="362">
        <f>V630*C630</f>
        <v>1200000</v>
      </c>
      <c r="X630" s="359">
        <v>60</v>
      </c>
      <c r="Y630" s="362">
        <f>X630*C630</f>
        <v>1200000</v>
      </c>
      <c r="Z630" s="359">
        <v>60</v>
      </c>
      <c r="AA630" s="362">
        <f>Z630*C630</f>
        <v>1200000</v>
      </c>
      <c r="AB630" s="361"/>
      <c r="AC630" s="342"/>
      <c r="AD630" s="348"/>
    </row>
    <row r="631" spans="1:30" s="349" customFormat="1">
      <c r="A631" s="359" t="s">
        <v>215</v>
      </c>
      <c r="B631" s="359">
        <v>350</v>
      </c>
      <c r="C631" s="504">
        <v>28000</v>
      </c>
      <c r="D631" s="359">
        <v>40</v>
      </c>
      <c r="E631" s="362">
        <f>D631*C631</f>
        <v>1120000</v>
      </c>
      <c r="F631" s="359">
        <v>40</v>
      </c>
      <c r="G631" s="362">
        <f>F631*C631</f>
        <v>1120000</v>
      </c>
      <c r="H631" s="359">
        <v>40</v>
      </c>
      <c r="I631" s="362">
        <f>H631*C631</f>
        <v>1120000</v>
      </c>
      <c r="J631" s="359">
        <v>40</v>
      </c>
      <c r="K631" s="362">
        <f>J631*C631</f>
        <v>1120000</v>
      </c>
      <c r="L631" s="359">
        <v>40</v>
      </c>
      <c r="M631" s="362">
        <f>L631*C631</f>
        <v>1120000</v>
      </c>
      <c r="N631" s="359">
        <v>40</v>
      </c>
      <c r="O631" s="362">
        <f>N631*C631</f>
        <v>1120000</v>
      </c>
      <c r="P631" s="359">
        <v>40</v>
      </c>
      <c r="Q631" s="362">
        <f>P631*C631</f>
        <v>1120000</v>
      </c>
      <c r="R631" s="359">
        <v>40</v>
      </c>
      <c r="S631" s="362">
        <f>R631*C631</f>
        <v>1120000</v>
      </c>
      <c r="T631" s="359">
        <v>40</v>
      </c>
      <c r="U631" s="362">
        <f>T631*C631</f>
        <v>1120000</v>
      </c>
      <c r="V631" s="359">
        <v>40</v>
      </c>
      <c r="W631" s="362">
        <f>V631*C631</f>
        <v>1120000</v>
      </c>
      <c r="X631" s="359">
        <v>40</v>
      </c>
      <c r="Y631" s="362">
        <f>X631*C631</f>
        <v>1120000</v>
      </c>
      <c r="Z631" s="359">
        <v>40</v>
      </c>
      <c r="AA631" s="362">
        <f>Z631*C631</f>
        <v>1120000</v>
      </c>
      <c r="AB631" s="361"/>
      <c r="AC631" s="342"/>
      <c r="AD631" s="348"/>
    </row>
    <row r="632" spans="1:30" s="349" customFormat="1">
      <c r="A632" s="359" t="s">
        <v>215</v>
      </c>
      <c r="B632" s="359">
        <v>500</v>
      </c>
      <c r="C632" s="504">
        <v>50000</v>
      </c>
      <c r="D632" s="359">
        <v>20</v>
      </c>
      <c r="E632" s="362">
        <f>D632*C632</f>
        <v>1000000</v>
      </c>
      <c r="F632" s="359">
        <v>20</v>
      </c>
      <c r="G632" s="362">
        <f>F632*C632</f>
        <v>1000000</v>
      </c>
      <c r="H632" s="359">
        <v>20</v>
      </c>
      <c r="I632" s="362">
        <f>H632*C632</f>
        <v>1000000</v>
      </c>
      <c r="J632" s="359">
        <v>20</v>
      </c>
      <c r="K632" s="362">
        <f>J632*C632</f>
        <v>1000000</v>
      </c>
      <c r="L632" s="359">
        <v>20</v>
      </c>
      <c r="M632" s="362">
        <f>L632*C632</f>
        <v>1000000</v>
      </c>
      <c r="N632" s="359">
        <v>20</v>
      </c>
      <c r="O632" s="362">
        <f>N632*C632</f>
        <v>1000000</v>
      </c>
      <c r="P632" s="359">
        <v>20</v>
      </c>
      <c r="Q632" s="362">
        <f>P632*C632</f>
        <v>1000000</v>
      </c>
      <c r="R632" s="359">
        <v>20</v>
      </c>
      <c r="S632" s="362">
        <f>R632*C632</f>
        <v>1000000</v>
      </c>
      <c r="T632" s="359">
        <v>20</v>
      </c>
      <c r="U632" s="362">
        <f>T632*C632</f>
        <v>1000000</v>
      </c>
      <c r="V632" s="359">
        <v>20</v>
      </c>
      <c r="W632" s="362">
        <f>V632*C632</f>
        <v>1000000</v>
      </c>
      <c r="X632" s="359">
        <v>20</v>
      </c>
      <c r="Y632" s="362">
        <f>X632*C632</f>
        <v>1000000</v>
      </c>
      <c r="Z632" s="359">
        <v>20</v>
      </c>
      <c r="AA632" s="362">
        <f>Z632*C632</f>
        <v>1000000</v>
      </c>
      <c r="AB632" s="361"/>
      <c r="AC632" s="342"/>
      <c r="AD632" s="348"/>
    </row>
    <row r="633" spans="1:30">
      <c r="A633" s="359"/>
      <c r="B633" s="359"/>
      <c r="C633" s="504"/>
      <c r="D633" s="359"/>
      <c r="E633" s="362"/>
      <c r="F633" s="359"/>
      <c r="G633" s="362"/>
      <c r="H633" s="359"/>
      <c r="I633" s="362"/>
      <c r="J633" s="359"/>
      <c r="K633" s="362"/>
      <c r="L633" s="359"/>
      <c r="M633" s="362"/>
      <c r="N633" s="359"/>
      <c r="O633" s="362"/>
      <c r="P633" s="359"/>
      <c r="Q633" s="362"/>
      <c r="R633" s="359"/>
      <c r="S633" s="362"/>
      <c r="T633" s="359"/>
      <c r="U633" s="362"/>
      <c r="V633" s="359"/>
      <c r="W633" s="362"/>
      <c r="X633" s="359"/>
      <c r="Y633" s="362"/>
      <c r="Z633" s="359"/>
      <c r="AA633" s="362"/>
      <c r="AB633" s="361"/>
      <c r="AD633" s="350"/>
    </row>
    <row r="634" spans="1:30" s="349" customFormat="1">
      <c r="A634" s="359" t="s">
        <v>214</v>
      </c>
      <c r="B634" s="359">
        <v>100</v>
      </c>
      <c r="C634" s="504">
        <v>8000</v>
      </c>
      <c r="D634" s="359">
        <v>100</v>
      </c>
      <c r="E634" s="362">
        <f>D634*C634</f>
        <v>800000</v>
      </c>
      <c r="F634" s="359">
        <v>100</v>
      </c>
      <c r="G634" s="362">
        <f>F634*C634</f>
        <v>800000</v>
      </c>
      <c r="H634" s="359">
        <v>100</v>
      </c>
      <c r="I634" s="362">
        <f>H634*C634</f>
        <v>800000</v>
      </c>
      <c r="J634" s="359">
        <v>100</v>
      </c>
      <c r="K634" s="362">
        <f>J634*C634</f>
        <v>800000</v>
      </c>
      <c r="L634" s="359">
        <v>100</v>
      </c>
      <c r="M634" s="362">
        <f>L634*C634</f>
        <v>800000</v>
      </c>
      <c r="N634" s="359">
        <v>100</v>
      </c>
      <c r="O634" s="362">
        <f>N634*C634</f>
        <v>800000</v>
      </c>
      <c r="P634" s="359">
        <v>100</v>
      </c>
      <c r="Q634" s="362">
        <f>P634*C634</f>
        <v>800000</v>
      </c>
      <c r="R634" s="359">
        <v>100</v>
      </c>
      <c r="S634" s="362">
        <f>R634*C634</f>
        <v>800000</v>
      </c>
      <c r="T634" s="359">
        <v>100</v>
      </c>
      <c r="U634" s="362">
        <f>T634*C634</f>
        <v>800000</v>
      </c>
      <c r="V634" s="359">
        <v>100</v>
      </c>
      <c r="W634" s="362">
        <f>V634*C634</f>
        <v>800000</v>
      </c>
      <c r="X634" s="359">
        <v>100</v>
      </c>
      <c r="Y634" s="362">
        <f>X634*C634</f>
        <v>800000</v>
      </c>
      <c r="Z634" s="359">
        <v>100</v>
      </c>
      <c r="AA634" s="362">
        <f>Z634*C634</f>
        <v>800000</v>
      </c>
      <c r="AB634" s="361"/>
      <c r="AC634" s="342"/>
      <c r="AD634" s="348"/>
    </row>
    <row r="635" spans="1:30" s="349" customFormat="1">
      <c r="A635" s="359" t="s">
        <v>214</v>
      </c>
      <c r="B635" s="359">
        <v>150</v>
      </c>
      <c r="C635" s="504">
        <v>12000</v>
      </c>
      <c r="D635" s="359">
        <v>80</v>
      </c>
      <c r="E635" s="362">
        <f>D635*C635</f>
        <v>960000</v>
      </c>
      <c r="F635" s="359">
        <v>80</v>
      </c>
      <c r="G635" s="362">
        <f>F635*C635</f>
        <v>960000</v>
      </c>
      <c r="H635" s="359">
        <v>80</v>
      </c>
      <c r="I635" s="362">
        <f>H635*C635</f>
        <v>960000</v>
      </c>
      <c r="J635" s="359">
        <v>80</v>
      </c>
      <c r="K635" s="362">
        <f>J635*C635</f>
        <v>960000</v>
      </c>
      <c r="L635" s="359">
        <v>80</v>
      </c>
      <c r="M635" s="362">
        <f>L635*C635</f>
        <v>960000</v>
      </c>
      <c r="N635" s="359">
        <v>80</v>
      </c>
      <c r="O635" s="362">
        <f>N635*C635</f>
        <v>960000</v>
      </c>
      <c r="P635" s="359">
        <v>80</v>
      </c>
      <c r="Q635" s="362">
        <f>P635*C635</f>
        <v>960000</v>
      </c>
      <c r="R635" s="359">
        <v>80</v>
      </c>
      <c r="S635" s="362">
        <f>R635*C635</f>
        <v>960000</v>
      </c>
      <c r="T635" s="359">
        <v>80</v>
      </c>
      <c r="U635" s="362">
        <f>T635*C635</f>
        <v>960000</v>
      </c>
      <c r="V635" s="359">
        <v>80</v>
      </c>
      <c r="W635" s="362">
        <f>V635*C635</f>
        <v>960000</v>
      </c>
      <c r="X635" s="359">
        <v>80</v>
      </c>
      <c r="Y635" s="362">
        <f>X635*C635</f>
        <v>960000</v>
      </c>
      <c r="Z635" s="359">
        <v>80</v>
      </c>
      <c r="AA635" s="362">
        <f>Z635*C635</f>
        <v>960000</v>
      </c>
      <c r="AB635" s="361"/>
      <c r="AC635" s="342"/>
      <c r="AD635" s="348"/>
    </row>
    <row r="636" spans="1:30" s="349" customFormat="1">
      <c r="A636" s="359" t="s">
        <v>214</v>
      </c>
      <c r="B636" s="359">
        <v>250</v>
      </c>
      <c r="C636" s="504">
        <v>20000</v>
      </c>
      <c r="D636" s="359">
        <v>60</v>
      </c>
      <c r="E636" s="362">
        <f>D636*C636</f>
        <v>1200000</v>
      </c>
      <c r="F636" s="359">
        <v>60</v>
      </c>
      <c r="G636" s="362">
        <f>F636*C636</f>
        <v>1200000</v>
      </c>
      <c r="H636" s="359">
        <v>60</v>
      </c>
      <c r="I636" s="362">
        <f>H636*C636</f>
        <v>1200000</v>
      </c>
      <c r="J636" s="359">
        <v>60</v>
      </c>
      <c r="K636" s="362">
        <f>J636*C636</f>
        <v>1200000</v>
      </c>
      <c r="L636" s="359">
        <v>60</v>
      </c>
      <c r="M636" s="362">
        <f>L636*C636</f>
        <v>1200000</v>
      </c>
      <c r="N636" s="359">
        <v>60</v>
      </c>
      <c r="O636" s="362">
        <f>N636*C636</f>
        <v>1200000</v>
      </c>
      <c r="P636" s="359">
        <v>60</v>
      </c>
      <c r="Q636" s="362">
        <f>P636*C636</f>
        <v>1200000</v>
      </c>
      <c r="R636" s="359">
        <v>60</v>
      </c>
      <c r="S636" s="362">
        <f>R636*C636</f>
        <v>1200000</v>
      </c>
      <c r="T636" s="359">
        <v>60</v>
      </c>
      <c r="U636" s="362">
        <f>T636*C636</f>
        <v>1200000</v>
      </c>
      <c r="V636" s="359">
        <v>60</v>
      </c>
      <c r="W636" s="362">
        <f>V636*C636</f>
        <v>1200000</v>
      </c>
      <c r="X636" s="359">
        <v>60</v>
      </c>
      <c r="Y636" s="362">
        <f>X636*C636</f>
        <v>1200000</v>
      </c>
      <c r="Z636" s="359">
        <v>60</v>
      </c>
      <c r="AA636" s="362">
        <f>Z636*C636</f>
        <v>1200000</v>
      </c>
      <c r="AB636" s="361"/>
      <c r="AC636" s="342"/>
      <c r="AD636" s="348"/>
    </row>
    <row r="637" spans="1:30" s="349" customFormat="1">
      <c r="A637" s="359" t="s">
        <v>214</v>
      </c>
      <c r="B637" s="359">
        <v>350</v>
      </c>
      <c r="C637" s="504">
        <v>28000</v>
      </c>
      <c r="D637" s="359">
        <v>40</v>
      </c>
      <c r="E637" s="362">
        <f>D637*C637</f>
        <v>1120000</v>
      </c>
      <c r="F637" s="359">
        <v>40</v>
      </c>
      <c r="G637" s="362">
        <f>F637*C637</f>
        <v>1120000</v>
      </c>
      <c r="H637" s="359">
        <v>40</v>
      </c>
      <c r="I637" s="362">
        <f>H637*C637</f>
        <v>1120000</v>
      </c>
      <c r="J637" s="359">
        <v>40</v>
      </c>
      <c r="K637" s="362">
        <f>J637*C637</f>
        <v>1120000</v>
      </c>
      <c r="L637" s="359">
        <v>40</v>
      </c>
      <c r="M637" s="362">
        <f>L637*C637</f>
        <v>1120000</v>
      </c>
      <c r="N637" s="359">
        <v>40</v>
      </c>
      <c r="O637" s="362">
        <f>N637*C637</f>
        <v>1120000</v>
      </c>
      <c r="P637" s="359">
        <v>40</v>
      </c>
      <c r="Q637" s="362">
        <f>P637*C637</f>
        <v>1120000</v>
      </c>
      <c r="R637" s="359">
        <v>40</v>
      </c>
      <c r="S637" s="362">
        <f>R637*C637</f>
        <v>1120000</v>
      </c>
      <c r="T637" s="359">
        <v>40</v>
      </c>
      <c r="U637" s="362">
        <f>T637*C637</f>
        <v>1120000</v>
      </c>
      <c r="V637" s="359">
        <v>40</v>
      </c>
      <c r="W637" s="362">
        <f>V637*C637</f>
        <v>1120000</v>
      </c>
      <c r="X637" s="359">
        <v>40</v>
      </c>
      <c r="Y637" s="362">
        <f>X637*C637</f>
        <v>1120000</v>
      </c>
      <c r="Z637" s="359">
        <v>40</v>
      </c>
      <c r="AA637" s="362">
        <f>Z637*C637</f>
        <v>1120000</v>
      </c>
      <c r="AB637" s="361"/>
      <c r="AC637" s="342"/>
      <c r="AD637" s="348"/>
    </row>
    <row r="638" spans="1:30" s="349" customFormat="1">
      <c r="A638" s="359" t="s">
        <v>214</v>
      </c>
      <c r="B638" s="359">
        <v>500</v>
      </c>
      <c r="C638" s="504">
        <v>50000</v>
      </c>
      <c r="D638" s="359">
        <v>20</v>
      </c>
      <c r="E638" s="362">
        <f>D638*C638</f>
        <v>1000000</v>
      </c>
      <c r="F638" s="359">
        <v>20</v>
      </c>
      <c r="G638" s="362">
        <f>F638*C638</f>
        <v>1000000</v>
      </c>
      <c r="H638" s="359">
        <v>20</v>
      </c>
      <c r="I638" s="362">
        <f>H638*C638</f>
        <v>1000000</v>
      </c>
      <c r="J638" s="359">
        <v>20</v>
      </c>
      <c r="K638" s="362">
        <f>J638*C638</f>
        <v>1000000</v>
      </c>
      <c r="L638" s="359">
        <v>20</v>
      </c>
      <c r="M638" s="362">
        <f>C638</f>
        <v>50000</v>
      </c>
      <c r="N638" s="359">
        <v>20</v>
      </c>
      <c r="O638" s="362">
        <f>N638*C638</f>
        <v>1000000</v>
      </c>
      <c r="P638" s="359">
        <v>20</v>
      </c>
      <c r="Q638" s="362">
        <f>P638*C638</f>
        <v>1000000</v>
      </c>
      <c r="R638" s="359">
        <v>20</v>
      </c>
      <c r="S638" s="362">
        <f>R638*C638</f>
        <v>1000000</v>
      </c>
      <c r="T638" s="359">
        <v>20</v>
      </c>
      <c r="U638" s="362">
        <f>T638*C638</f>
        <v>1000000</v>
      </c>
      <c r="V638" s="359">
        <v>20</v>
      </c>
      <c r="W638" s="362">
        <f>V638*C638</f>
        <v>1000000</v>
      </c>
      <c r="X638" s="359">
        <v>20</v>
      </c>
      <c r="Y638" s="362">
        <f>X638*C638</f>
        <v>1000000</v>
      </c>
      <c r="Z638" s="359">
        <v>20</v>
      </c>
      <c r="AA638" s="362">
        <f>Z638*C638</f>
        <v>1000000</v>
      </c>
      <c r="AB638" s="361"/>
      <c r="AC638" s="342"/>
      <c r="AD638" s="348"/>
    </row>
    <row r="639" spans="1:30" s="349" customFormat="1">
      <c r="A639" s="359"/>
      <c r="B639" s="359"/>
      <c r="C639" s="504"/>
      <c r="D639" s="359"/>
      <c r="E639" s="362"/>
      <c r="F639" s="359"/>
      <c r="G639" s="362"/>
      <c r="H639" s="359"/>
      <c r="I639" s="362"/>
      <c r="J639" s="359"/>
      <c r="K639" s="362"/>
      <c r="L639" s="359"/>
      <c r="M639" s="362"/>
      <c r="N639" s="359"/>
      <c r="O639" s="362"/>
      <c r="P639" s="359"/>
      <c r="Q639" s="362"/>
      <c r="R639" s="359"/>
      <c r="S639" s="362"/>
      <c r="T639" s="359"/>
      <c r="U639" s="362"/>
      <c r="V639" s="359"/>
      <c r="W639" s="362"/>
      <c r="X639" s="359"/>
      <c r="Y639" s="362"/>
      <c r="Z639" s="359"/>
      <c r="AA639" s="362"/>
      <c r="AB639" s="360"/>
      <c r="AC639" s="342"/>
      <c r="AD639" s="348"/>
    </row>
    <row r="640" spans="1:30" s="479" customFormat="1">
      <c r="A640" s="474"/>
      <c r="B640" s="474"/>
      <c r="C640" s="505"/>
      <c r="D640" s="474">
        <v>0.1</v>
      </c>
      <c r="E640" s="475">
        <f>SUM(E618:E638)</f>
        <v>25390000</v>
      </c>
      <c r="F640" s="474">
        <v>0.1</v>
      </c>
      <c r="G640" s="475">
        <f>SUM(G618:G638)</f>
        <v>25390000</v>
      </c>
      <c r="H640" s="474">
        <v>0.1</v>
      </c>
      <c r="I640" s="475">
        <f>SUM(I618:I638)</f>
        <v>25390000</v>
      </c>
      <c r="J640" s="474">
        <v>0.1</v>
      </c>
      <c r="K640" s="475">
        <f>SUM(K618:K638)</f>
        <v>25390000</v>
      </c>
      <c r="L640" s="474">
        <v>0.1</v>
      </c>
      <c r="M640" s="475">
        <f>SUM(M618:M638)</f>
        <v>24440000</v>
      </c>
      <c r="N640" s="474">
        <v>0.1</v>
      </c>
      <c r="O640" s="475">
        <f>SUM(O618:O638)</f>
        <v>25390000</v>
      </c>
      <c r="P640" s="474">
        <v>0.1</v>
      </c>
      <c r="Q640" s="475">
        <f>SUM(Q618:Q638)</f>
        <v>25390000</v>
      </c>
      <c r="R640" s="474">
        <v>0.1</v>
      </c>
      <c r="S640" s="475">
        <f>SUM(S618:S638)</f>
        <v>25390000</v>
      </c>
      <c r="T640" s="474">
        <v>0.1</v>
      </c>
      <c r="U640" s="475">
        <f>SUM(U618:U638)</f>
        <v>25390000</v>
      </c>
      <c r="V640" s="474">
        <v>0.1</v>
      </c>
      <c r="W640" s="475">
        <f>SUM(W618:W638)</f>
        <v>25390000</v>
      </c>
      <c r="X640" s="474">
        <v>0.1</v>
      </c>
      <c r="Y640" s="475">
        <f>SUM(Y618:Y638)</f>
        <v>25390000</v>
      </c>
      <c r="Z640" s="474">
        <v>0.1</v>
      </c>
      <c r="AA640" s="475">
        <f>SUM(AA618:AA638)</f>
        <v>25390000</v>
      </c>
      <c r="AB640" s="476"/>
      <c r="AC640" s="477"/>
      <c r="AD640" s="478"/>
    </row>
    <row r="641" spans="1:30" s="485" customFormat="1">
      <c r="A641" s="480"/>
      <c r="B641" s="480"/>
      <c r="C641" s="507"/>
      <c r="D641" s="480"/>
      <c r="E641" s="481">
        <f>E640*D640</f>
        <v>2539000</v>
      </c>
      <c r="F641" s="480"/>
      <c r="G641" s="482">
        <f>G640*F640</f>
        <v>2539000</v>
      </c>
      <c r="H641" s="480"/>
      <c r="I641" s="481">
        <f>I640*H640</f>
        <v>2539000</v>
      </c>
      <c r="J641" s="480"/>
      <c r="K641" s="481">
        <f>K640*J640</f>
        <v>2539000</v>
      </c>
      <c r="L641" s="480"/>
      <c r="M641" s="481">
        <f>M640*L640</f>
        <v>2444000</v>
      </c>
      <c r="N641" s="480"/>
      <c r="O641" s="481">
        <f>O640*N640</f>
        <v>2539000</v>
      </c>
      <c r="P641" s="480"/>
      <c r="Q641" s="481">
        <f>Q640*P640</f>
        <v>2539000</v>
      </c>
      <c r="R641" s="480"/>
      <c r="S641" s="481">
        <f>S640*R640</f>
        <v>2539000</v>
      </c>
      <c r="T641" s="480"/>
      <c r="U641" s="481">
        <f>U640*T640</f>
        <v>2539000</v>
      </c>
      <c r="V641" s="480"/>
      <c r="W641" s="481">
        <f>W640*V640</f>
        <v>2539000</v>
      </c>
      <c r="X641" s="480"/>
      <c r="Y641" s="481">
        <f>Y640*X640</f>
        <v>2539000</v>
      </c>
      <c r="Z641" s="480"/>
      <c r="AA641" s="481">
        <f>AA640*Z640</f>
        <v>2539000</v>
      </c>
      <c r="AB641" s="481">
        <f>SUM(AA641,Y641,W641,U641,S641,Q641,O641,M641,K641,I641,G641,E641)</f>
        <v>30373000</v>
      </c>
      <c r="AC641" s="483"/>
      <c r="AD641" s="484"/>
    </row>
    <row r="642" spans="1:30" s="349" customFormat="1">
      <c r="A642" s="359"/>
      <c r="B642" s="359"/>
      <c r="C642" s="504"/>
      <c r="D642" s="359"/>
      <c r="E642" s="360"/>
      <c r="F642" s="359"/>
      <c r="G642" s="362"/>
      <c r="H642" s="359"/>
      <c r="I642" s="362"/>
      <c r="J642" s="359"/>
      <c r="K642" s="362"/>
      <c r="L642" s="359"/>
      <c r="M642" s="362"/>
      <c r="N642" s="359"/>
      <c r="O642" s="362"/>
      <c r="P642" s="359"/>
      <c r="Q642" s="362"/>
      <c r="R642" s="359"/>
      <c r="S642" s="362"/>
      <c r="T642" s="359"/>
      <c r="U642" s="362"/>
      <c r="V642" s="359"/>
      <c r="W642" s="362"/>
      <c r="X642" s="359"/>
      <c r="Y642" s="362"/>
      <c r="Z642" s="359"/>
      <c r="AA642" s="362"/>
      <c r="AB642" s="360"/>
      <c r="AC642" s="342"/>
      <c r="AD642" s="348"/>
    </row>
    <row r="643" spans="1:30" s="349" customFormat="1">
      <c r="A643" s="359" t="s">
        <v>221</v>
      </c>
      <c r="B643" s="359">
        <v>26</v>
      </c>
      <c r="C643" s="504">
        <v>18000</v>
      </c>
      <c r="D643" s="359">
        <v>500</v>
      </c>
      <c r="E643" s="362">
        <f>D643*C643</f>
        <v>9000000</v>
      </c>
      <c r="F643" s="359">
        <v>500</v>
      </c>
      <c r="G643" s="362">
        <f>F643*C643</f>
        <v>9000000</v>
      </c>
      <c r="H643" s="359">
        <v>500</v>
      </c>
      <c r="I643" s="362">
        <f>H643*C643</f>
        <v>9000000</v>
      </c>
      <c r="J643" s="359">
        <v>500</v>
      </c>
      <c r="K643" s="362">
        <f>J643*C643</f>
        <v>9000000</v>
      </c>
      <c r="L643" s="359">
        <v>500</v>
      </c>
      <c r="M643" s="362">
        <f>L643*C643</f>
        <v>9000000</v>
      </c>
      <c r="N643" s="359">
        <v>500</v>
      </c>
      <c r="O643" s="362">
        <f>N643*C643</f>
        <v>9000000</v>
      </c>
      <c r="P643" s="359">
        <v>500</v>
      </c>
      <c r="Q643" s="362">
        <f>P643*C643</f>
        <v>9000000</v>
      </c>
      <c r="R643" s="359">
        <v>500</v>
      </c>
      <c r="S643" s="362">
        <f>R643*C643</f>
        <v>9000000</v>
      </c>
      <c r="T643" s="359">
        <v>500</v>
      </c>
      <c r="U643" s="362">
        <f>T643*C643</f>
        <v>9000000</v>
      </c>
      <c r="V643" s="359">
        <v>500</v>
      </c>
      <c r="W643" s="362">
        <f>V643*C643</f>
        <v>9000000</v>
      </c>
      <c r="X643" s="359">
        <v>500</v>
      </c>
      <c r="Y643" s="362">
        <f>X643*C643</f>
        <v>9000000</v>
      </c>
      <c r="Z643" s="359">
        <v>500</v>
      </c>
      <c r="AA643" s="362">
        <f>Z643*C643</f>
        <v>9000000</v>
      </c>
      <c r="AB643" s="361"/>
      <c r="AC643" s="342"/>
      <c r="AD643" s="348"/>
    </row>
    <row r="644" spans="1:30" s="349" customFormat="1">
      <c r="A644" s="359" t="s">
        <v>221</v>
      </c>
      <c r="B644" s="359">
        <v>33</v>
      </c>
      <c r="C644" s="504">
        <v>30000</v>
      </c>
      <c r="D644" s="359">
        <v>200</v>
      </c>
      <c r="E644" s="362">
        <f>D644*C644</f>
        <v>6000000</v>
      </c>
      <c r="F644" s="359">
        <v>200</v>
      </c>
      <c r="G644" s="362">
        <f>F644*C644</f>
        <v>6000000</v>
      </c>
      <c r="H644" s="359">
        <v>200</v>
      </c>
      <c r="I644" s="362">
        <f>H644*C644</f>
        <v>6000000</v>
      </c>
      <c r="J644" s="359">
        <v>200</v>
      </c>
      <c r="K644" s="362">
        <f>J644*C644</f>
        <v>6000000</v>
      </c>
      <c r="L644" s="359">
        <v>200</v>
      </c>
      <c r="M644" s="362">
        <f>L644*C644</f>
        <v>6000000</v>
      </c>
      <c r="N644" s="359">
        <v>200</v>
      </c>
      <c r="O644" s="362">
        <f>N644*C644</f>
        <v>6000000</v>
      </c>
      <c r="P644" s="359">
        <v>200</v>
      </c>
      <c r="Q644" s="362">
        <f>P644*C644</f>
        <v>6000000</v>
      </c>
      <c r="R644" s="359">
        <v>200</v>
      </c>
      <c r="S644" s="362">
        <f>R644*C644</f>
        <v>6000000</v>
      </c>
      <c r="T644" s="359">
        <v>200</v>
      </c>
      <c r="U644" s="362">
        <f>T644*C644</f>
        <v>6000000</v>
      </c>
      <c r="V644" s="359">
        <v>200</v>
      </c>
      <c r="W644" s="362">
        <f>V644*C644</f>
        <v>6000000</v>
      </c>
      <c r="X644" s="359">
        <v>200</v>
      </c>
      <c r="Y644" s="362">
        <f>X644*C644</f>
        <v>6000000</v>
      </c>
      <c r="Z644" s="359">
        <v>200</v>
      </c>
      <c r="AA644" s="362">
        <f>Z644*C644</f>
        <v>6000000</v>
      </c>
      <c r="AB644" s="361"/>
      <c r="AC644" s="342"/>
      <c r="AD644" s="348"/>
    </row>
    <row r="645" spans="1:30" s="349" customFormat="1">
      <c r="A645" s="359" t="s">
        <v>221</v>
      </c>
      <c r="B645" s="359">
        <v>64</v>
      </c>
      <c r="C645" s="504">
        <v>60000</v>
      </c>
      <c r="D645" s="359">
        <v>100</v>
      </c>
      <c r="E645" s="362">
        <f>D645*C645</f>
        <v>6000000</v>
      </c>
      <c r="F645" s="359">
        <v>100</v>
      </c>
      <c r="G645" s="362">
        <f>F645*C645</f>
        <v>6000000</v>
      </c>
      <c r="H645" s="359">
        <v>100</v>
      </c>
      <c r="I645" s="362">
        <f>H645*C645</f>
        <v>6000000</v>
      </c>
      <c r="J645" s="359">
        <v>100</v>
      </c>
      <c r="K645" s="362">
        <f>J645*C645</f>
        <v>6000000</v>
      </c>
      <c r="L645" s="359">
        <v>100</v>
      </c>
      <c r="M645" s="362">
        <f>L645*C645</f>
        <v>6000000</v>
      </c>
      <c r="N645" s="359">
        <v>100</v>
      </c>
      <c r="O645" s="362">
        <f>N645*C645</f>
        <v>6000000</v>
      </c>
      <c r="P645" s="359">
        <v>100</v>
      </c>
      <c r="Q645" s="362">
        <f>P645*C645</f>
        <v>6000000</v>
      </c>
      <c r="R645" s="359">
        <v>100</v>
      </c>
      <c r="S645" s="362">
        <f>R645*C645</f>
        <v>6000000</v>
      </c>
      <c r="T645" s="359">
        <v>100</v>
      </c>
      <c r="U645" s="362">
        <f>T645*C645</f>
        <v>6000000</v>
      </c>
      <c r="V645" s="359">
        <v>100</v>
      </c>
      <c r="W645" s="362">
        <f>V645*C645</f>
        <v>6000000</v>
      </c>
      <c r="X645" s="359">
        <v>100</v>
      </c>
      <c r="Y645" s="362">
        <f>X645*C645</f>
        <v>6000000</v>
      </c>
      <c r="Z645" s="359">
        <v>100</v>
      </c>
      <c r="AA645" s="362">
        <f>Z645*C645</f>
        <v>6000000</v>
      </c>
      <c r="AB645" s="361"/>
      <c r="AC645" s="342"/>
      <c r="AD645" s="348"/>
    </row>
    <row r="646" spans="1:30" s="349" customFormat="1">
      <c r="A646" s="359" t="s">
        <v>221</v>
      </c>
      <c r="B646" s="359">
        <v>100</v>
      </c>
      <c r="C646" s="504">
        <v>80000</v>
      </c>
      <c r="D646" s="359">
        <v>20</v>
      </c>
      <c r="E646" s="362">
        <f>D646*C646</f>
        <v>1600000</v>
      </c>
      <c r="F646" s="359">
        <v>20</v>
      </c>
      <c r="G646" s="362">
        <f>F646*C646</f>
        <v>1600000</v>
      </c>
      <c r="H646" s="359">
        <v>20</v>
      </c>
      <c r="I646" s="362">
        <f>H646*C646</f>
        <v>1600000</v>
      </c>
      <c r="J646" s="359">
        <v>20</v>
      </c>
      <c r="K646" s="362">
        <f>J646*C646</f>
        <v>1600000</v>
      </c>
      <c r="L646" s="359">
        <v>20</v>
      </c>
      <c r="M646" s="362">
        <f>L646*C646</f>
        <v>1600000</v>
      </c>
      <c r="N646" s="359">
        <v>20</v>
      </c>
      <c r="O646" s="362">
        <f>N646*C646</f>
        <v>1600000</v>
      </c>
      <c r="P646" s="359">
        <v>20</v>
      </c>
      <c r="Q646" s="362">
        <f>P646*C646</f>
        <v>1600000</v>
      </c>
      <c r="R646" s="359">
        <v>20</v>
      </c>
      <c r="S646" s="362">
        <f>R646*C646</f>
        <v>1600000</v>
      </c>
      <c r="T646" s="359">
        <v>20</v>
      </c>
      <c r="U646" s="362">
        <f>T646*C646</f>
        <v>1600000</v>
      </c>
      <c r="V646" s="359">
        <v>20</v>
      </c>
      <c r="W646" s="362">
        <f>V646*C646</f>
        <v>1600000</v>
      </c>
      <c r="X646" s="359">
        <v>20</v>
      </c>
      <c r="Y646" s="362">
        <f>X646*C646</f>
        <v>1600000</v>
      </c>
      <c r="Z646" s="359">
        <v>20</v>
      </c>
      <c r="AA646" s="362">
        <f>Z646*C646</f>
        <v>1600000</v>
      </c>
      <c r="AB646" s="361"/>
      <c r="AC646" s="342"/>
      <c r="AD646" s="348"/>
    </row>
    <row r="647" spans="1:30" s="349" customFormat="1">
      <c r="A647" s="359"/>
      <c r="B647" s="359"/>
      <c r="C647" s="504"/>
      <c r="D647" s="359"/>
      <c r="E647" s="362"/>
      <c r="F647" s="359"/>
      <c r="G647" s="362"/>
      <c r="H647" s="359"/>
      <c r="I647" s="362"/>
      <c r="J647" s="359"/>
      <c r="K647" s="362"/>
      <c r="L647" s="359"/>
      <c r="M647" s="362"/>
      <c r="N647" s="359"/>
      <c r="O647" s="362"/>
      <c r="P647" s="359"/>
      <c r="Q647" s="362"/>
      <c r="R647" s="359"/>
      <c r="S647" s="362"/>
      <c r="T647" s="359"/>
      <c r="U647" s="362"/>
      <c r="V647" s="359"/>
      <c r="W647" s="362"/>
      <c r="X647" s="359"/>
      <c r="Y647" s="362"/>
      <c r="Z647" s="359"/>
      <c r="AA647" s="362"/>
      <c r="AB647" s="361"/>
      <c r="AC647" s="342"/>
      <c r="AD647" s="348"/>
    </row>
    <row r="648" spans="1:30" s="349" customFormat="1">
      <c r="A648" s="359" t="s">
        <v>220</v>
      </c>
      <c r="B648" s="359">
        <v>150</v>
      </c>
      <c r="C648" s="504">
        <v>120000</v>
      </c>
      <c r="D648" s="359">
        <v>500</v>
      </c>
      <c r="E648" s="362">
        <f>D648*C648</f>
        <v>60000000</v>
      </c>
      <c r="F648" s="359">
        <v>500</v>
      </c>
      <c r="G648" s="362">
        <f>F648*C648</f>
        <v>60000000</v>
      </c>
      <c r="H648" s="359">
        <v>500</v>
      </c>
      <c r="I648" s="362">
        <f>H648*C648</f>
        <v>60000000</v>
      </c>
      <c r="J648" s="359">
        <v>500</v>
      </c>
      <c r="K648" s="362">
        <f>J648*C648</f>
        <v>60000000</v>
      </c>
      <c r="L648" s="359">
        <v>500</v>
      </c>
      <c r="M648" s="362">
        <f>L648*C648</f>
        <v>60000000</v>
      </c>
      <c r="N648" s="359">
        <v>500</v>
      </c>
      <c r="O648" s="362">
        <f>N648*C648</f>
        <v>60000000</v>
      </c>
      <c r="P648" s="359">
        <v>500</v>
      </c>
      <c r="Q648" s="362">
        <f>P648*C648</f>
        <v>60000000</v>
      </c>
      <c r="R648" s="359">
        <v>500</v>
      </c>
      <c r="S648" s="362">
        <f>R648*C648</f>
        <v>60000000</v>
      </c>
      <c r="T648" s="359">
        <v>500</v>
      </c>
      <c r="U648" s="362">
        <f>T648*C648</f>
        <v>60000000</v>
      </c>
      <c r="V648" s="359">
        <v>500</v>
      </c>
      <c r="W648" s="362">
        <f>V648*C648</f>
        <v>60000000</v>
      </c>
      <c r="X648" s="359">
        <v>500</v>
      </c>
      <c r="Y648" s="362">
        <f>X648*C648</f>
        <v>60000000</v>
      </c>
      <c r="Z648" s="359">
        <v>500</v>
      </c>
      <c r="AA648" s="362">
        <f>Z648*C648</f>
        <v>60000000</v>
      </c>
      <c r="AB648" s="361"/>
      <c r="AC648" s="342"/>
      <c r="AD648" s="348"/>
    </row>
    <row r="649" spans="1:30" s="349" customFormat="1">
      <c r="A649" s="359" t="s">
        <v>220</v>
      </c>
      <c r="B649" s="359">
        <v>250</v>
      </c>
      <c r="C649" s="504">
        <v>200000</v>
      </c>
      <c r="D649" s="359">
        <v>200</v>
      </c>
      <c r="E649" s="362">
        <f>D649*C649</f>
        <v>40000000</v>
      </c>
      <c r="F649" s="359">
        <v>200</v>
      </c>
      <c r="G649" s="362">
        <f>F649*C649</f>
        <v>40000000</v>
      </c>
      <c r="H649" s="359">
        <v>200</v>
      </c>
      <c r="I649" s="362">
        <f>H649*C649</f>
        <v>40000000</v>
      </c>
      <c r="J649" s="359">
        <v>200</v>
      </c>
      <c r="K649" s="362">
        <f>J649*C649</f>
        <v>40000000</v>
      </c>
      <c r="L649" s="359">
        <v>200</v>
      </c>
      <c r="M649" s="362">
        <f>L649*C649</f>
        <v>40000000</v>
      </c>
      <c r="N649" s="359">
        <v>200</v>
      </c>
      <c r="O649" s="362">
        <f>N649*C649</f>
        <v>40000000</v>
      </c>
      <c r="P649" s="359">
        <v>200</v>
      </c>
      <c r="Q649" s="362">
        <f>P649*C649</f>
        <v>40000000</v>
      </c>
      <c r="R649" s="359">
        <v>200</v>
      </c>
      <c r="S649" s="362">
        <f>R649*C649</f>
        <v>40000000</v>
      </c>
      <c r="T649" s="359">
        <v>200</v>
      </c>
      <c r="U649" s="362">
        <f>T649*C649</f>
        <v>40000000</v>
      </c>
      <c r="V649" s="359">
        <v>200</v>
      </c>
      <c r="W649" s="362">
        <f>V649*C649</f>
        <v>40000000</v>
      </c>
      <c r="X649" s="359">
        <v>200</v>
      </c>
      <c r="Y649" s="362">
        <f>X649*C649</f>
        <v>40000000</v>
      </c>
      <c r="Z649" s="359">
        <v>200</v>
      </c>
      <c r="AA649" s="362">
        <f>Z649*C649</f>
        <v>40000000</v>
      </c>
      <c r="AB649" s="361"/>
      <c r="AC649" s="342"/>
      <c r="AD649" s="348"/>
    </row>
    <row r="650" spans="1:30" s="349" customFormat="1">
      <c r="A650" s="359" t="s">
        <v>220</v>
      </c>
      <c r="B650" s="359">
        <v>350</v>
      </c>
      <c r="C650" s="504">
        <v>270000</v>
      </c>
      <c r="D650" s="359">
        <v>100</v>
      </c>
      <c r="E650" s="362">
        <f>D650*C650</f>
        <v>27000000</v>
      </c>
      <c r="F650" s="359">
        <v>100</v>
      </c>
      <c r="G650" s="362">
        <f>F650*C650</f>
        <v>27000000</v>
      </c>
      <c r="H650" s="359">
        <v>100</v>
      </c>
      <c r="I650" s="362">
        <f>H650*C650</f>
        <v>27000000</v>
      </c>
      <c r="J650" s="359">
        <v>100</v>
      </c>
      <c r="K650" s="362">
        <f>J650*C650</f>
        <v>27000000</v>
      </c>
      <c r="L650" s="359">
        <v>100</v>
      </c>
      <c r="M650" s="362">
        <f>L650*C650</f>
        <v>27000000</v>
      </c>
      <c r="N650" s="359">
        <v>100</v>
      </c>
      <c r="O650" s="362">
        <f>N650*C650</f>
        <v>27000000</v>
      </c>
      <c r="P650" s="359">
        <v>100</v>
      </c>
      <c r="Q650" s="362">
        <f>P650*C650</f>
        <v>27000000</v>
      </c>
      <c r="R650" s="359">
        <v>100</v>
      </c>
      <c r="S650" s="362">
        <f>R650*C650</f>
        <v>27000000</v>
      </c>
      <c r="T650" s="359">
        <v>100</v>
      </c>
      <c r="U650" s="362">
        <f>T650*C650</f>
        <v>27000000</v>
      </c>
      <c r="V650" s="359">
        <v>100</v>
      </c>
      <c r="W650" s="362">
        <f>V650*C650</f>
        <v>27000000</v>
      </c>
      <c r="X650" s="359">
        <v>100</v>
      </c>
      <c r="Y650" s="362">
        <f>X650*C650</f>
        <v>27000000</v>
      </c>
      <c r="Z650" s="359">
        <v>100</v>
      </c>
      <c r="AA650" s="362">
        <f>Z650*C650</f>
        <v>27000000</v>
      </c>
      <c r="AB650" s="361"/>
      <c r="AC650" s="342"/>
      <c r="AD650" s="348"/>
    </row>
    <row r="651" spans="1:30" s="349" customFormat="1">
      <c r="A651" s="359" t="s">
        <v>220</v>
      </c>
      <c r="B651" s="359">
        <v>500</v>
      </c>
      <c r="C651" s="504">
        <v>350000</v>
      </c>
      <c r="D651" s="359">
        <v>20</v>
      </c>
      <c r="E651" s="362">
        <f>D651*C651</f>
        <v>7000000</v>
      </c>
      <c r="F651" s="359">
        <v>20</v>
      </c>
      <c r="G651" s="362">
        <f>F651*C651</f>
        <v>7000000</v>
      </c>
      <c r="H651" s="359">
        <v>20</v>
      </c>
      <c r="I651" s="362">
        <f>H651*C651</f>
        <v>7000000</v>
      </c>
      <c r="J651" s="359">
        <v>20</v>
      </c>
      <c r="K651" s="362">
        <f>J651*C651</f>
        <v>7000000</v>
      </c>
      <c r="L651" s="359">
        <v>20</v>
      </c>
      <c r="M651" s="362">
        <f>L651*C651</f>
        <v>7000000</v>
      </c>
      <c r="N651" s="359">
        <v>20</v>
      </c>
      <c r="O651" s="362">
        <f>N651*C651</f>
        <v>7000000</v>
      </c>
      <c r="P651" s="359">
        <v>20</v>
      </c>
      <c r="Q651" s="362">
        <f>P651*C651</f>
        <v>7000000</v>
      </c>
      <c r="R651" s="359">
        <v>20</v>
      </c>
      <c r="S651" s="362">
        <f>R651*C651</f>
        <v>7000000</v>
      </c>
      <c r="T651" s="359">
        <v>20</v>
      </c>
      <c r="U651" s="362">
        <f>T651*C651</f>
        <v>7000000</v>
      </c>
      <c r="V651" s="359">
        <v>20</v>
      </c>
      <c r="W651" s="362">
        <f>V651*C651</f>
        <v>7000000</v>
      </c>
      <c r="X651" s="359">
        <v>20</v>
      </c>
      <c r="Y651" s="362">
        <f>X651*C651</f>
        <v>7000000</v>
      </c>
      <c r="Z651" s="359">
        <v>20</v>
      </c>
      <c r="AA651" s="362">
        <f>Z651*C651</f>
        <v>7000000</v>
      </c>
      <c r="AB651" s="361"/>
      <c r="AC651" s="342"/>
      <c r="AD651" s="348"/>
    </row>
    <row r="652" spans="1:30" s="349" customFormat="1">
      <c r="A652" s="359"/>
      <c r="B652" s="359"/>
      <c r="C652" s="504"/>
      <c r="D652" s="359"/>
      <c r="E652" s="362"/>
      <c r="F652" s="359"/>
      <c r="G652" s="362"/>
      <c r="H652" s="359"/>
      <c r="I652" s="362"/>
      <c r="J652" s="359"/>
      <c r="K652" s="362"/>
      <c r="L652" s="359"/>
      <c r="M652" s="362"/>
      <c r="N652" s="359"/>
      <c r="O652" s="362"/>
      <c r="P652" s="359"/>
      <c r="Q652" s="362"/>
      <c r="R652" s="359"/>
      <c r="S652" s="362"/>
      <c r="T652" s="359"/>
      <c r="U652" s="362"/>
      <c r="V652" s="359"/>
      <c r="W652" s="362"/>
      <c r="X652" s="359"/>
      <c r="Y652" s="362"/>
      <c r="Z652" s="359"/>
      <c r="AA652" s="362"/>
      <c r="AB652" s="361"/>
      <c r="AC652" s="342"/>
      <c r="AD652" s="348"/>
    </row>
    <row r="653" spans="1:30" s="349" customFormat="1">
      <c r="A653" s="359" t="s">
        <v>219</v>
      </c>
      <c r="B653" s="359">
        <v>100</v>
      </c>
      <c r="C653" s="504"/>
      <c r="D653" s="359">
        <v>100</v>
      </c>
      <c r="E653" s="362">
        <f>D653*C653</f>
        <v>0</v>
      </c>
      <c r="F653" s="359">
        <v>100</v>
      </c>
      <c r="G653" s="362">
        <f>F653*C653</f>
        <v>0</v>
      </c>
      <c r="H653" s="359">
        <v>100</v>
      </c>
      <c r="I653" s="362">
        <f>H653*C653</f>
        <v>0</v>
      </c>
      <c r="J653" s="359">
        <v>100</v>
      </c>
      <c r="K653" s="362">
        <f>J653*C653</f>
        <v>0</v>
      </c>
      <c r="L653" s="359">
        <v>100</v>
      </c>
      <c r="M653" s="362">
        <f>L653*C653</f>
        <v>0</v>
      </c>
      <c r="N653" s="359">
        <v>100</v>
      </c>
      <c r="O653" s="362">
        <f>N653*C653</f>
        <v>0</v>
      </c>
      <c r="P653" s="359">
        <v>100</v>
      </c>
      <c r="Q653" s="362">
        <f>P653*C653</f>
        <v>0</v>
      </c>
      <c r="R653" s="359">
        <v>100</v>
      </c>
      <c r="S653" s="362">
        <f>R653*C653</f>
        <v>0</v>
      </c>
      <c r="T653" s="359">
        <v>100</v>
      </c>
      <c r="U653" s="362">
        <f>T653*C653</f>
        <v>0</v>
      </c>
      <c r="V653" s="359">
        <v>100</v>
      </c>
      <c r="W653" s="362">
        <f>V653*C653</f>
        <v>0</v>
      </c>
      <c r="X653" s="359">
        <v>100</v>
      </c>
      <c r="Y653" s="362">
        <f>X653*C653</f>
        <v>0</v>
      </c>
      <c r="Z653" s="359">
        <v>100</v>
      </c>
      <c r="AA653" s="362">
        <f>Z653*C653</f>
        <v>0</v>
      </c>
      <c r="AB653" s="361"/>
      <c r="AC653" s="342"/>
      <c r="AD653" s="348"/>
    </row>
    <row r="654" spans="1:30" s="349" customFormat="1">
      <c r="A654" s="359" t="s">
        <v>219</v>
      </c>
      <c r="B654" s="359">
        <v>150</v>
      </c>
      <c r="C654" s="504"/>
      <c r="D654" s="359">
        <v>80</v>
      </c>
      <c r="E654" s="362">
        <f>D654*C654</f>
        <v>0</v>
      </c>
      <c r="F654" s="359">
        <v>80</v>
      </c>
      <c r="G654" s="362">
        <f>F654*C654</f>
        <v>0</v>
      </c>
      <c r="H654" s="359">
        <v>80</v>
      </c>
      <c r="I654" s="362">
        <f>H654*C654</f>
        <v>0</v>
      </c>
      <c r="J654" s="359">
        <v>80</v>
      </c>
      <c r="K654" s="362">
        <f>J654*C654</f>
        <v>0</v>
      </c>
      <c r="L654" s="359">
        <v>80</v>
      </c>
      <c r="M654" s="362">
        <f>L654*C654</f>
        <v>0</v>
      </c>
      <c r="N654" s="359">
        <v>80</v>
      </c>
      <c r="O654" s="362">
        <f>N654*C654</f>
        <v>0</v>
      </c>
      <c r="P654" s="359">
        <v>80</v>
      </c>
      <c r="Q654" s="362">
        <f>P654*C654</f>
        <v>0</v>
      </c>
      <c r="R654" s="359">
        <v>80</v>
      </c>
      <c r="S654" s="362">
        <f>R654*C654</f>
        <v>0</v>
      </c>
      <c r="T654" s="359">
        <v>80</v>
      </c>
      <c r="U654" s="362">
        <f>T654*C654</f>
        <v>0</v>
      </c>
      <c r="V654" s="359">
        <v>80</v>
      </c>
      <c r="W654" s="362">
        <f>V654*C654</f>
        <v>0</v>
      </c>
      <c r="X654" s="359">
        <v>80</v>
      </c>
      <c r="Y654" s="362">
        <f>X654*C654</f>
        <v>0</v>
      </c>
      <c r="Z654" s="359">
        <v>80</v>
      </c>
      <c r="AA654" s="362">
        <f>Z654*C654</f>
        <v>0</v>
      </c>
      <c r="AB654" s="361"/>
      <c r="AC654" s="342"/>
      <c r="AD654" s="348"/>
    </row>
    <row r="655" spans="1:30" s="349" customFormat="1">
      <c r="A655" s="359" t="s">
        <v>219</v>
      </c>
      <c r="B655" s="359">
        <v>250</v>
      </c>
      <c r="C655" s="504"/>
      <c r="D655" s="359">
        <v>60</v>
      </c>
      <c r="E655" s="362">
        <f>D655*C655</f>
        <v>0</v>
      </c>
      <c r="F655" s="359">
        <v>60</v>
      </c>
      <c r="G655" s="362">
        <f>F655*C655</f>
        <v>0</v>
      </c>
      <c r="H655" s="359">
        <v>60</v>
      </c>
      <c r="I655" s="362">
        <f>H655*C655</f>
        <v>0</v>
      </c>
      <c r="J655" s="359">
        <v>60</v>
      </c>
      <c r="K655" s="362">
        <f>J655*C655</f>
        <v>0</v>
      </c>
      <c r="L655" s="359">
        <v>60</v>
      </c>
      <c r="M655" s="362">
        <f>L655*C655</f>
        <v>0</v>
      </c>
      <c r="N655" s="359">
        <v>60</v>
      </c>
      <c r="O655" s="362">
        <f>N655*C655</f>
        <v>0</v>
      </c>
      <c r="P655" s="359">
        <v>60</v>
      </c>
      <c r="Q655" s="362">
        <f>P655*C655</f>
        <v>0</v>
      </c>
      <c r="R655" s="359">
        <v>60</v>
      </c>
      <c r="S655" s="362">
        <f>R655*C655</f>
        <v>0</v>
      </c>
      <c r="T655" s="359">
        <v>60</v>
      </c>
      <c r="U655" s="362">
        <f>T655*C655</f>
        <v>0</v>
      </c>
      <c r="V655" s="359">
        <v>60</v>
      </c>
      <c r="W655" s="362">
        <f>V655*C655</f>
        <v>0</v>
      </c>
      <c r="X655" s="359">
        <v>60</v>
      </c>
      <c r="Y655" s="362">
        <f>X655*C655</f>
        <v>0</v>
      </c>
      <c r="Z655" s="359">
        <v>60</v>
      </c>
      <c r="AA655" s="362">
        <f>Z655*C655</f>
        <v>0</v>
      </c>
      <c r="AB655" s="361"/>
      <c r="AC655" s="342"/>
      <c r="AD655" s="348"/>
    </row>
    <row r="656" spans="1:30" s="349" customFormat="1">
      <c r="A656" s="359" t="s">
        <v>219</v>
      </c>
      <c r="B656" s="359">
        <v>350</v>
      </c>
      <c r="C656" s="504"/>
      <c r="D656" s="359">
        <v>40</v>
      </c>
      <c r="E656" s="362">
        <f>D656*C656</f>
        <v>0</v>
      </c>
      <c r="F656" s="359">
        <v>40</v>
      </c>
      <c r="G656" s="362">
        <f>F656*C656</f>
        <v>0</v>
      </c>
      <c r="H656" s="359">
        <v>40</v>
      </c>
      <c r="I656" s="362">
        <f>H656*C656</f>
        <v>0</v>
      </c>
      <c r="J656" s="359">
        <v>40</v>
      </c>
      <c r="K656" s="362">
        <f>J656*C656</f>
        <v>0</v>
      </c>
      <c r="L656" s="359">
        <v>40</v>
      </c>
      <c r="M656" s="362">
        <f>L656*C656</f>
        <v>0</v>
      </c>
      <c r="N656" s="359">
        <v>40</v>
      </c>
      <c r="O656" s="362">
        <f>N656*C656</f>
        <v>0</v>
      </c>
      <c r="P656" s="359">
        <v>40</v>
      </c>
      <c r="Q656" s="362">
        <f>P656*C656</f>
        <v>0</v>
      </c>
      <c r="R656" s="359">
        <v>40</v>
      </c>
      <c r="S656" s="362">
        <f>R656*C656</f>
        <v>0</v>
      </c>
      <c r="T656" s="359">
        <v>40</v>
      </c>
      <c r="U656" s="362">
        <f>T656*C656</f>
        <v>0</v>
      </c>
      <c r="V656" s="359">
        <v>40</v>
      </c>
      <c r="W656" s="362">
        <f>V656*C656</f>
        <v>0</v>
      </c>
      <c r="X656" s="359">
        <v>40</v>
      </c>
      <c r="Y656" s="362">
        <f>X656*C656</f>
        <v>0</v>
      </c>
      <c r="Z656" s="359">
        <v>40</v>
      </c>
      <c r="AA656" s="362">
        <f>Z656*C656</f>
        <v>0</v>
      </c>
      <c r="AB656" s="361"/>
      <c r="AC656" s="342"/>
      <c r="AD656" s="348"/>
    </row>
    <row r="657" spans="1:30" s="349" customFormat="1">
      <c r="A657" s="359" t="s">
        <v>219</v>
      </c>
      <c r="B657" s="359">
        <v>500</v>
      </c>
      <c r="C657" s="504"/>
      <c r="D657" s="359">
        <v>20</v>
      </c>
      <c r="E657" s="362">
        <f>D657*C657</f>
        <v>0</v>
      </c>
      <c r="F657" s="359">
        <v>20</v>
      </c>
      <c r="G657" s="362">
        <f>F657*C657</f>
        <v>0</v>
      </c>
      <c r="H657" s="359">
        <v>20</v>
      </c>
      <c r="I657" s="362">
        <f>H657*C657</f>
        <v>0</v>
      </c>
      <c r="J657" s="359">
        <v>20</v>
      </c>
      <c r="K657" s="362">
        <f>J657*C657</f>
        <v>0</v>
      </c>
      <c r="L657" s="359">
        <v>20</v>
      </c>
      <c r="M657" s="362">
        <f>L657*C657</f>
        <v>0</v>
      </c>
      <c r="N657" s="359">
        <v>20</v>
      </c>
      <c r="O657" s="362">
        <f>N657*C657</f>
        <v>0</v>
      </c>
      <c r="P657" s="359">
        <v>20</v>
      </c>
      <c r="Q657" s="362">
        <f>P657*C657</f>
        <v>0</v>
      </c>
      <c r="R657" s="359">
        <v>20</v>
      </c>
      <c r="S657" s="362">
        <f>R657*C657</f>
        <v>0</v>
      </c>
      <c r="T657" s="359">
        <v>20</v>
      </c>
      <c r="U657" s="362">
        <f>T657*C657</f>
        <v>0</v>
      </c>
      <c r="V657" s="359">
        <v>20</v>
      </c>
      <c r="W657" s="362">
        <f>V657*C657</f>
        <v>0</v>
      </c>
      <c r="X657" s="359">
        <v>20</v>
      </c>
      <c r="Y657" s="362">
        <f>X657*C657</f>
        <v>0</v>
      </c>
      <c r="Z657" s="359">
        <v>20</v>
      </c>
      <c r="AA657" s="362">
        <f>Z657*C657</f>
        <v>0</v>
      </c>
      <c r="AB657" s="361"/>
      <c r="AC657" s="342"/>
      <c r="AD657" s="348"/>
    </row>
    <row r="658" spans="1:30">
      <c r="A658" s="359"/>
      <c r="B658" s="359"/>
      <c r="C658" s="504"/>
      <c r="D658" s="359"/>
      <c r="E658" s="362"/>
      <c r="F658" s="359"/>
      <c r="G658" s="362"/>
      <c r="H658" s="359"/>
      <c r="I658" s="362"/>
      <c r="J658" s="359"/>
      <c r="K658" s="362"/>
      <c r="L658" s="359"/>
      <c r="M658" s="362"/>
      <c r="N658" s="359"/>
      <c r="O658" s="362"/>
      <c r="P658" s="359"/>
      <c r="Q658" s="362"/>
      <c r="R658" s="359"/>
      <c r="S658" s="362"/>
      <c r="T658" s="359"/>
      <c r="U658" s="362"/>
      <c r="V658" s="359"/>
      <c r="W658" s="362"/>
      <c r="X658" s="359"/>
      <c r="Y658" s="362"/>
      <c r="Z658" s="359"/>
      <c r="AA658" s="362"/>
      <c r="AB658" s="361"/>
      <c r="AD658" s="350"/>
    </row>
    <row r="659" spans="1:30" s="349" customFormat="1">
      <c r="A659" s="359" t="s">
        <v>218</v>
      </c>
      <c r="B659" s="359">
        <v>100</v>
      </c>
      <c r="C659" s="504">
        <v>80000</v>
      </c>
      <c r="D659" s="359">
        <v>100</v>
      </c>
      <c r="E659" s="362">
        <f>D659*C659</f>
        <v>8000000</v>
      </c>
      <c r="F659" s="359">
        <v>100</v>
      </c>
      <c r="G659" s="362">
        <f>F659*C659</f>
        <v>8000000</v>
      </c>
      <c r="H659" s="359">
        <v>100</v>
      </c>
      <c r="I659" s="362">
        <f>H659*C659</f>
        <v>8000000</v>
      </c>
      <c r="J659" s="359">
        <v>100</v>
      </c>
      <c r="K659" s="362">
        <f>J659*C659</f>
        <v>8000000</v>
      </c>
      <c r="L659" s="359">
        <v>100</v>
      </c>
      <c r="M659" s="362">
        <f>L659*C659</f>
        <v>8000000</v>
      </c>
      <c r="N659" s="359">
        <v>100</v>
      </c>
      <c r="O659" s="362">
        <f>N659*C659</f>
        <v>8000000</v>
      </c>
      <c r="P659" s="359">
        <v>100</v>
      </c>
      <c r="Q659" s="362">
        <f>P659*C659</f>
        <v>8000000</v>
      </c>
      <c r="R659" s="359">
        <v>100</v>
      </c>
      <c r="S659" s="362">
        <f>R659*C659</f>
        <v>8000000</v>
      </c>
      <c r="T659" s="359">
        <v>100</v>
      </c>
      <c r="U659" s="362">
        <f>T659*C659</f>
        <v>8000000</v>
      </c>
      <c r="V659" s="359">
        <v>100</v>
      </c>
      <c r="W659" s="362">
        <f>V659*C659</f>
        <v>8000000</v>
      </c>
      <c r="X659" s="359">
        <v>100</v>
      </c>
      <c r="Y659" s="362">
        <f>X659*C659</f>
        <v>8000000</v>
      </c>
      <c r="Z659" s="359">
        <v>100</v>
      </c>
      <c r="AA659" s="362">
        <f>Z659*C659</f>
        <v>8000000</v>
      </c>
      <c r="AB659" s="361"/>
      <c r="AC659" s="342"/>
      <c r="AD659" s="348"/>
    </row>
    <row r="660" spans="1:30" s="349" customFormat="1">
      <c r="A660" s="359" t="s">
        <v>218</v>
      </c>
      <c r="B660" s="359">
        <v>150</v>
      </c>
      <c r="C660" s="504">
        <v>120000</v>
      </c>
      <c r="D660" s="359">
        <v>80</v>
      </c>
      <c r="E660" s="362">
        <f>D660*C660</f>
        <v>9600000</v>
      </c>
      <c r="F660" s="359">
        <v>80</v>
      </c>
      <c r="G660" s="362">
        <f>F660*C660</f>
        <v>9600000</v>
      </c>
      <c r="H660" s="359">
        <v>80</v>
      </c>
      <c r="I660" s="362">
        <f>H660*C660</f>
        <v>9600000</v>
      </c>
      <c r="J660" s="359">
        <v>80</v>
      </c>
      <c r="K660" s="362">
        <f>J660*C660</f>
        <v>9600000</v>
      </c>
      <c r="L660" s="359">
        <v>80</v>
      </c>
      <c r="M660" s="362">
        <f>L660*C660</f>
        <v>9600000</v>
      </c>
      <c r="N660" s="359">
        <v>80</v>
      </c>
      <c r="O660" s="362">
        <f>N660*C660</f>
        <v>9600000</v>
      </c>
      <c r="P660" s="359">
        <v>80</v>
      </c>
      <c r="Q660" s="362">
        <f>P660*C660</f>
        <v>9600000</v>
      </c>
      <c r="R660" s="359">
        <v>80</v>
      </c>
      <c r="S660" s="362">
        <f>R660*C660</f>
        <v>9600000</v>
      </c>
      <c r="T660" s="359">
        <v>80</v>
      </c>
      <c r="U660" s="362">
        <f>T660*C660</f>
        <v>9600000</v>
      </c>
      <c r="V660" s="359">
        <v>80</v>
      </c>
      <c r="W660" s="362">
        <f>V660*C660</f>
        <v>9600000</v>
      </c>
      <c r="X660" s="359">
        <v>80</v>
      </c>
      <c r="Y660" s="362">
        <f>X660*C660</f>
        <v>9600000</v>
      </c>
      <c r="Z660" s="359">
        <v>80</v>
      </c>
      <c r="AA660" s="362">
        <f>Z660*C660</f>
        <v>9600000</v>
      </c>
      <c r="AB660" s="361"/>
      <c r="AC660" s="342"/>
      <c r="AD660" s="348"/>
    </row>
    <row r="661" spans="1:30" s="349" customFormat="1">
      <c r="A661" s="359" t="s">
        <v>218</v>
      </c>
      <c r="B661" s="359">
        <v>250</v>
      </c>
      <c r="C661" s="504">
        <v>200000</v>
      </c>
      <c r="D661" s="359">
        <v>60</v>
      </c>
      <c r="E661" s="362">
        <f>D661*C661</f>
        <v>12000000</v>
      </c>
      <c r="F661" s="359">
        <v>60</v>
      </c>
      <c r="G661" s="362">
        <f>F661*C661</f>
        <v>12000000</v>
      </c>
      <c r="H661" s="359">
        <v>60</v>
      </c>
      <c r="I661" s="362">
        <f>H661*C661</f>
        <v>12000000</v>
      </c>
      <c r="J661" s="359">
        <v>60</v>
      </c>
      <c r="K661" s="362">
        <f>J661*C661</f>
        <v>12000000</v>
      </c>
      <c r="L661" s="359">
        <v>60</v>
      </c>
      <c r="M661" s="362">
        <f>L661*C661</f>
        <v>12000000</v>
      </c>
      <c r="N661" s="359">
        <v>60</v>
      </c>
      <c r="O661" s="362">
        <f>N661*C661</f>
        <v>12000000</v>
      </c>
      <c r="P661" s="359">
        <v>60</v>
      </c>
      <c r="Q661" s="362">
        <f>P661*C661</f>
        <v>12000000</v>
      </c>
      <c r="R661" s="359">
        <v>60</v>
      </c>
      <c r="S661" s="362">
        <f>R661*C661</f>
        <v>12000000</v>
      </c>
      <c r="T661" s="359">
        <v>60</v>
      </c>
      <c r="U661" s="362">
        <f>T661*C661</f>
        <v>12000000</v>
      </c>
      <c r="V661" s="359">
        <v>60</v>
      </c>
      <c r="W661" s="362">
        <f>V661*C661</f>
        <v>12000000</v>
      </c>
      <c r="X661" s="359">
        <v>60</v>
      </c>
      <c r="Y661" s="362">
        <f>X661*C661</f>
        <v>12000000</v>
      </c>
      <c r="Z661" s="359">
        <v>60</v>
      </c>
      <c r="AA661" s="362">
        <f>Z661*C661</f>
        <v>12000000</v>
      </c>
      <c r="AB661" s="361"/>
      <c r="AC661" s="342"/>
      <c r="AD661" s="348"/>
    </row>
    <row r="662" spans="1:30" s="349" customFormat="1">
      <c r="A662" s="359" t="s">
        <v>218</v>
      </c>
      <c r="B662" s="359">
        <v>350</v>
      </c>
      <c r="C662" s="504">
        <v>270000</v>
      </c>
      <c r="D662" s="359">
        <v>40</v>
      </c>
      <c r="E662" s="362">
        <f>D662*C662</f>
        <v>10800000</v>
      </c>
      <c r="F662" s="359">
        <v>40</v>
      </c>
      <c r="G662" s="362">
        <f>F662*C662</f>
        <v>10800000</v>
      </c>
      <c r="H662" s="359">
        <v>40</v>
      </c>
      <c r="I662" s="362">
        <f>H662*C662</f>
        <v>10800000</v>
      </c>
      <c r="J662" s="359">
        <v>40</v>
      </c>
      <c r="K662" s="362">
        <f>J662*C662</f>
        <v>10800000</v>
      </c>
      <c r="L662" s="359">
        <v>40</v>
      </c>
      <c r="M662" s="362">
        <f>L662*C662</f>
        <v>10800000</v>
      </c>
      <c r="N662" s="359">
        <v>40</v>
      </c>
      <c r="O662" s="362">
        <f>N662*C662</f>
        <v>10800000</v>
      </c>
      <c r="P662" s="359">
        <v>40</v>
      </c>
      <c r="Q662" s="362">
        <f>P662*C662</f>
        <v>10800000</v>
      </c>
      <c r="R662" s="359">
        <v>40</v>
      </c>
      <c r="S662" s="362">
        <f>R662*C662</f>
        <v>10800000</v>
      </c>
      <c r="T662" s="359">
        <v>40</v>
      </c>
      <c r="U662" s="362">
        <f>T662*C662</f>
        <v>10800000</v>
      </c>
      <c r="V662" s="359">
        <v>40</v>
      </c>
      <c r="W662" s="362">
        <f>V662*C662</f>
        <v>10800000</v>
      </c>
      <c r="X662" s="359">
        <v>40</v>
      </c>
      <c r="Y662" s="362">
        <f>X662*C662</f>
        <v>10800000</v>
      </c>
      <c r="Z662" s="359">
        <v>40</v>
      </c>
      <c r="AA662" s="362">
        <f>Z662*C662</f>
        <v>10800000</v>
      </c>
      <c r="AB662" s="361"/>
      <c r="AC662" s="342"/>
      <c r="AD662" s="348"/>
    </row>
    <row r="663" spans="1:30" s="349" customFormat="1">
      <c r="A663" s="359" t="s">
        <v>218</v>
      </c>
      <c r="B663" s="359">
        <v>500</v>
      </c>
      <c r="C663" s="504">
        <v>350000</v>
      </c>
      <c r="D663" s="359">
        <v>20</v>
      </c>
      <c r="E663" s="362">
        <f>D663*C663</f>
        <v>7000000</v>
      </c>
      <c r="F663" s="359">
        <v>20</v>
      </c>
      <c r="G663" s="362">
        <f>F663*C663</f>
        <v>7000000</v>
      </c>
      <c r="H663" s="359">
        <v>20</v>
      </c>
      <c r="I663" s="362">
        <f>H663*C663</f>
        <v>7000000</v>
      </c>
      <c r="J663" s="359">
        <v>20</v>
      </c>
      <c r="K663" s="362">
        <f>J663*C663</f>
        <v>7000000</v>
      </c>
      <c r="L663" s="359">
        <v>20</v>
      </c>
      <c r="M663" s="362">
        <f>C663</f>
        <v>350000</v>
      </c>
      <c r="N663" s="359">
        <v>20</v>
      </c>
      <c r="O663" s="362">
        <f>N663*C663</f>
        <v>7000000</v>
      </c>
      <c r="P663" s="359">
        <v>20</v>
      </c>
      <c r="Q663" s="362">
        <f>P663*C663</f>
        <v>7000000</v>
      </c>
      <c r="R663" s="359">
        <v>20</v>
      </c>
      <c r="S663" s="362">
        <f>R663*C663</f>
        <v>7000000</v>
      </c>
      <c r="T663" s="359">
        <v>20</v>
      </c>
      <c r="U663" s="362">
        <f>T663*C663</f>
        <v>7000000</v>
      </c>
      <c r="V663" s="359">
        <v>20</v>
      </c>
      <c r="W663" s="362">
        <f>V663*C663</f>
        <v>7000000</v>
      </c>
      <c r="X663" s="359">
        <v>20</v>
      </c>
      <c r="Y663" s="362">
        <f>X663*C663</f>
        <v>7000000</v>
      </c>
      <c r="Z663" s="359">
        <v>20</v>
      </c>
      <c r="AA663" s="362">
        <f>Z663*C663</f>
        <v>7000000</v>
      </c>
      <c r="AB663" s="361"/>
      <c r="AC663" s="342"/>
      <c r="AD663" s="348"/>
    </row>
    <row r="664" spans="1:30" s="349" customFormat="1">
      <c r="A664" s="359"/>
      <c r="B664" s="359"/>
      <c r="C664" s="504"/>
      <c r="D664" s="359"/>
      <c r="E664" s="362"/>
      <c r="F664" s="359"/>
      <c r="G664" s="362"/>
      <c r="H664" s="359"/>
      <c r="I664" s="362"/>
      <c r="J664" s="359"/>
      <c r="K664" s="362"/>
      <c r="L664" s="359"/>
      <c r="M664" s="362"/>
      <c r="N664" s="359"/>
      <c r="O664" s="362"/>
      <c r="P664" s="359"/>
      <c r="Q664" s="362"/>
      <c r="R664" s="359"/>
      <c r="S664" s="362"/>
      <c r="T664" s="359"/>
      <c r="U664" s="362"/>
      <c r="V664" s="359"/>
      <c r="W664" s="362"/>
      <c r="X664" s="359"/>
      <c r="Y664" s="362"/>
      <c r="Z664" s="359"/>
      <c r="AA664" s="362"/>
      <c r="AB664" s="360"/>
      <c r="AC664" s="342"/>
      <c r="AD664" s="348"/>
    </row>
    <row r="665" spans="1:30" s="479" customFormat="1">
      <c r="A665" s="474"/>
      <c r="B665" s="474"/>
      <c r="C665" s="505"/>
      <c r="D665" s="474">
        <v>0.1</v>
      </c>
      <c r="E665" s="475">
        <f>SUM(E643:E663)</f>
        <v>204000000</v>
      </c>
      <c r="F665" s="474">
        <v>0.1</v>
      </c>
      <c r="G665" s="475">
        <f>SUM(G643:G663)</f>
        <v>204000000</v>
      </c>
      <c r="H665" s="474">
        <v>0.1</v>
      </c>
      <c r="I665" s="475">
        <f>SUM(I643:I663)</f>
        <v>204000000</v>
      </c>
      <c r="J665" s="474">
        <v>0.1</v>
      </c>
      <c r="K665" s="475">
        <f>SUM(K643:K663)</f>
        <v>204000000</v>
      </c>
      <c r="L665" s="474">
        <v>0.1</v>
      </c>
      <c r="M665" s="475">
        <f>SUM(M643:M663)</f>
        <v>197350000</v>
      </c>
      <c r="N665" s="474">
        <v>0.1</v>
      </c>
      <c r="O665" s="475">
        <f>SUM(O643:O663)</f>
        <v>204000000</v>
      </c>
      <c r="P665" s="474">
        <v>0.1</v>
      </c>
      <c r="Q665" s="475">
        <f>SUM(Q643:Q663)</f>
        <v>204000000</v>
      </c>
      <c r="R665" s="474">
        <v>0.1</v>
      </c>
      <c r="S665" s="475">
        <f>SUM(S643:S663)</f>
        <v>204000000</v>
      </c>
      <c r="T665" s="474">
        <v>0.1</v>
      </c>
      <c r="U665" s="475">
        <f>SUM(U643:U663)</f>
        <v>204000000</v>
      </c>
      <c r="V665" s="474">
        <v>0.1</v>
      </c>
      <c r="W665" s="475">
        <f>SUM(W643:W663)</f>
        <v>204000000</v>
      </c>
      <c r="X665" s="474">
        <v>0.1</v>
      </c>
      <c r="Y665" s="475">
        <f>SUM(Y643:Y663)</f>
        <v>204000000</v>
      </c>
      <c r="Z665" s="474">
        <v>0.1</v>
      </c>
      <c r="AA665" s="475">
        <f>SUM(AA643:AA663)</f>
        <v>204000000</v>
      </c>
      <c r="AB665" s="476"/>
      <c r="AC665" s="477"/>
      <c r="AD665" s="478"/>
    </row>
    <row r="666" spans="1:30" s="485" customFormat="1">
      <c r="A666" s="480"/>
      <c r="B666" s="480"/>
      <c r="C666" s="507"/>
      <c r="D666" s="480"/>
      <c r="E666" s="481">
        <f>E665*D665</f>
        <v>20400000</v>
      </c>
      <c r="F666" s="480"/>
      <c r="G666" s="482">
        <f>G665*F665</f>
        <v>20400000</v>
      </c>
      <c r="H666" s="480"/>
      <c r="I666" s="481">
        <f>I665*H665</f>
        <v>20400000</v>
      </c>
      <c r="J666" s="480"/>
      <c r="K666" s="481">
        <f>K665*J665</f>
        <v>20400000</v>
      </c>
      <c r="L666" s="480"/>
      <c r="M666" s="481">
        <f>M665*L665</f>
        <v>19735000</v>
      </c>
      <c r="N666" s="480"/>
      <c r="O666" s="481">
        <f>O665*N665</f>
        <v>20400000</v>
      </c>
      <c r="P666" s="480"/>
      <c r="Q666" s="481">
        <f>Q665*P665</f>
        <v>20400000</v>
      </c>
      <c r="R666" s="480"/>
      <c r="S666" s="481">
        <f>S665*R665</f>
        <v>20400000</v>
      </c>
      <c r="T666" s="480"/>
      <c r="U666" s="481">
        <f>U665*T665</f>
        <v>20400000</v>
      </c>
      <c r="V666" s="480"/>
      <c r="W666" s="481">
        <f>W665*V665</f>
        <v>20400000</v>
      </c>
      <c r="X666" s="480"/>
      <c r="Y666" s="481">
        <f>Y665*X665</f>
        <v>20400000</v>
      </c>
      <c r="Z666" s="480"/>
      <c r="AA666" s="481">
        <f>AA665*Z665</f>
        <v>20400000</v>
      </c>
      <c r="AB666" s="481">
        <f>SUM(AA666,Y666,W666,U666,S666,Q666,O666,M666,K666,I666,G666,E666)</f>
        <v>244135000</v>
      </c>
      <c r="AC666" s="483"/>
      <c r="AD666" s="484"/>
    </row>
    <row r="667" spans="1:30" s="349" customFormat="1">
      <c r="A667" s="359"/>
      <c r="B667" s="359"/>
      <c r="C667" s="504"/>
      <c r="D667" s="359"/>
      <c r="E667" s="360"/>
      <c r="F667" s="359"/>
      <c r="G667" s="362"/>
      <c r="H667" s="359"/>
      <c r="I667" s="362"/>
      <c r="J667" s="359"/>
      <c r="K667" s="362"/>
      <c r="L667" s="359"/>
      <c r="M667" s="362"/>
      <c r="N667" s="359"/>
      <c r="O667" s="362"/>
      <c r="P667" s="359"/>
      <c r="Q667" s="362"/>
      <c r="R667" s="359"/>
      <c r="S667" s="362"/>
      <c r="T667" s="359"/>
      <c r="U667" s="362"/>
      <c r="V667" s="359"/>
      <c r="W667" s="362"/>
      <c r="X667" s="359"/>
      <c r="Y667" s="362"/>
      <c r="Z667" s="359"/>
      <c r="AA667" s="362"/>
      <c r="AB667" s="360"/>
      <c r="AC667" s="342"/>
      <c r="AD667" s="348"/>
    </row>
    <row r="668" spans="1:30" s="349" customFormat="1">
      <c r="A668" s="359" t="s">
        <v>225</v>
      </c>
      <c r="B668" s="359">
        <v>26</v>
      </c>
      <c r="C668" s="504">
        <v>25000</v>
      </c>
      <c r="D668" s="359">
        <v>500</v>
      </c>
      <c r="E668" s="362">
        <f>D668*C668</f>
        <v>12500000</v>
      </c>
      <c r="F668" s="359">
        <v>500</v>
      </c>
      <c r="G668" s="362">
        <f>F668*C668</f>
        <v>12500000</v>
      </c>
      <c r="H668" s="359">
        <v>500</v>
      </c>
      <c r="I668" s="362">
        <f>H668*C668</f>
        <v>12500000</v>
      </c>
      <c r="J668" s="359">
        <v>500</v>
      </c>
      <c r="K668" s="362">
        <f>J668*C668</f>
        <v>12500000</v>
      </c>
      <c r="L668" s="359">
        <v>500</v>
      </c>
      <c r="M668" s="362">
        <f>L668*C668</f>
        <v>12500000</v>
      </c>
      <c r="N668" s="359">
        <v>500</v>
      </c>
      <c r="O668" s="362">
        <f>N668*C668</f>
        <v>12500000</v>
      </c>
      <c r="P668" s="359">
        <v>500</v>
      </c>
      <c r="Q668" s="362">
        <f>P668*C668</f>
        <v>12500000</v>
      </c>
      <c r="R668" s="359">
        <v>500</v>
      </c>
      <c r="S668" s="362">
        <f>R668*C668</f>
        <v>12500000</v>
      </c>
      <c r="T668" s="359">
        <v>500</v>
      </c>
      <c r="U668" s="362">
        <f>T668*C668</f>
        <v>12500000</v>
      </c>
      <c r="V668" s="359">
        <v>500</v>
      </c>
      <c r="W668" s="362">
        <f>V668*C668</f>
        <v>12500000</v>
      </c>
      <c r="X668" s="359">
        <v>500</v>
      </c>
      <c r="Y668" s="362">
        <f>X668*C668</f>
        <v>12500000</v>
      </c>
      <c r="Z668" s="359">
        <v>500</v>
      </c>
      <c r="AA668" s="362">
        <f>Z668*C668</f>
        <v>12500000</v>
      </c>
      <c r="AB668" s="361"/>
      <c r="AC668" s="342"/>
      <c r="AD668" s="348"/>
    </row>
    <row r="669" spans="1:30" s="349" customFormat="1">
      <c r="A669" s="359" t="s">
        <v>225</v>
      </c>
      <c r="B669" s="359">
        <v>33</v>
      </c>
      <c r="C669" s="504">
        <v>45000</v>
      </c>
      <c r="D669" s="359">
        <v>200</v>
      </c>
      <c r="E669" s="362">
        <f>D669*C669</f>
        <v>9000000</v>
      </c>
      <c r="F669" s="359">
        <v>200</v>
      </c>
      <c r="G669" s="362">
        <f>F669*C669</f>
        <v>9000000</v>
      </c>
      <c r="H669" s="359">
        <v>200</v>
      </c>
      <c r="I669" s="362">
        <f>H669*C669</f>
        <v>9000000</v>
      </c>
      <c r="J669" s="359">
        <v>200</v>
      </c>
      <c r="K669" s="362">
        <f>J669*C669</f>
        <v>9000000</v>
      </c>
      <c r="L669" s="359">
        <v>200</v>
      </c>
      <c r="M669" s="362">
        <f>L669*C669</f>
        <v>9000000</v>
      </c>
      <c r="N669" s="359">
        <v>200</v>
      </c>
      <c r="O669" s="362">
        <f>N669*C669</f>
        <v>9000000</v>
      </c>
      <c r="P669" s="359">
        <v>200</v>
      </c>
      <c r="Q669" s="362">
        <f>P669*C669</f>
        <v>9000000</v>
      </c>
      <c r="R669" s="359">
        <v>200</v>
      </c>
      <c r="S669" s="362">
        <f>R669*C669</f>
        <v>9000000</v>
      </c>
      <c r="T669" s="359">
        <v>200</v>
      </c>
      <c r="U669" s="362">
        <f>T669*C669</f>
        <v>9000000</v>
      </c>
      <c r="V669" s="359">
        <v>200</v>
      </c>
      <c r="W669" s="362">
        <f>V669*C669</f>
        <v>9000000</v>
      </c>
      <c r="X669" s="359">
        <v>200</v>
      </c>
      <c r="Y669" s="362">
        <f>X669*C669</f>
        <v>9000000</v>
      </c>
      <c r="Z669" s="359">
        <v>200</v>
      </c>
      <c r="AA669" s="362">
        <f>Z669*C669</f>
        <v>9000000</v>
      </c>
      <c r="AB669" s="361"/>
      <c r="AC669" s="342"/>
      <c r="AD669" s="348"/>
    </row>
    <row r="670" spans="1:30" s="349" customFormat="1">
      <c r="A670" s="359" t="s">
        <v>225</v>
      </c>
      <c r="B670" s="359">
        <v>64</v>
      </c>
      <c r="C670" s="504">
        <v>85000</v>
      </c>
      <c r="D670" s="359">
        <v>100</v>
      </c>
      <c r="E670" s="362">
        <f>D670*C670</f>
        <v>8500000</v>
      </c>
      <c r="F670" s="359">
        <v>100</v>
      </c>
      <c r="G670" s="362">
        <f>F670*C670</f>
        <v>8500000</v>
      </c>
      <c r="H670" s="359">
        <v>100</v>
      </c>
      <c r="I670" s="362">
        <f>H670*C670</f>
        <v>8500000</v>
      </c>
      <c r="J670" s="359">
        <v>100</v>
      </c>
      <c r="K670" s="362">
        <f>J670*C670</f>
        <v>8500000</v>
      </c>
      <c r="L670" s="359">
        <v>100</v>
      </c>
      <c r="M670" s="362">
        <f>L670*C670</f>
        <v>8500000</v>
      </c>
      <c r="N670" s="359">
        <v>100</v>
      </c>
      <c r="O670" s="362">
        <f>N670*C670</f>
        <v>8500000</v>
      </c>
      <c r="P670" s="359">
        <v>100</v>
      </c>
      <c r="Q670" s="362">
        <f>P670*C670</f>
        <v>8500000</v>
      </c>
      <c r="R670" s="359">
        <v>100</v>
      </c>
      <c r="S670" s="362">
        <f>R670*C670</f>
        <v>8500000</v>
      </c>
      <c r="T670" s="359">
        <v>100</v>
      </c>
      <c r="U670" s="362">
        <f>T670*C670</f>
        <v>8500000</v>
      </c>
      <c r="V670" s="359">
        <v>100</v>
      </c>
      <c r="W670" s="362">
        <f>V670*C670</f>
        <v>8500000</v>
      </c>
      <c r="X670" s="359">
        <v>100</v>
      </c>
      <c r="Y670" s="362">
        <f>X670*C670</f>
        <v>8500000</v>
      </c>
      <c r="Z670" s="359">
        <v>100</v>
      </c>
      <c r="AA670" s="362">
        <f>Z670*C670</f>
        <v>8500000</v>
      </c>
      <c r="AB670" s="361"/>
      <c r="AC670" s="342"/>
      <c r="AD670" s="348"/>
    </row>
    <row r="671" spans="1:30" s="349" customFormat="1">
      <c r="A671" s="359" t="s">
        <v>225</v>
      </c>
      <c r="B671" s="359">
        <v>100</v>
      </c>
      <c r="C671" s="504">
        <v>120000</v>
      </c>
      <c r="D671" s="359">
        <v>20</v>
      </c>
      <c r="E671" s="362">
        <f>D671*C671</f>
        <v>2400000</v>
      </c>
      <c r="F671" s="359">
        <v>20</v>
      </c>
      <c r="G671" s="362">
        <f>F671*C671</f>
        <v>2400000</v>
      </c>
      <c r="H671" s="359">
        <v>20</v>
      </c>
      <c r="I671" s="362">
        <f>H671*C671</f>
        <v>2400000</v>
      </c>
      <c r="J671" s="359">
        <v>20</v>
      </c>
      <c r="K671" s="362">
        <f>J671*C671</f>
        <v>2400000</v>
      </c>
      <c r="L671" s="359">
        <v>20</v>
      </c>
      <c r="M671" s="362">
        <f>L671*C671</f>
        <v>2400000</v>
      </c>
      <c r="N671" s="359">
        <v>20</v>
      </c>
      <c r="O671" s="362">
        <f>N671*C671</f>
        <v>2400000</v>
      </c>
      <c r="P671" s="359">
        <v>20</v>
      </c>
      <c r="Q671" s="362">
        <f>P671*C671</f>
        <v>2400000</v>
      </c>
      <c r="R671" s="359">
        <v>20</v>
      </c>
      <c r="S671" s="362">
        <f>R671*C671</f>
        <v>2400000</v>
      </c>
      <c r="T671" s="359">
        <v>20</v>
      </c>
      <c r="U671" s="362">
        <f>T671*C671</f>
        <v>2400000</v>
      </c>
      <c r="V671" s="359">
        <v>20</v>
      </c>
      <c r="W671" s="362">
        <f>V671*C671</f>
        <v>2400000</v>
      </c>
      <c r="X671" s="359">
        <v>20</v>
      </c>
      <c r="Y671" s="362">
        <f>X671*C671</f>
        <v>2400000</v>
      </c>
      <c r="Z671" s="359">
        <v>20</v>
      </c>
      <c r="AA671" s="362">
        <f>Z671*C671</f>
        <v>2400000</v>
      </c>
      <c r="AB671" s="361"/>
      <c r="AC671" s="342"/>
      <c r="AD671" s="348"/>
    </row>
    <row r="672" spans="1:30" s="349" customFormat="1">
      <c r="A672" s="359"/>
      <c r="B672" s="359"/>
      <c r="C672" s="504"/>
      <c r="D672" s="359"/>
      <c r="E672" s="362"/>
      <c r="F672" s="359"/>
      <c r="G672" s="362"/>
      <c r="H672" s="359"/>
      <c r="I672" s="362"/>
      <c r="J672" s="359"/>
      <c r="K672" s="362"/>
      <c r="L672" s="359"/>
      <c r="M672" s="362"/>
      <c r="N672" s="359"/>
      <c r="O672" s="362"/>
      <c r="P672" s="359"/>
      <c r="Q672" s="362"/>
      <c r="R672" s="359"/>
      <c r="S672" s="362"/>
      <c r="T672" s="359"/>
      <c r="U672" s="362"/>
      <c r="V672" s="359"/>
      <c r="W672" s="362"/>
      <c r="X672" s="359"/>
      <c r="Y672" s="362"/>
      <c r="Z672" s="359"/>
      <c r="AA672" s="362"/>
      <c r="AB672" s="361"/>
      <c r="AC672" s="342"/>
      <c r="AD672" s="348"/>
    </row>
    <row r="673" spans="1:30" s="349" customFormat="1">
      <c r="A673" s="359" t="s">
        <v>224</v>
      </c>
      <c r="B673" s="359">
        <v>150</v>
      </c>
      <c r="C673" s="504">
        <v>150000</v>
      </c>
      <c r="D673" s="359">
        <v>500</v>
      </c>
      <c r="E673" s="362">
        <f>D673*C673</f>
        <v>75000000</v>
      </c>
      <c r="F673" s="359">
        <v>500</v>
      </c>
      <c r="G673" s="362">
        <f>F673*C673</f>
        <v>75000000</v>
      </c>
      <c r="H673" s="359">
        <v>500</v>
      </c>
      <c r="I673" s="362">
        <f>H673*C673</f>
        <v>75000000</v>
      </c>
      <c r="J673" s="359">
        <v>500</v>
      </c>
      <c r="K673" s="362">
        <f>J673*C673</f>
        <v>75000000</v>
      </c>
      <c r="L673" s="359">
        <v>500</v>
      </c>
      <c r="M673" s="362">
        <f>L673*C673</f>
        <v>75000000</v>
      </c>
      <c r="N673" s="359">
        <v>500</v>
      </c>
      <c r="O673" s="362">
        <f>N673*C673</f>
        <v>75000000</v>
      </c>
      <c r="P673" s="359">
        <v>500</v>
      </c>
      <c r="Q673" s="362">
        <f>P673*C673</f>
        <v>75000000</v>
      </c>
      <c r="R673" s="359">
        <v>500</v>
      </c>
      <c r="S673" s="362">
        <f>R673*C673</f>
        <v>75000000</v>
      </c>
      <c r="T673" s="359">
        <v>500</v>
      </c>
      <c r="U673" s="362">
        <f>T673*C673</f>
        <v>75000000</v>
      </c>
      <c r="V673" s="359">
        <v>500</v>
      </c>
      <c r="W673" s="362">
        <f>V673*C673</f>
        <v>75000000</v>
      </c>
      <c r="X673" s="359">
        <v>500</v>
      </c>
      <c r="Y673" s="362">
        <f>X673*C673</f>
        <v>75000000</v>
      </c>
      <c r="Z673" s="359">
        <v>500</v>
      </c>
      <c r="AA673" s="362">
        <f>Z673*C673</f>
        <v>75000000</v>
      </c>
      <c r="AB673" s="361"/>
      <c r="AC673" s="342"/>
      <c r="AD673" s="348"/>
    </row>
    <row r="674" spans="1:30" s="349" customFormat="1">
      <c r="A674" s="359" t="s">
        <v>224</v>
      </c>
      <c r="B674" s="359">
        <v>250</v>
      </c>
      <c r="C674" s="504">
        <v>250000</v>
      </c>
      <c r="D674" s="359">
        <v>200</v>
      </c>
      <c r="E674" s="362">
        <f>D674*C674</f>
        <v>50000000</v>
      </c>
      <c r="F674" s="359">
        <v>200</v>
      </c>
      <c r="G674" s="362">
        <f>F674*C674</f>
        <v>50000000</v>
      </c>
      <c r="H674" s="359">
        <v>200</v>
      </c>
      <c r="I674" s="362">
        <f>H674*C674</f>
        <v>50000000</v>
      </c>
      <c r="J674" s="359">
        <v>200</v>
      </c>
      <c r="K674" s="362">
        <f>J674*C674</f>
        <v>50000000</v>
      </c>
      <c r="L674" s="359">
        <v>200</v>
      </c>
      <c r="M674" s="362">
        <f>L674*C674</f>
        <v>50000000</v>
      </c>
      <c r="N674" s="359">
        <v>200</v>
      </c>
      <c r="O674" s="362">
        <f>N674*C674</f>
        <v>50000000</v>
      </c>
      <c r="P674" s="359">
        <v>200</v>
      </c>
      <c r="Q674" s="362">
        <f>P674*C674</f>
        <v>50000000</v>
      </c>
      <c r="R674" s="359">
        <v>200</v>
      </c>
      <c r="S674" s="362">
        <f>R674*C674</f>
        <v>50000000</v>
      </c>
      <c r="T674" s="359">
        <v>200</v>
      </c>
      <c r="U674" s="362">
        <f>T674*C674</f>
        <v>50000000</v>
      </c>
      <c r="V674" s="359">
        <v>200</v>
      </c>
      <c r="W674" s="362">
        <f>V674*C674</f>
        <v>50000000</v>
      </c>
      <c r="X674" s="359">
        <v>200</v>
      </c>
      <c r="Y674" s="362">
        <f>X674*C674</f>
        <v>50000000</v>
      </c>
      <c r="Z674" s="359">
        <v>200</v>
      </c>
      <c r="AA674" s="362">
        <f>Z674*C674</f>
        <v>50000000</v>
      </c>
      <c r="AB674" s="361"/>
      <c r="AC674" s="342"/>
      <c r="AD674" s="348"/>
    </row>
    <row r="675" spans="1:30" s="349" customFormat="1">
      <c r="A675" s="359" t="s">
        <v>224</v>
      </c>
      <c r="B675" s="359">
        <v>350</v>
      </c>
      <c r="C675" s="504">
        <v>320000</v>
      </c>
      <c r="D675" s="359">
        <v>100</v>
      </c>
      <c r="E675" s="362">
        <f>D675*C675</f>
        <v>32000000</v>
      </c>
      <c r="F675" s="359">
        <v>100</v>
      </c>
      <c r="G675" s="362">
        <f>F675*C675</f>
        <v>32000000</v>
      </c>
      <c r="H675" s="359">
        <v>100</v>
      </c>
      <c r="I675" s="362">
        <f>H675*C675</f>
        <v>32000000</v>
      </c>
      <c r="J675" s="359">
        <v>100</v>
      </c>
      <c r="K675" s="362">
        <f>J675*C675</f>
        <v>32000000</v>
      </c>
      <c r="L675" s="359">
        <v>100</v>
      </c>
      <c r="M675" s="362">
        <f>L675*C675</f>
        <v>32000000</v>
      </c>
      <c r="N675" s="359">
        <v>100</v>
      </c>
      <c r="O675" s="362">
        <f>N675*C675</f>
        <v>32000000</v>
      </c>
      <c r="P675" s="359">
        <v>100</v>
      </c>
      <c r="Q675" s="362">
        <f>P675*C675</f>
        <v>32000000</v>
      </c>
      <c r="R675" s="359">
        <v>100</v>
      </c>
      <c r="S675" s="362">
        <f>R675*C675</f>
        <v>32000000</v>
      </c>
      <c r="T675" s="359">
        <v>100</v>
      </c>
      <c r="U675" s="362">
        <f>T675*C675</f>
        <v>32000000</v>
      </c>
      <c r="V675" s="359">
        <v>100</v>
      </c>
      <c r="W675" s="362">
        <f>V675*C675</f>
        <v>32000000</v>
      </c>
      <c r="X675" s="359">
        <v>100</v>
      </c>
      <c r="Y675" s="362">
        <f>X675*C675</f>
        <v>32000000</v>
      </c>
      <c r="Z675" s="359">
        <v>100</v>
      </c>
      <c r="AA675" s="362">
        <f>Z675*C675</f>
        <v>32000000</v>
      </c>
      <c r="AB675" s="361"/>
      <c r="AC675" s="342"/>
      <c r="AD675" s="348"/>
    </row>
    <row r="676" spans="1:30" s="349" customFormat="1">
      <c r="A676" s="359" t="s">
        <v>224</v>
      </c>
      <c r="B676" s="359">
        <v>500</v>
      </c>
      <c r="C676" s="504">
        <v>480000</v>
      </c>
      <c r="D676" s="359">
        <v>20</v>
      </c>
      <c r="E676" s="362">
        <f>D676*C676</f>
        <v>9600000</v>
      </c>
      <c r="F676" s="359">
        <v>20</v>
      </c>
      <c r="G676" s="362">
        <f>F676*C676</f>
        <v>9600000</v>
      </c>
      <c r="H676" s="359">
        <v>20</v>
      </c>
      <c r="I676" s="362">
        <f>H676*C676</f>
        <v>9600000</v>
      </c>
      <c r="J676" s="359">
        <v>20</v>
      </c>
      <c r="K676" s="362">
        <f>J676*C676</f>
        <v>9600000</v>
      </c>
      <c r="L676" s="359">
        <v>20</v>
      </c>
      <c r="M676" s="362">
        <f>L676*C676</f>
        <v>9600000</v>
      </c>
      <c r="N676" s="359">
        <v>20</v>
      </c>
      <c r="O676" s="362">
        <f>N676*C676</f>
        <v>9600000</v>
      </c>
      <c r="P676" s="359">
        <v>20</v>
      </c>
      <c r="Q676" s="362">
        <f>P676*C676</f>
        <v>9600000</v>
      </c>
      <c r="R676" s="359">
        <v>20</v>
      </c>
      <c r="S676" s="362">
        <f>R676*C676</f>
        <v>9600000</v>
      </c>
      <c r="T676" s="359">
        <v>20</v>
      </c>
      <c r="U676" s="362">
        <f>T676*C676</f>
        <v>9600000</v>
      </c>
      <c r="V676" s="359">
        <v>20</v>
      </c>
      <c r="W676" s="362">
        <f>V676*C676</f>
        <v>9600000</v>
      </c>
      <c r="X676" s="359">
        <v>20</v>
      </c>
      <c r="Y676" s="362">
        <f>X676*C676</f>
        <v>9600000</v>
      </c>
      <c r="Z676" s="359">
        <v>20</v>
      </c>
      <c r="AA676" s="362">
        <f>Z676*C676</f>
        <v>9600000</v>
      </c>
      <c r="AB676" s="361"/>
      <c r="AC676" s="342"/>
      <c r="AD676" s="348"/>
    </row>
    <row r="677" spans="1:30" s="349" customFormat="1">
      <c r="A677" s="359"/>
      <c r="B677" s="359"/>
      <c r="C677" s="504"/>
      <c r="D677" s="359"/>
      <c r="E677" s="362"/>
      <c r="F677" s="359"/>
      <c r="G677" s="362"/>
      <c r="H677" s="359"/>
      <c r="I677" s="362"/>
      <c r="J677" s="359"/>
      <c r="K677" s="362"/>
      <c r="L677" s="359"/>
      <c r="M677" s="362"/>
      <c r="N677" s="359"/>
      <c r="O677" s="362"/>
      <c r="P677" s="359"/>
      <c r="Q677" s="362"/>
      <c r="R677" s="359"/>
      <c r="S677" s="362"/>
      <c r="T677" s="359"/>
      <c r="U677" s="362"/>
      <c r="V677" s="359"/>
      <c r="W677" s="362"/>
      <c r="X677" s="359"/>
      <c r="Y677" s="362"/>
      <c r="Z677" s="359"/>
      <c r="AA677" s="362"/>
      <c r="AB677" s="361"/>
      <c r="AC677" s="342"/>
      <c r="AD677" s="348"/>
    </row>
    <row r="678" spans="1:30" s="349" customFormat="1">
      <c r="A678" s="359" t="s">
        <v>223</v>
      </c>
      <c r="B678" s="359">
        <v>100</v>
      </c>
      <c r="C678" s="504">
        <v>120000</v>
      </c>
      <c r="D678" s="359">
        <v>100</v>
      </c>
      <c r="E678" s="362">
        <f>D678*C678</f>
        <v>12000000</v>
      </c>
      <c r="F678" s="359">
        <v>100</v>
      </c>
      <c r="G678" s="362">
        <f>F678*C678</f>
        <v>12000000</v>
      </c>
      <c r="H678" s="359">
        <v>100</v>
      </c>
      <c r="I678" s="362">
        <f>H678*C678</f>
        <v>12000000</v>
      </c>
      <c r="J678" s="359">
        <v>100</v>
      </c>
      <c r="K678" s="362">
        <f>J678*C678</f>
        <v>12000000</v>
      </c>
      <c r="L678" s="359">
        <v>100</v>
      </c>
      <c r="M678" s="362">
        <f>L678*C678</f>
        <v>12000000</v>
      </c>
      <c r="N678" s="359">
        <v>100</v>
      </c>
      <c r="O678" s="362">
        <f>N678*C678</f>
        <v>12000000</v>
      </c>
      <c r="P678" s="359">
        <v>100</v>
      </c>
      <c r="Q678" s="362">
        <f>P678*C678</f>
        <v>12000000</v>
      </c>
      <c r="R678" s="359">
        <v>100</v>
      </c>
      <c r="S678" s="362">
        <f>R678*C678</f>
        <v>12000000</v>
      </c>
      <c r="T678" s="359">
        <v>100</v>
      </c>
      <c r="U678" s="362">
        <f>T678*C678</f>
        <v>12000000</v>
      </c>
      <c r="V678" s="359">
        <v>100</v>
      </c>
      <c r="W678" s="362">
        <f>V678*C678</f>
        <v>12000000</v>
      </c>
      <c r="X678" s="359">
        <v>100</v>
      </c>
      <c r="Y678" s="362">
        <f>X678*C678</f>
        <v>12000000</v>
      </c>
      <c r="Z678" s="359">
        <v>100</v>
      </c>
      <c r="AA678" s="362">
        <f>Z678*C678</f>
        <v>12000000</v>
      </c>
      <c r="AB678" s="361"/>
      <c r="AC678" s="342"/>
      <c r="AD678" s="348"/>
    </row>
    <row r="679" spans="1:30" s="349" customFormat="1">
      <c r="A679" s="359" t="s">
        <v>223</v>
      </c>
      <c r="B679" s="359">
        <v>150</v>
      </c>
      <c r="C679" s="504">
        <v>150000</v>
      </c>
      <c r="D679" s="359">
        <v>80</v>
      </c>
      <c r="E679" s="362">
        <f>D679*C679</f>
        <v>12000000</v>
      </c>
      <c r="F679" s="359">
        <v>80</v>
      </c>
      <c r="G679" s="362">
        <f>F679*C679</f>
        <v>12000000</v>
      </c>
      <c r="H679" s="359">
        <v>80</v>
      </c>
      <c r="I679" s="362">
        <f>H679*C679</f>
        <v>12000000</v>
      </c>
      <c r="J679" s="359">
        <v>80</v>
      </c>
      <c r="K679" s="362">
        <f>J679*C679</f>
        <v>12000000</v>
      </c>
      <c r="L679" s="359">
        <v>80</v>
      </c>
      <c r="M679" s="362">
        <f>L679*C679</f>
        <v>12000000</v>
      </c>
      <c r="N679" s="359">
        <v>80</v>
      </c>
      <c r="O679" s="362">
        <f>N679*C679</f>
        <v>12000000</v>
      </c>
      <c r="P679" s="359">
        <v>80</v>
      </c>
      <c r="Q679" s="362">
        <f>P679*C679</f>
        <v>12000000</v>
      </c>
      <c r="R679" s="359">
        <v>80</v>
      </c>
      <c r="S679" s="362">
        <f>R679*C679</f>
        <v>12000000</v>
      </c>
      <c r="T679" s="359">
        <v>80</v>
      </c>
      <c r="U679" s="362">
        <f>T679*C679</f>
        <v>12000000</v>
      </c>
      <c r="V679" s="359">
        <v>80</v>
      </c>
      <c r="W679" s="362">
        <f>V679*C679</f>
        <v>12000000</v>
      </c>
      <c r="X679" s="359">
        <v>80</v>
      </c>
      <c r="Y679" s="362">
        <f>X679*C679</f>
        <v>12000000</v>
      </c>
      <c r="Z679" s="359">
        <v>80</v>
      </c>
      <c r="AA679" s="362">
        <f>Z679*C679</f>
        <v>12000000</v>
      </c>
      <c r="AB679" s="361"/>
      <c r="AC679" s="342"/>
      <c r="AD679" s="348"/>
    </row>
    <row r="680" spans="1:30" s="349" customFormat="1">
      <c r="A680" s="359" t="s">
        <v>223</v>
      </c>
      <c r="B680" s="359">
        <v>250</v>
      </c>
      <c r="C680" s="504">
        <v>250000</v>
      </c>
      <c r="D680" s="359">
        <v>60</v>
      </c>
      <c r="E680" s="362">
        <f>D680*C680</f>
        <v>15000000</v>
      </c>
      <c r="F680" s="359">
        <v>60</v>
      </c>
      <c r="G680" s="362">
        <f>F680*C680</f>
        <v>15000000</v>
      </c>
      <c r="H680" s="359">
        <v>60</v>
      </c>
      <c r="I680" s="362">
        <f>H680*C680</f>
        <v>15000000</v>
      </c>
      <c r="J680" s="359">
        <v>60</v>
      </c>
      <c r="K680" s="362">
        <f>J680*C680</f>
        <v>15000000</v>
      </c>
      <c r="L680" s="359">
        <v>60</v>
      </c>
      <c r="M680" s="362">
        <f>L680*C680</f>
        <v>15000000</v>
      </c>
      <c r="N680" s="359">
        <v>60</v>
      </c>
      <c r="O680" s="362">
        <f>N680*C680</f>
        <v>15000000</v>
      </c>
      <c r="P680" s="359">
        <v>60</v>
      </c>
      <c r="Q680" s="362">
        <f>P680*C680</f>
        <v>15000000</v>
      </c>
      <c r="R680" s="359">
        <v>60</v>
      </c>
      <c r="S680" s="362">
        <f>R680*C680</f>
        <v>15000000</v>
      </c>
      <c r="T680" s="359">
        <v>60</v>
      </c>
      <c r="U680" s="362">
        <f>T680*C680</f>
        <v>15000000</v>
      </c>
      <c r="V680" s="359">
        <v>60</v>
      </c>
      <c r="W680" s="362">
        <f>V680*C680</f>
        <v>15000000</v>
      </c>
      <c r="X680" s="359">
        <v>60</v>
      </c>
      <c r="Y680" s="362">
        <f>X680*C680</f>
        <v>15000000</v>
      </c>
      <c r="Z680" s="359">
        <v>60</v>
      </c>
      <c r="AA680" s="362">
        <f>Z680*C680</f>
        <v>15000000</v>
      </c>
      <c r="AB680" s="361"/>
      <c r="AC680" s="342"/>
      <c r="AD680" s="348"/>
    </row>
    <row r="681" spans="1:30" s="349" customFormat="1">
      <c r="A681" s="359" t="s">
        <v>223</v>
      </c>
      <c r="B681" s="359">
        <v>350</v>
      </c>
      <c r="C681" s="504">
        <v>320000</v>
      </c>
      <c r="D681" s="359">
        <v>40</v>
      </c>
      <c r="E681" s="362">
        <f>D681*C681</f>
        <v>12800000</v>
      </c>
      <c r="F681" s="359">
        <v>40</v>
      </c>
      <c r="G681" s="362">
        <f>F681*C681</f>
        <v>12800000</v>
      </c>
      <c r="H681" s="359">
        <v>40</v>
      </c>
      <c r="I681" s="362">
        <f>H681*C681</f>
        <v>12800000</v>
      </c>
      <c r="J681" s="359">
        <v>40</v>
      </c>
      <c r="K681" s="362">
        <f>J681*C681</f>
        <v>12800000</v>
      </c>
      <c r="L681" s="359">
        <v>40</v>
      </c>
      <c r="M681" s="362">
        <f>L681*C681</f>
        <v>12800000</v>
      </c>
      <c r="N681" s="359">
        <v>40</v>
      </c>
      <c r="O681" s="362">
        <f>N681*C681</f>
        <v>12800000</v>
      </c>
      <c r="P681" s="359">
        <v>40</v>
      </c>
      <c r="Q681" s="362">
        <f>P681*C681</f>
        <v>12800000</v>
      </c>
      <c r="R681" s="359">
        <v>40</v>
      </c>
      <c r="S681" s="362">
        <f>R681*C681</f>
        <v>12800000</v>
      </c>
      <c r="T681" s="359">
        <v>40</v>
      </c>
      <c r="U681" s="362">
        <f>T681*C681</f>
        <v>12800000</v>
      </c>
      <c r="V681" s="359">
        <v>40</v>
      </c>
      <c r="W681" s="362">
        <f>V681*C681</f>
        <v>12800000</v>
      </c>
      <c r="X681" s="359">
        <v>40</v>
      </c>
      <c r="Y681" s="362">
        <f>X681*C681</f>
        <v>12800000</v>
      </c>
      <c r="Z681" s="359">
        <v>40</v>
      </c>
      <c r="AA681" s="362">
        <f>Z681*C681</f>
        <v>12800000</v>
      </c>
      <c r="AB681" s="361"/>
      <c r="AC681" s="342"/>
      <c r="AD681" s="348"/>
    </row>
    <row r="682" spans="1:30" s="349" customFormat="1">
      <c r="A682" s="359" t="s">
        <v>223</v>
      </c>
      <c r="B682" s="359">
        <v>500</v>
      </c>
      <c r="C682" s="504">
        <v>480000</v>
      </c>
      <c r="D682" s="359">
        <v>20</v>
      </c>
      <c r="E682" s="362">
        <f>D682*C682</f>
        <v>9600000</v>
      </c>
      <c r="F682" s="359">
        <v>20</v>
      </c>
      <c r="G682" s="362">
        <f>F682*C682</f>
        <v>9600000</v>
      </c>
      <c r="H682" s="359">
        <v>20</v>
      </c>
      <c r="I682" s="362">
        <f>H682*C682</f>
        <v>9600000</v>
      </c>
      <c r="J682" s="359">
        <v>20</v>
      </c>
      <c r="K682" s="362">
        <f>J682*C682</f>
        <v>9600000</v>
      </c>
      <c r="L682" s="359">
        <v>20</v>
      </c>
      <c r="M682" s="362">
        <f>L682*C682</f>
        <v>9600000</v>
      </c>
      <c r="N682" s="359">
        <v>20</v>
      </c>
      <c r="O682" s="362">
        <f>N682*C682</f>
        <v>9600000</v>
      </c>
      <c r="P682" s="359">
        <v>20</v>
      </c>
      <c r="Q682" s="362">
        <f>P682*C682</f>
        <v>9600000</v>
      </c>
      <c r="R682" s="359">
        <v>20</v>
      </c>
      <c r="S682" s="362">
        <f>R682*C682</f>
        <v>9600000</v>
      </c>
      <c r="T682" s="359">
        <v>20</v>
      </c>
      <c r="U682" s="362">
        <f>T682*C682</f>
        <v>9600000</v>
      </c>
      <c r="V682" s="359">
        <v>20</v>
      </c>
      <c r="W682" s="362">
        <f>V682*C682</f>
        <v>9600000</v>
      </c>
      <c r="X682" s="359">
        <v>20</v>
      </c>
      <c r="Y682" s="362">
        <f>X682*C682</f>
        <v>9600000</v>
      </c>
      <c r="Z682" s="359">
        <v>20</v>
      </c>
      <c r="AA682" s="362">
        <f>Z682*C682</f>
        <v>9600000</v>
      </c>
      <c r="AB682" s="361"/>
      <c r="AC682" s="342"/>
      <c r="AD682" s="348"/>
    </row>
    <row r="683" spans="1:30">
      <c r="A683" s="359"/>
      <c r="B683" s="359"/>
      <c r="C683" s="504"/>
      <c r="D683" s="359"/>
      <c r="E683" s="362"/>
      <c r="F683" s="359"/>
      <c r="G683" s="362"/>
      <c r="H683" s="359"/>
      <c r="I683" s="362"/>
      <c r="J683" s="359"/>
      <c r="K683" s="362"/>
      <c r="L683" s="359"/>
      <c r="M683" s="362"/>
      <c r="N683" s="359"/>
      <c r="O683" s="362"/>
      <c r="P683" s="359"/>
      <c r="Q683" s="362"/>
      <c r="R683" s="359"/>
      <c r="S683" s="362"/>
      <c r="T683" s="359"/>
      <c r="U683" s="362"/>
      <c r="V683" s="359"/>
      <c r="W683" s="362"/>
      <c r="X683" s="359"/>
      <c r="Y683" s="362"/>
      <c r="Z683" s="359"/>
      <c r="AA683" s="362"/>
      <c r="AB683" s="361"/>
      <c r="AD683" s="350"/>
    </row>
    <row r="684" spans="1:30" s="349" customFormat="1">
      <c r="A684" s="359" t="s">
        <v>222</v>
      </c>
      <c r="B684" s="359">
        <v>100</v>
      </c>
      <c r="C684" s="504">
        <v>120000</v>
      </c>
      <c r="D684" s="359">
        <v>100</v>
      </c>
      <c r="E684" s="362">
        <f>D684*C684</f>
        <v>12000000</v>
      </c>
      <c r="F684" s="359">
        <v>100</v>
      </c>
      <c r="G684" s="362">
        <f>F684*C684</f>
        <v>12000000</v>
      </c>
      <c r="H684" s="359">
        <v>100</v>
      </c>
      <c r="I684" s="362">
        <f>H684*C684</f>
        <v>12000000</v>
      </c>
      <c r="J684" s="359">
        <v>100</v>
      </c>
      <c r="K684" s="362">
        <f>J684*C684</f>
        <v>12000000</v>
      </c>
      <c r="L684" s="359">
        <v>100</v>
      </c>
      <c r="M684" s="362">
        <f>L684*C684</f>
        <v>12000000</v>
      </c>
      <c r="N684" s="359">
        <v>100</v>
      </c>
      <c r="O684" s="362">
        <f>N684*C684</f>
        <v>12000000</v>
      </c>
      <c r="P684" s="359">
        <v>100</v>
      </c>
      <c r="Q684" s="362">
        <f>P684*C684</f>
        <v>12000000</v>
      </c>
      <c r="R684" s="359">
        <v>100</v>
      </c>
      <c r="S684" s="362">
        <f>R684*C684</f>
        <v>12000000</v>
      </c>
      <c r="T684" s="359">
        <v>100</v>
      </c>
      <c r="U684" s="362">
        <f>T684*C684</f>
        <v>12000000</v>
      </c>
      <c r="V684" s="359">
        <v>100</v>
      </c>
      <c r="W684" s="362">
        <f>V684*C684</f>
        <v>12000000</v>
      </c>
      <c r="X684" s="359">
        <v>100</v>
      </c>
      <c r="Y684" s="362">
        <f>X684*C684</f>
        <v>12000000</v>
      </c>
      <c r="Z684" s="359">
        <v>100</v>
      </c>
      <c r="AA684" s="362">
        <f>Z684*C684</f>
        <v>12000000</v>
      </c>
      <c r="AB684" s="361"/>
      <c r="AC684" s="342"/>
      <c r="AD684" s="348"/>
    </row>
    <row r="685" spans="1:30" s="349" customFormat="1">
      <c r="A685" s="359" t="s">
        <v>222</v>
      </c>
      <c r="B685" s="359">
        <v>150</v>
      </c>
      <c r="C685" s="504">
        <v>150000</v>
      </c>
      <c r="D685" s="359">
        <v>80</v>
      </c>
      <c r="E685" s="362">
        <f>D685*C685</f>
        <v>12000000</v>
      </c>
      <c r="F685" s="359">
        <v>80</v>
      </c>
      <c r="G685" s="362">
        <f>F685*C685</f>
        <v>12000000</v>
      </c>
      <c r="H685" s="359">
        <v>80</v>
      </c>
      <c r="I685" s="362">
        <f>H685*C685</f>
        <v>12000000</v>
      </c>
      <c r="J685" s="359">
        <v>80</v>
      </c>
      <c r="K685" s="362">
        <f>J685*C685</f>
        <v>12000000</v>
      </c>
      <c r="L685" s="359">
        <v>80</v>
      </c>
      <c r="M685" s="362">
        <f>L685*C685</f>
        <v>12000000</v>
      </c>
      <c r="N685" s="359">
        <v>80</v>
      </c>
      <c r="O685" s="362">
        <f>N685*C685</f>
        <v>12000000</v>
      </c>
      <c r="P685" s="359">
        <v>80</v>
      </c>
      <c r="Q685" s="362">
        <f>P685*C685</f>
        <v>12000000</v>
      </c>
      <c r="R685" s="359">
        <v>80</v>
      </c>
      <c r="S685" s="362">
        <f>R685*C685</f>
        <v>12000000</v>
      </c>
      <c r="T685" s="359">
        <v>80</v>
      </c>
      <c r="U685" s="362">
        <f>T685*C685</f>
        <v>12000000</v>
      </c>
      <c r="V685" s="359">
        <v>80</v>
      </c>
      <c r="W685" s="362">
        <f>V685*C685</f>
        <v>12000000</v>
      </c>
      <c r="X685" s="359">
        <v>80</v>
      </c>
      <c r="Y685" s="362">
        <f>X685*C685</f>
        <v>12000000</v>
      </c>
      <c r="Z685" s="359">
        <v>80</v>
      </c>
      <c r="AA685" s="362">
        <f>Z685*C685</f>
        <v>12000000</v>
      </c>
      <c r="AB685" s="361"/>
      <c r="AC685" s="342"/>
      <c r="AD685" s="348"/>
    </row>
    <row r="686" spans="1:30" s="349" customFormat="1">
      <c r="A686" s="359" t="s">
        <v>222</v>
      </c>
      <c r="B686" s="359">
        <v>250</v>
      </c>
      <c r="C686" s="504">
        <v>250000</v>
      </c>
      <c r="D686" s="359">
        <v>60</v>
      </c>
      <c r="E686" s="362">
        <f>D686*C686</f>
        <v>15000000</v>
      </c>
      <c r="F686" s="359">
        <v>60</v>
      </c>
      <c r="G686" s="362">
        <f>F686*C686</f>
        <v>15000000</v>
      </c>
      <c r="H686" s="359">
        <v>60</v>
      </c>
      <c r="I686" s="362">
        <f>H686*C686</f>
        <v>15000000</v>
      </c>
      <c r="J686" s="359">
        <v>60</v>
      </c>
      <c r="K686" s="362">
        <f>J686*C686</f>
        <v>15000000</v>
      </c>
      <c r="L686" s="359">
        <v>60</v>
      </c>
      <c r="M686" s="362">
        <f>L686*C686</f>
        <v>15000000</v>
      </c>
      <c r="N686" s="359">
        <v>60</v>
      </c>
      <c r="O686" s="362">
        <f>N686*C686</f>
        <v>15000000</v>
      </c>
      <c r="P686" s="359">
        <v>60</v>
      </c>
      <c r="Q686" s="362">
        <f>P686*C686</f>
        <v>15000000</v>
      </c>
      <c r="R686" s="359">
        <v>60</v>
      </c>
      <c r="S686" s="362">
        <f>R686*C686</f>
        <v>15000000</v>
      </c>
      <c r="T686" s="359">
        <v>60</v>
      </c>
      <c r="U686" s="362">
        <f>T686*C686</f>
        <v>15000000</v>
      </c>
      <c r="V686" s="359">
        <v>60</v>
      </c>
      <c r="W686" s="362">
        <f>V686*C686</f>
        <v>15000000</v>
      </c>
      <c r="X686" s="359">
        <v>60</v>
      </c>
      <c r="Y686" s="362">
        <f>X686*C686</f>
        <v>15000000</v>
      </c>
      <c r="Z686" s="359">
        <v>60</v>
      </c>
      <c r="AA686" s="362">
        <f>Z686*C686</f>
        <v>15000000</v>
      </c>
      <c r="AB686" s="361"/>
      <c r="AC686" s="342"/>
      <c r="AD686" s="348"/>
    </row>
    <row r="687" spans="1:30" s="349" customFormat="1">
      <c r="A687" s="359" t="s">
        <v>222</v>
      </c>
      <c r="B687" s="359">
        <v>350</v>
      </c>
      <c r="C687" s="504">
        <v>320000</v>
      </c>
      <c r="D687" s="359">
        <v>40</v>
      </c>
      <c r="E687" s="362">
        <f>D687*C687</f>
        <v>12800000</v>
      </c>
      <c r="F687" s="359">
        <v>40</v>
      </c>
      <c r="G687" s="362">
        <f>F687*C687</f>
        <v>12800000</v>
      </c>
      <c r="H687" s="359">
        <v>40</v>
      </c>
      <c r="I687" s="362">
        <f>H687*C687</f>
        <v>12800000</v>
      </c>
      <c r="J687" s="359">
        <v>40</v>
      </c>
      <c r="K687" s="362">
        <f>J687*C687</f>
        <v>12800000</v>
      </c>
      <c r="L687" s="359">
        <v>40</v>
      </c>
      <c r="M687" s="362">
        <f>L687*C687</f>
        <v>12800000</v>
      </c>
      <c r="N687" s="359">
        <v>40</v>
      </c>
      <c r="O687" s="362">
        <f>N687*C687</f>
        <v>12800000</v>
      </c>
      <c r="P687" s="359">
        <v>40</v>
      </c>
      <c r="Q687" s="362">
        <f>P687*C687</f>
        <v>12800000</v>
      </c>
      <c r="R687" s="359">
        <v>40</v>
      </c>
      <c r="S687" s="362">
        <f>R687*C687</f>
        <v>12800000</v>
      </c>
      <c r="T687" s="359">
        <v>40</v>
      </c>
      <c r="U687" s="362">
        <f>T687*C687</f>
        <v>12800000</v>
      </c>
      <c r="V687" s="359">
        <v>40</v>
      </c>
      <c r="W687" s="362">
        <f>V687*C687</f>
        <v>12800000</v>
      </c>
      <c r="X687" s="359">
        <v>40</v>
      </c>
      <c r="Y687" s="362">
        <f>X687*C687</f>
        <v>12800000</v>
      </c>
      <c r="Z687" s="359">
        <v>40</v>
      </c>
      <c r="AA687" s="362">
        <f>Z687*C687</f>
        <v>12800000</v>
      </c>
      <c r="AB687" s="361"/>
      <c r="AC687" s="342"/>
      <c r="AD687" s="348"/>
    </row>
    <row r="688" spans="1:30" s="349" customFormat="1">
      <c r="A688" s="359" t="s">
        <v>222</v>
      </c>
      <c r="B688" s="359">
        <v>500</v>
      </c>
      <c r="C688" s="504">
        <v>480000</v>
      </c>
      <c r="D688" s="359">
        <v>20</v>
      </c>
      <c r="E688" s="362">
        <f>D688*C688</f>
        <v>9600000</v>
      </c>
      <c r="F688" s="359">
        <v>20</v>
      </c>
      <c r="G688" s="362">
        <f>F688*C688</f>
        <v>9600000</v>
      </c>
      <c r="H688" s="359">
        <v>20</v>
      </c>
      <c r="I688" s="362">
        <f>H688*C688</f>
        <v>9600000</v>
      </c>
      <c r="J688" s="359">
        <v>20</v>
      </c>
      <c r="K688" s="362">
        <f>J688*C688</f>
        <v>9600000</v>
      </c>
      <c r="L688" s="359">
        <v>20</v>
      </c>
      <c r="M688" s="362">
        <f>C688</f>
        <v>480000</v>
      </c>
      <c r="N688" s="359">
        <v>20</v>
      </c>
      <c r="O688" s="362">
        <f>N688*C688</f>
        <v>9600000</v>
      </c>
      <c r="P688" s="359">
        <v>20</v>
      </c>
      <c r="Q688" s="362">
        <f>P688*C688</f>
        <v>9600000</v>
      </c>
      <c r="R688" s="359">
        <v>20</v>
      </c>
      <c r="S688" s="362">
        <f>R688*C688</f>
        <v>9600000</v>
      </c>
      <c r="T688" s="359">
        <v>20</v>
      </c>
      <c r="U688" s="362">
        <f>T688*C688</f>
        <v>9600000</v>
      </c>
      <c r="V688" s="359">
        <v>20</v>
      </c>
      <c r="W688" s="362">
        <f>V688*C688</f>
        <v>9600000</v>
      </c>
      <c r="X688" s="359">
        <v>20</v>
      </c>
      <c r="Y688" s="362">
        <f>X688*C688</f>
        <v>9600000</v>
      </c>
      <c r="Z688" s="359">
        <v>20</v>
      </c>
      <c r="AA688" s="362">
        <f>Z688*C688</f>
        <v>9600000</v>
      </c>
      <c r="AB688" s="361"/>
      <c r="AC688" s="342"/>
      <c r="AD688" s="348"/>
    </row>
    <row r="689" spans="1:30" s="349" customFormat="1">
      <c r="A689" s="359"/>
      <c r="B689" s="359"/>
      <c r="C689" s="504"/>
      <c r="D689" s="359"/>
      <c r="E689" s="362"/>
      <c r="F689" s="359"/>
      <c r="G689" s="362"/>
      <c r="H689" s="359"/>
      <c r="I689" s="362"/>
      <c r="J689" s="359"/>
      <c r="K689" s="362"/>
      <c r="L689" s="359"/>
      <c r="M689" s="362"/>
      <c r="N689" s="359"/>
      <c r="O689" s="362"/>
      <c r="P689" s="359"/>
      <c r="Q689" s="362"/>
      <c r="R689" s="359"/>
      <c r="S689" s="362"/>
      <c r="T689" s="359"/>
      <c r="U689" s="362"/>
      <c r="V689" s="359"/>
      <c r="W689" s="362"/>
      <c r="X689" s="359"/>
      <c r="Y689" s="362"/>
      <c r="Z689" s="359"/>
      <c r="AA689" s="362"/>
      <c r="AB689" s="360"/>
      <c r="AC689" s="342"/>
      <c r="AD689" s="348"/>
    </row>
    <row r="690" spans="1:30" s="479" customFormat="1">
      <c r="A690" s="474"/>
      <c r="B690" s="474"/>
      <c r="C690" s="505"/>
      <c r="D690" s="474">
        <v>0.1</v>
      </c>
      <c r="E690" s="475">
        <f>SUM(E668:E688)</f>
        <v>321800000</v>
      </c>
      <c r="F690" s="474">
        <v>0.1</v>
      </c>
      <c r="G690" s="475">
        <f>SUM(G668:G688)</f>
        <v>321800000</v>
      </c>
      <c r="H690" s="474">
        <v>0.1</v>
      </c>
      <c r="I690" s="475">
        <f>SUM(I668:I688)</f>
        <v>321800000</v>
      </c>
      <c r="J690" s="474">
        <v>0.1</v>
      </c>
      <c r="K690" s="475">
        <f>SUM(K668:K688)</f>
        <v>321800000</v>
      </c>
      <c r="L690" s="474">
        <v>0.1</v>
      </c>
      <c r="M690" s="475">
        <f>SUM(M668:M688)</f>
        <v>312680000</v>
      </c>
      <c r="N690" s="474">
        <v>0.1</v>
      </c>
      <c r="O690" s="475">
        <f>SUM(O668:O688)</f>
        <v>321800000</v>
      </c>
      <c r="P690" s="474">
        <v>0.1</v>
      </c>
      <c r="Q690" s="475">
        <f>SUM(Q668:Q688)</f>
        <v>321800000</v>
      </c>
      <c r="R690" s="474">
        <v>0.1</v>
      </c>
      <c r="S690" s="475">
        <f>SUM(S668:S688)</f>
        <v>321800000</v>
      </c>
      <c r="T690" s="474">
        <v>0.1</v>
      </c>
      <c r="U690" s="475">
        <f>SUM(U668:U688)</f>
        <v>321800000</v>
      </c>
      <c r="V690" s="474">
        <v>0.1</v>
      </c>
      <c r="W690" s="475">
        <f>SUM(W668:W688)</f>
        <v>321800000</v>
      </c>
      <c r="X690" s="474">
        <v>0.1</v>
      </c>
      <c r="Y690" s="475">
        <f>SUM(Y668:Y688)</f>
        <v>321800000</v>
      </c>
      <c r="Z690" s="474">
        <v>0.1</v>
      </c>
      <c r="AA690" s="475">
        <f>SUM(AA668:AA688)</f>
        <v>321800000</v>
      </c>
      <c r="AB690" s="476"/>
      <c r="AC690" s="477"/>
      <c r="AD690" s="478"/>
    </row>
    <row r="691" spans="1:30" s="485" customFormat="1">
      <c r="A691" s="480"/>
      <c r="B691" s="480"/>
      <c r="C691" s="507"/>
      <c r="D691" s="480"/>
      <c r="E691" s="481">
        <f>E690*D690</f>
        <v>32180000</v>
      </c>
      <c r="F691" s="480"/>
      <c r="G691" s="482">
        <f>G690*F690</f>
        <v>32180000</v>
      </c>
      <c r="H691" s="480"/>
      <c r="I691" s="481">
        <f>I690*H690</f>
        <v>32180000</v>
      </c>
      <c r="J691" s="480"/>
      <c r="K691" s="481">
        <f>K690*J690</f>
        <v>32180000</v>
      </c>
      <c r="L691" s="480"/>
      <c r="M691" s="481">
        <f>M690*L690</f>
        <v>31268000</v>
      </c>
      <c r="N691" s="480"/>
      <c r="O691" s="481">
        <f>O690*N690</f>
        <v>32180000</v>
      </c>
      <c r="P691" s="480"/>
      <c r="Q691" s="481">
        <f>Q690*P690</f>
        <v>32180000</v>
      </c>
      <c r="R691" s="480"/>
      <c r="S691" s="481">
        <f>S690*R690</f>
        <v>32180000</v>
      </c>
      <c r="T691" s="480"/>
      <c r="U691" s="481">
        <f>U690*T690</f>
        <v>32180000</v>
      </c>
      <c r="V691" s="480"/>
      <c r="W691" s="481">
        <f>W690*V690</f>
        <v>32180000</v>
      </c>
      <c r="X691" s="480"/>
      <c r="Y691" s="481">
        <f>Y690*X690</f>
        <v>32180000</v>
      </c>
      <c r="Z691" s="480"/>
      <c r="AA691" s="481">
        <f>AA690*Z690</f>
        <v>32180000</v>
      </c>
      <c r="AB691" s="481">
        <f>SUM(AA691,Y691,W691,U691,S691,Q691,O691,M691,K691,I691,G691,E691)</f>
        <v>385248000</v>
      </c>
      <c r="AC691" s="483"/>
      <c r="AD691" s="484"/>
    </row>
    <row r="692" spans="1:30" s="349" customFormat="1">
      <c r="A692" s="359"/>
      <c r="B692" s="359"/>
      <c r="C692" s="504"/>
      <c r="D692" s="359"/>
      <c r="E692" s="360"/>
      <c r="F692" s="359"/>
      <c r="G692" s="362"/>
      <c r="H692" s="359"/>
      <c r="I692" s="362"/>
      <c r="J692" s="359"/>
      <c r="K692" s="362"/>
      <c r="L692" s="359"/>
      <c r="M692" s="362"/>
      <c r="N692" s="359"/>
      <c r="O692" s="362"/>
      <c r="P692" s="359"/>
      <c r="Q692" s="362"/>
      <c r="R692" s="359"/>
      <c r="S692" s="362"/>
      <c r="T692" s="359"/>
      <c r="U692" s="362"/>
      <c r="V692" s="359"/>
      <c r="W692" s="362"/>
      <c r="X692" s="359"/>
      <c r="Y692" s="362"/>
      <c r="Z692" s="359"/>
      <c r="AA692" s="362"/>
      <c r="AB692" s="360"/>
      <c r="AC692" s="342"/>
      <c r="AD692" s="348"/>
    </row>
    <row r="693" spans="1:30" s="349" customFormat="1">
      <c r="A693" s="359" t="s">
        <v>229</v>
      </c>
      <c r="B693" s="359">
        <v>26</v>
      </c>
      <c r="C693" s="504">
        <v>25000</v>
      </c>
      <c r="D693" s="359">
        <v>300</v>
      </c>
      <c r="E693" s="362">
        <f>D693*C693</f>
        <v>7500000</v>
      </c>
      <c r="F693" s="359">
        <v>300</v>
      </c>
      <c r="G693" s="362">
        <f>F693*C693</f>
        <v>7500000</v>
      </c>
      <c r="H693" s="491">
        <v>300</v>
      </c>
      <c r="I693" s="362">
        <f>H693*C693</f>
        <v>7500000</v>
      </c>
      <c r="J693" s="491">
        <v>300</v>
      </c>
      <c r="K693" s="362">
        <f>J693*C693</f>
        <v>7500000</v>
      </c>
      <c r="L693" s="491">
        <v>300</v>
      </c>
      <c r="M693" s="362">
        <f>L693*C693</f>
        <v>7500000</v>
      </c>
      <c r="N693" s="491">
        <v>300</v>
      </c>
      <c r="O693" s="362">
        <f>N693*C693</f>
        <v>7500000</v>
      </c>
      <c r="P693" s="491">
        <v>300</v>
      </c>
      <c r="Q693" s="362">
        <f>P693*C693</f>
        <v>7500000</v>
      </c>
      <c r="R693" s="491">
        <v>300</v>
      </c>
      <c r="S693" s="362">
        <f>R693*C693</f>
        <v>7500000</v>
      </c>
      <c r="T693" s="491">
        <v>300</v>
      </c>
      <c r="U693" s="362">
        <f>T693*C693</f>
        <v>7500000</v>
      </c>
      <c r="V693" s="491">
        <v>300</v>
      </c>
      <c r="W693" s="362">
        <f>V693*C693</f>
        <v>7500000</v>
      </c>
      <c r="X693" s="491">
        <v>300</v>
      </c>
      <c r="Y693" s="362">
        <f>X693*C693</f>
        <v>7500000</v>
      </c>
      <c r="Z693" s="491">
        <v>300</v>
      </c>
      <c r="AA693" s="362">
        <f>Z693*C693</f>
        <v>7500000</v>
      </c>
      <c r="AB693" s="361"/>
      <c r="AC693" s="342"/>
      <c r="AD693" s="348"/>
    </row>
    <row r="694" spans="1:30" s="349" customFormat="1">
      <c r="A694" s="359" t="s">
        <v>229</v>
      </c>
      <c r="B694" s="359">
        <v>33</v>
      </c>
      <c r="C694" s="504">
        <v>45000</v>
      </c>
      <c r="D694" s="359">
        <v>100</v>
      </c>
      <c r="E694" s="362">
        <f>D694*C694</f>
        <v>4500000</v>
      </c>
      <c r="F694" s="359">
        <v>100</v>
      </c>
      <c r="G694" s="362">
        <f>F694*C694</f>
        <v>4500000</v>
      </c>
      <c r="H694" s="492">
        <v>100</v>
      </c>
      <c r="I694" s="362">
        <f>H694*C694</f>
        <v>4500000</v>
      </c>
      <c r="J694" s="492">
        <v>100</v>
      </c>
      <c r="K694" s="362">
        <f>J694*C694</f>
        <v>4500000</v>
      </c>
      <c r="L694" s="492">
        <v>100</v>
      </c>
      <c r="M694" s="362">
        <f>L694*C694</f>
        <v>4500000</v>
      </c>
      <c r="N694" s="492">
        <v>100</v>
      </c>
      <c r="O694" s="362">
        <f>N694*C694</f>
        <v>4500000</v>
      </c>
      <c r="P694" s="492">
        <v>100</v>
      </c>
      <c r="Q694" s="362">
        <f>P694*C694</f>
        <v>4500000</v>
      </c>
      <c r="R694" s="492">
        <v>100</v>
      </c>
      <c r="S694" s="362">
        <f>R694*C694</f>
        <v>4500000</v>
      </c>
      <c r="T694" s="492">
        <v>100</v>
      </c>
      <c r="U694" s="362">
        <f>T694*C694</f>
        <v>4500000</v>
      </c>
      <c r="V694" s="492">
        <v>100</v>
      </c>
      <c r="W694" s="362">
        <f>V694*C694</f>
        <v>4500000</v>
      </c>
      <c r="X694" s="492">
        <v>100</v>
      </c>
      <c r="Y694" s="362">
        <f>X694*C694</f>
        <v>4500000</v>
      </c>
      <c r="Z694" s="492">
        <v>100</v>
      </c>
      <c r="AA694" s="362">
        <f>Z694*C694</f>
        <v>4500000</v>
      </c>
      <c r="AB694" s="361"/>
      <c r="AC694" s="342"/>
      <c r="AD694" s="348"/>
    </row>
    <row r="695" spans="1:30" s="349" customFormat="1">
      <c r="A695" s="359" t="s">
        <v>229</v>
      </c>
      <c r="B695" s="359">
        <v>64</v>
      </c>
      <c r="C695" s="504">
        <v>85000</v>
      </c>
      <c r="D695" s="359">
        <v>80</v>
      </c>
      <c r="E695" s="362">
        <f>D695*C695</f>
        <v>6800000</v>
      </c>
      <c r="F695" s="359">
        <v>80</v>
      </c>
      <c r="G695" s="362">
        <f>F695*C695</f>
        <v>6800000</v>
      </c>
      <c r="H695" s="492">
        <v>80</v>
      </c>
      <c r="I695" s="362">
        <f>H695*C695</f>
        <v>6800000</v>
      </c>
      <c r="J695" s="492">
        <v>80</v>
      </c>
      <c r="K695" s="362">
        <f>J695*C695</f>
        <v>6800000</v>
      </c>
      <c r="L695" s="492">
        <v>80</v>
      </c>
      <c r="M695" s="362">
        <f>L695*C695</f>
        <v>6800000</v>
      </c>
      <c r="N695" s="492">
        <v>80</v>
      </c>
      <c r="O695" s="362">
        <f>N695*C695</f>
        <v>6800000</v>
      </c>
      <c r="P695" s="492">
        <v>80</v>
      </c>
      <c r="Q695" s="362">
        <f>P695*C695</f>
        <v>6800000</v>
      </c>
      <c r="R695" s="492">
        <v>80</v>
      </c>
      <c r="S695" s="362">
        <f>R695*C695</f>
        <v>6800000</v>
      </c>
      <c r="T695" s="492">
        <v>80</v>
      </c>
      <c r="U695" s="362">
        <f>T695*C695</f>
        <v>6800000</v>
      </c>
      <c r="V695" s="492">
        <v>80</v>
      </c>
      <c r="W695" s="362">
        <f>V695*C695</f>
        <v>6800000</v>
      </c>
      <c r="X695" s="492">
        <v>80</v>
      </c>
      <c r="Y695" s="362">
        <f>X695*C695</f>
        <v>6800000</v>
      </c>
      <c r="Z695" s="492">
        <v>80</v>
      </c>
      <c r="AA695" s="362">
        <f>Z695*C695</f>
        <v>6800000</v>
      </c>
      <c r="AB695" s="361"/>
      <c r="AC695" s="342"/>
      <c r="AD695" s="348"/>
    </row>
    <row r="696" spans="1:30" s="349" customFormat="1">
      <c r="A696" s="359" t="s">
        <v>229</v>
      </c>
      <c r="B696" s="359">
        <v>100</v>
      </c>
      <c r="C696" s="504">
        <v>120000</v>
      </c>
      <c r="D696" s="359">
        <v>20</v>
      </c>
      <c r="E696" s="362">
        <f>D696*C696</f>
        <v>2400000</v>
      </c>
      <c r="F696" s="359">
        <v>20</v>
      </c>
      <c r="G696" s="362">
        <f>F696*C696</f>
        <v>2400000</v>
      </c>
      <c r="H696" s="492">
        <v>20</v>
      </c>
      <c r="I696" s="362">
        <f>H696*C696</f>
        <v>2400000</v>
      </c>
      <c r="J696" s="492">
        <v>20</v>
      </c>
      <c r="K696" s="362">
        <f>J696*C696</f>
        <v>2400000</v>
      </c>
      <c r="L696" s="492">
        <v>20</v>
      </c>
      <c r="M696" s="362">
        <f>L696*C696</f>
        <v>2400000</v>
      </c>
      <c r="N696" s="492">
        <v>20</v>
      </c>
      <c r="O696" s="362">
        <f>N696*C696</f>
        <v>2400000</v>
      </c>
      <c r="P696" s="492">
        <v>20</v>
      </c>
      <c r="Q696" s="362">
        <f>P696*C696</f>
        <v>2400000</v>
      </c>
      <c r="R696" s="492">
        <v>20</v>
      </c>
      <c r="S696" s="362">
        <f>R696*C696</f>
        <v>2400000</v>
      </c>
      <c r="T696" s="492">
        <v>20</v>
      </c>
      <c r="U696" s="362">
        <f>T696*C696</f>
        <v>2400000</v>
      </c>
      <c r="V696" s="492">
        <v>20</v>
      </c>
      <c r="W696" s="362">
        <f>V696*C696</f>
        <v>2400000</v>
      </c>
      <c r="X696" s="492">
        <v>20</v>
      </c>
      <c r="Y696" s="362">
        <f>X696*C696</f>
        <v>2400000</v>
      </c>
      <c r="Z696" s="492">
        <v>20</v>
      </c>
      <c r="AA696" s="362">
        <f>Z696*C696</f>
        <v>2400000</v>
      </c>
      <c r="AB696" s="361"/>
      <c r="AC696" s="342"/>
      <c r="AD696" s="348"/>
    </row>
    <row r="697" spans="1:30" s="349" customFormat="1">
      <c r="A697" s="359"/>
      <c r="B697" s="359"/>
      <c r="C697" s="504"/>
      <c r="D697" s="359"/>
      <c r="E697" s="362"/>
      <c r="F697" s="359"/>
      <c r="G697" s="362"/>
      <c r="H697" s="492"/>
      <c r="I697" s="362"/>
      <c r="J697" s="492"/>
      <c r="K697" s="362"/>
      <c r="L697" s="492"/>
      <c r="M697" s="362"/>
      <c r="N697" s="492"/>
      <c r="O697" s="362"/>
      <c r="P697" s="492"/>
      <c r="Q697" s="362"/>
      <c r="R697" s="492"/>
      <c r="S697" s="362"/>
      <c r="T697" s="492"/>
      <c r="U697" s="362"/>
      <c r="V697" s="492"/>
      <c r="W697" s="362"/>
      <c r="X697" s="492"/>
      <c r="Y697" s="362"/>
      <c r="Z697" s="492"/>
      <c r="AA697" s="362"/>
      <c r="AB697" s="361"/>
      <c r="AC697" s="342"/>
      <c r="AD697" s="348"/>
    </row>
    <row r="698" spans="1:30" s="349" customFormat="1">
      <c r="A698" s="359" t="s">
        <v>228</v>
      </c>
      <c r="B698" s="359">
        <v>150</v>
      </c>
      <c r="C698" s="504">
        <v>150000</v>
      </c>
      <c r="D698" s="359">
        <v>300</v>
      </c>
      <c r="E698" s="362">
        <f>D698*C698</f>
        <v>45000000</v>
      </c>
      <c r="F698" s="359">
        <v>300</v>
      </c>
      <c r="G698" s="362">
        <f>F698*C698</f>
        <v>45000000</v>
      </c>
      <c r="H698" s="492">
        <v>300</v>
      </c>
      <c r="I698" s="362">
        <f>H698*C698</f>
        <v>45000000</v>
      </c>
      <c r="J698" s="492">
        <v>300</v>
      </c>
      <c r="K698" s="362">
        <f>J698*C698</f>
        <v>45000000</v>
      </c>
      <c r="L698" s="492">
        <v>300</v>
      </c>
      <c r="M698" s="362">
        <f>L698*C698</f>
        <v>45000000</v>
      </c>
      <c r="N698" s="492">
        <v>300</v>
      </c>
      <c r="O698" s="362">
        <f>N698*C698</f>
        <v>45000000</v>
      </c>
      <c r="P698" s="492">
        <v>300</v>
      </c>
      <c r="Q698" s="362">
        <f>P698*C698</f>
        <v>45000000</v>
      </c>
      <c r="R698" s="492">
        <v>300</v>
      </c>
      <c r="S698" s="362">
        <f>R698*C698</f>
        <v>45000000</v>
      </c>
      <c r="T698" s="492">
        <v>300</v>
      </c>
      <c r="U698" s="362">
        <f>T698*C698</f>
        <v>45000000</v>
      </c>
      <c r="V698" s="492">
        <v>300</v>
      </c>
      <c r="W698" s="362">
        <f>V698*C698</f>
        <v>45000000</v>
      </c>
      <c r="X698" s="492">
        <v>300</v>
      </c>
      <c r="Y698" s="362">
        <f>X698*C698</f>
        <v>45000000</v>
      </c>
      <c r="Z698" s="492">
        <v>300</v>
      </c>
      <c r="AA698" s="362">
        <f>Z698*C698</f>
        <v>45000000</v>
      </c>
      <c r="AB698" s="361"/>
      <c r="AC698" s="342"/>
      <c r="AD698" s="348"/>
    </row>
    <row r="699" spans="1:30" s="349" customFormat="1">
      <c r="A699" s="359" t="s">
        <v>228</v>
      </c>
      <c r="B699" s="359">
        <v>250</v>
      </c>
      <c r="C699" s="504">
        <v>250000</v>
      </c>
      <c r="D699" s="359">
        <v>100</v>
      </c>
      <c r="E699" s="362">
        <f>D699*C699</f>
        <v>25000000</v>
      </c>
      <c r="F699" s="359">
        <v>100</v>
      </c>
      <c r="G699" s="362">
        <f>F699*C699</f>
        <v>25000000</v>
      </c>
      <c r="H699" s="492">
        <v>100</v>
      </c>
      <c r="I699" s="362">
        <f>H699*C699</f>
        <v>25000000</v>
      </c>
      <c r="J699" s="492">
        <v>100</v>
      </c>
      <c r="K699" s="362">
        <f>J699*C699</f>
        <v>25000000</v>
      </c>
      <c r="L699" s="492">
        <v>100</v>
      </c>
      <c r="M699" s="362">
        <f>L699*C699</f>
        <v>25000000</v>
      </c>
      <c r="N699" s="492">
        <v>100</v>
      </c>
      <c r="O699" s="362">
        <f>N699*C699</f>
        <v>25000000</v>
      </c>
      <c r="P699" s="492">
        <v>100</v>
      </c>
      <c r="Q699" s="362">
        <f>P699*C699</f>
        <v>25000000</v>
      </c>
      <c r="R699" s="492">
        <v>100</v>
      </c>
      <c r="S699" s="362">
        <f>R699*C699</f>
        <v>25000000</v>
      </c>
      <c r="T699" s="492">
        <v>100</v>
      </c>
      <c r="U699" s="362">
        <f>T699*C699</f>
        <v>25000000</v>
      </c>
      <c r="V699" s="492">
        <v>100</v>
      </c>
      <c r="W699" s="362">
        <f>V699*C699</f>
        <v>25000000</v>
      </c>
      <c r="X699" s="492">
        <v>100</v>
      </c>
      <c r="Y699" s="362">
        <f>X699*C699</f>
        <v>25000000</v>
      </c>
      <c r="Z699" s="492">
        <v>100</v>
      </c>
      <c r="AA699" s="362">
        <f>Z699*C699</f>
        <v>25000000</v>
      </c>
      <c r="AB699" s="361"/>
      <c r="AC699" s="342"/>
      <c r="AD699" s="348"/>
    </row>
    <row r="700" spans="1:30" s="349" customFormat="1">
      <c r="A700" s="359" t="s">
        <v>228</v>
      </c>
      <c r="B700" s="359">
        <v>350</v>
      </c>
      <c r="C700" s="504">
        <v>320000</v>
      </c>
      <c r="D700" s="359">
        <v>80</v>
      </c>
      <c r="E700" s="362">
        <f>D700*C700</f>
        <v>25600000</v>
      </c>
      <c r="F700" s="359">
        <v>80</v>
      </c>
      <c r="G700" s="362">
        <f>F700*C700</f>
        <v>25600000</v>
      </c>
      <c r="H700" s="492">
        <v>80</v>
      </c>
      <c r="I700" s="362">
        <f>H700*C700</f>
        <v>25600000</v>
      </c>
      <c r="J700" s="492">
        <v>80</v>
      </c>
      <c r="K700" s="362">
        <f>J700*C700</f>
        <v>25600000</v>
      </c>
      <c r="L700" s="492">
        <v>80</v>
      </c>
      <c r="M700" s="362">
        <f>L700*C700</f>
        <v>25600000</v>
      </c>
      <c r="N700" s="492">
        <v>80</v>
      </c>
      <c r="O700" s="362">
        <f>N700*C700</f>
        <v>25600000</v>
      </c>
      <c r="P700" s="492">
        <v>80</v>
      </c>
      <c r="Q700" s="362">
        <f>P700*C700</f>
        <v>25600000</v>
      </c>
      <c r="R700" s="492">
        <v>80</v>
      </c>
      <c r="S700" s="362">
        <f>R700*C700</f>
        <v>25600000</v>
      </c>
      <c r="T700" s="492">
        <v>80</v>
      </c>
      <c r="U700" s="362">
        <f>T700*C700</f>
        <v>25600000</v>
      </c>
      <c r="V700" s="492">
        <v>80</v>
      </c>
      <c r="W700" s="362">
        <f>V700*C700</f>
        <v>25600000</v>
      </c>
      <c r="X700" s="492">
        <v>80</v>
      </c>
      <c r="Y700" s="362">
        <f>X700*C700</f>
        <v>25600000</v>
      </c>
      <c r="Z700" s="492">
        <v>80</v>
      </c>
      <c r="AA700" s="362">
        <f>Z700*C700</f>
        <v>25600000</v>
      </c>
      <c r="AB700" s="361"/>
      <c r="AC700" s="342"/>
      <c r="AD700" s="348"/>
    </row>
    <row r="701" spans="1:30" s="349" customFormat="1">
      <c r="A701" s="359" t="s">
        <v>228</v>
      </c>
      <c r="B701" s="359">
        <v>500</v>
      </c>
      <c r="C701" s="504">
        <v>480000</v>
      </c>
      <c r="D701" s="359">
        <v>20</v>
      </c>
      <c r="E701" s="362">
        <f>D701*C701</f>
        <v>9600000</v>
      </c>
      <c r="F701" s="359">
        <v>20</v>
      </c>
      <c r="G701" s="362">
        <f>F701*C701</f>
        <v>9600000</v>
      </c>
      <c r="H701" s="492">
        <v>20</v>
      </c>
      <c r="I701" s="362">
        <f>H701*C701</f>
        <v>9600000</v>
      </c>
      <c r="J701" s="492">
        <v>20</v>
      </c>
      <c r="K701" s="362">
        <f>J701*C701</f>
        <v>9600000</v>
      </c>
      <c r="L701" s="492">
        <v>20</v>
      </c>
      <c r="M701" s="362">
        <f>L701*C701</f>
        <v>9600000</v>
      </c>
      <c r="N701" s="492">
        <v>20</v>
      </c>
      <c r="O701" s="362">
        <f>N701*C701</f>
        <v>9600000</v>
      </c>
      <c r="P701" s="492">
        <v>20</v>
      </c>
      <c r="Q701" s="362">
        <f>P701*C701</f>
        <v>9600000</v>
      </c>
      <c r="R701" s="492">
        <v>20</v>
      </c>
      <c r="S701" s="362">
        <f>R701*C701</f>
        <v>9600000</v>
      </c>
      <c r="T701" s="492">
        <v>20</v>
      </c>
      <c r="U701" s="362">
        <f>T701*C701</f>
        <v>9600000</v>
      </c>
      <c r="V701" s="492">
        <v>20</v>
      </c>
      <c r="W701" s="362">
        <f>V701*C701</f>
        <v>9600000</v>
      </c>
      <c r="X701" s="492">
        <v>20</v>
      </c>
      <c r="Y701" s="362">
        <f>X701*C701</f>
        <v>9600000</v>
      </c>
      <c r="Z701" s="492">
        <v>20</v>
      </c>
      <c r="AA701" s="362">
        <f>Z701*C701</f>
        <v>9600000</v>
      </c>
      <c r="AB701" s="361"/>
      <c r="AC701" s="342"/>
      <c r="AD701" s="348"/>
    </row>
    <row r="702" spans="1:30" s="349" customFormat="1">
      <c r="A702" s="359"/>
      <c r="B702" s="359"/>
      <c r="C702" s="504"/>
      <c r="D702" s="359"/>
      <c r="E702" s="362"/>
      <c r="F702" s="359"/>
      <c r="G702" s="362"/>
      <c r="H702" s="492"/>
      <c r="I702" s="362"/>
      <c r="J702" s="492"/>
      <c r="K702" s="362"/>
      <c r="L702" s="492"/>
      <c r="M702" s="362"/>
      <c r="N702" s="492"/>
      <c r="O702" s="362"/>
      <c r="P702" s="492"/>
      <c r="Q702" s="362"/>
      <c r="R702" s="492"/>
      <c r="S702" s="362"/>
      <c r="T702" s="492"/>
      <c r="U702" s="362"/>
      <c r="V702" s="492"/>
      <c r="W702" s="362"/>
      <c r="X702" s="492"/>
      <c r="Y702" s="362"/>
      <c r="Z702" s="492"/>
      <c r="AA702" s="362"/>
      <c r="AB702" s="361"/>
      <c r="AC702" s="342"/>
      <c r="AD702" s="348"/>
    </row>
    <row r="703" spans="1:30" s="349" customFormat="1">
      <c r="A703" s="359" t="s">
        <v>227</v>
      </c>
      <c r="B703" s="359">
        <v>100</v>
      </c>
      <c r="C703" s="504">
        <v>120000</v>
      </c>
      <c r="D703" s="359">
        <v>100</v>
      </c>
      <c r="E703" s="362">
        <f>D703*C703</f>
        <v>12000000</v>
      </c>
      <c r="F703" s="359">
        <v>100</v>
      </c>
      <c r="G703" s="362">
        <f>F703*C703</f>
        <v>12000000</v>
      </c>
      <c r="H703" s="492">
        <v>100</v>
      </c>
      <c r="I703" s="362">
        <f>H703*C703</f>
        <v>12000000</v>
      </c>
      <c r="J703" s="492">
        <v>100</v>
      </c>
      <c r="K703" s="362">
        <f>J703*C703</f>
        <v>12000000</v>
      </c>
      <c r="L703" s="492">
        <v>100</v>
      </c>
      <c r="M703" s="362">
        <f>L703*C703</f>
        <v>12000000</v>
      </c>
      <c r="N703" s="492">
        <v>100</v>
      </c>
      <c r="O703" s="362">
        <f>N703*C703</f>
        <v>12000000</v>
      </c>
      <c r="P703" s="492">
        <v>100</v>
      </c>
      <c r="Q703" s="362">
        <f>P703*C703</f>
        <v>12000000</v>
      </c>
      <c r="R703" s="492">
        <v>100</v>
      </c>
      <c r="S703" s="362">
        <f>R703*C703</f>
        <v>12000000</v>
      </c>
      <c r="T703" s="492">
        <v>100</v>
      </c>
      <c r="U703" s="362">
        <f>T703*C703</f>
        <v>12000000</v>
      </c>
      <c r="V703" s="492">
        <v>100</v>
      </c>
      <c r="W703" s="362">
        <f>V703*C703</f>
        <v>12000000</v>
      </c>
      <c r="X703" s="492">
        <v>100</v>
      </c>
      <c r="Y703" s="362">
        <f>X703*C703</f>
        <v>12000000</v>
      </c>
      <c r="Z703" s="492">
        <v>100</v>
      </c>
      <c r="AA703" s="362">
        <f>Z703*C703</f>
        <v>12000000</v>
      </c>
      <c r="AB703" s="361"/>
      <c r="AC703" s="342"/>
      <c r="AD703" s="348"/>
    </row>
    <row r="704" spans="1:30" s="349" customFormat="1">
      <c r="A704" s="359" t="s">
        <v>227</v>
      </c>
      <c r="B704" s="359">
        <v>150</v>
      </c>
      <c r="C704" s="504">
        <v>150000</v>
      </c>
      <c r="D704" s="359">
        <v>80</v>
      </c>
      <c r="E704" s="362">
        <f>D704*C704</f>
        <v>12000000</v>
      </c>
      <c r="F704" s="359">
        <v>80</v>
      </c>
      <c r="G704" s="362">
        <f>F704*C704</f>
        <v>12000000</v>
      </c>
      <c r="H704" s="492">
        <v>80</v>
      </c>
      <c r="I704" s="362">
        <f>H704*C704</f>
        <v>12000000</v>
      </c>
      <c r="J704" s="492">
        <v>80</v>
      </c>
      <c r="K704" s="362">
        <f>J704*C704</f>
        <v>12000000</v>
      </c>
      <c r="L704" s="492">
        <v>80</v>
      </c>
      <c r="M704" s="362">
        <f>L704*C704</f>
        <v>12000000</v>
      </c>
      <c r="N704" s="492">
        <v>80</v>
      </c>
      <c r="O704" s="362">
        <f>N704*C704</f>
        <v>12000000</v>
      </c>
      <c r="P704" s="492">
        <v>80</v>
      </c>
      <c r="Q704" s="362">
        <f>P704*C704</f>
        <v>12000000</v>
      </c>
      <c r="R704" s="492">
        <v>80</v>
      </c>
      <c r="S704" s="362">
        <f>R704*C704</f>
        <v>12000000</v>
      </c>
      <c r="T704" s="492">
        <v>80</v>
      </c>
      <c r="U704" s="362">
        <f>T704*C704</f>
        <v>12000000</v>
      </c>
      <c r="V704" s="492">
        <v>80</v>
      </c>
      <c r="W704" s="362">
        <f>V704*C704</f>
        <v>12000000</v>
      </c>
      <c r="X704" s="492">
        <v>80</v>
      </c>
      <c r="Y704" s="362">
        <f>X704*C704</f>
        <v>12000000</v>
      </c>
      <c r="Z704" s="492">
        <v>80</v>
      </c>
      <c r="AA704" s="362">
        <f>Z704*C704</f>
        <v>12000000</v>
      </c>
      <c r="AB704" s="361"/>
      <c r="AC704" s="342"/>
      <c r="AD704" s="348"/>
    </row>
    <row r="705" spans="1:30" s="349" customFormat="1">
      <c r="A705" s="359" t="s">
        <v>227</v>
      </c>
      <c r="B705" s="359">
        <v>250</v>
      </c>
      <c r="C705" s="504">
        <v>250000</v>
      </c>
      <c r="D705" s="359">
        <v>60</v>
      </c>
      <c r="E705" s="362">
        <f>D705*C705</f>
        <v>15000000</v>
      </c>
      <c r="F705" s="359">
        <v>60</v>
      </c>
      <c r="G705" s="362">
        <f>F705*C705</f>
        <v>15000000</v>
      </c>
      <c r="H705" s="492">
        <v>60</v>
      </c>
      <c r="I705" s="362">
        <f>H705*C705</f>
        <v>15000000</v>
      </c>
      <c r="J705" s="492">
        <v>60</v>
      </c>
      <c r="K705" s="362">
        <f>J705*C705</f>
        <v>15000000</v>
      </c>
      <c r="L705" s="492">
        <v>60</v>
      </c>
      <c r="M705" s="362">
        <f>L705*C705</f>
        <v>15000000</v>
      </c>
      <c r="N705" s="492">
        <v>60</v>
      </c>
      <c r="O705" s="362">
        <f>N705*C705</f>
        <v>15000000</v>
      </c>
      <c r="P705" s="492">
        <v>60</v>
      </c>
      <c r="Q705" s="362">
        <f>P705*C705</f>
        <v>15000000</v>
      </c>
      <c r="R705" s="492">
        <v>60</v>
      </c>
      <c r="S705" s="362">
        <f>R705*C705</f>
        <v>15000000</v>
      </c>
      <c r="T705" s="492">
        <v>60</v>
      </c>
      <c r="U705" s="362">
        <f>T705*C705</f>
        <v>15000000</v>
      </c>
      <c r="V705" s="492">
        <v>60</v>
      </c>
      <c r="W705" s="362">
        <f>V705*C705</f>
        <v>15000000</v>
      </c>
      <c r="X705" s="492">
        <v>60</v>
      </c>
      <c r="Y705" s="362">
        <f>X705*C705</f>
        <v>15000000</v>
      </c>
      <c r="Z705" s="492">
        <v>60</v>
      </c>
      <c r="AA705" s="362">
        <f>Z705*C705</f>
        <v>15000000</v>
      </c>
      <c r="AB705" s="361"/>
      <c r="AC705" s="342"/>
      <c r="AD705" s="348"/>
    </row>
    <row r="706" spans="1:30" s="349" customFormat="1">
      <c r="A706" s="359" t="s">
        <v>227</v>
      </c>
      <c r="B706" s="359">
        <v>350</v>
      </c>
      <c r="C706" s="504">
        <v>320000</v>
      </c>
      <c r="D706" s="359">
        <v>40</v>
      </c>
      <c r="E706" s="362">
        <f>D706*C706</f>
        <v>12800000</v>
      </c>
      <c r="F706" s="359">
        <v>40</v>
      </c>
      <c r="G706" s="362">
        <f>F706*C706</f>
        <v>12800000</v>
      </c>
      <c r="H706" s="492">
        <v>40</v>
      </c>
      <c r="I706" s="362">
        <f>H706*C706</f>
        <v>12800000</v>
      </c>
      <c r="J706" s="492">
        <v>40</v>
      </c>
      <c r="K706" s="362">
        <f>J706*C706</f>
        <v>12800000</v>
      </c>
      <c r="L706" s="492">
        <v>40</v>
      </c>
      <c r="M706" s="362">
        <f>L706*C706</f>
        <v>12800000</v>
      </c>
      <c r="N706" s="492">
        <v>40</v>
      </c>
      <c r="O706" s="362">
        <f>N706*C706</f>
        <v>12800000</v>
      </c>
      <c r="P706" s="492">
        <v>40</v>
      </c>
      <c r="Q706" s="362">
        <f>P706*C706</f>
        <v>12800000</v>
      </c>
      <c r="R706" s="492">
        <v>40</v>
      </c>
      <c r="S706" s="362">
        <f>R706*C706</f>
        <v>12800000</v>
      </c>
      <c r="T706" s="492">
        <v>40</v>
      </c>
      <c r="U706" s="362">
        <f>T706*C706</f>
        <v>12800000</v>
      </c>
      <c r="V706" s="492">
        <v>40</v>
      </c>
      <c r="W706" s="362">
        <f>V706*C706</f>
        <v>12800000</v>
      </c>
      <c r="X706" s="492">
        <v>40</v>
      </c>
      <c r="Y706" s="362">
        <f>X706*C706</f>
        <v>12800000</v>
      </c>
      <c r="Z706" s="492">
        <v>40</v>
      </c>
      <c r="AA706" s="362">
        <f>Z706*C706</f>
        <v>12800000</v>
      </c>
      <c r="AB706" s="361"/>
      <c r="AC706" s="342"/>
      <c r="AD706" s="348"/>
    </row>
    <row r="707" spans="1:30" s="349" customFormat="1">
      <c r="A707" s="359" t="s">
        <v>227</v>
      </c>
      <c r="B707" s="359">
        <v>500</v>
      </c>
      <c r="C707" s="504">
        <v>480000</v>
      </c>
      <c r="D707" s="359">
        <v>20</v>
      </c>
      <c r="E707" s="362">
        <f>D707*C707</f>
        <v>9600000</v>
      </c>
      <c r="F707" s="359">
        <v>20</v>
      </c>
      <c r="G707" s="362">
        <f>F707*C707</f>
        <v>9600000</v>
      </c>
      <c r="H707" s="492">
        <v>20</v>
      </c>
      <c r="I707" s="362">
        <f>H707*C707</f>
        <v>9600000</v>
      </c>
      <c r="J707" s="492">
        <v>20</v>
      </c>
      <c r="K707" s="362">
        <f>J707*C707</f>
        <v>9600000</v>
      </c>
      <c r="L707" s="492">
        <v>20</v>
      </c>
      <c r="M707" s="362">
        <f>L707*C707</f>
        <v>9600000</v>
      </c>
      <c r="N707" s="492">
        <v>20</v>
      </c>
      <c r="O707" s="362">
        <f>N707*C707</f>
        <v>9600000</v>
      </c>
      <c r="P707" s="492">
        <v>20</v>
      </c>
      <c r="Q707" s="362">
        <f>P707*C707</f>
        <v>9600000</v>
      </c>
      <c r="R707" s="492">
        <v>20</v>
      </c>
      <c r="S707" s="362">
        <f>R707*C707</f>
        <v>9600000</v>
      </c>
      <c r="T707" s="492">
        <v>20</v>
      </c>
      <c r="U707" s="362">
        <f>T707*C707</f>
        <v>9600000</v>
      </c>
      <c r="V707" s="492">
        <v>20</v>
      </c>
      <c r="W707" s="362">
        <f>V707*C707</f>
        <v>9600000</v>
      </c>
      <c r="X707" s="492">
        <v>20</v>
      </c>
      <c r="Y707" s="362">
        <f>X707*C707</f>
        <v>9600000</v>
      </c>
      <c r="Z707" s="492">
        <v>20</v>
      </c>
      <c r="AA707" s="362">
        <f>Z707*C707</f>
        <v>9600000</v>
      </c>
      <c r="AB707" s="361"/>
      <c r="AC707" s="342"/>
      <c r="AD707" s="348"/>
    </row>
    <row r="708" spans="1:30">
      <c r="A708" s="359"/>
      <c r="B708" s="359"/>
      <c r="C708" s="504"/>
      <c r="D708" s="359"/>
      <c r="E708" s="362"/>
      <c r="F708" s="359"/>
      <c r="G708" s="362"/>
      <c r="H708" s="359"/>
      <c r="I708" s="362"/>
      <c r="J708" s="359"/>
      <c r="K708" s="362"/>
      <c r="L708" s="359"/>
      <c r="M708" s="362"/>
      <c r="N708" s="359"/>
      <c r="O708" s="362"/>
      <c r="P708" s="359"/>
      <c r="Q708" s="362"/>
      <c r="R708" s="359"/>
      <c r="S708" s="362"/>
      <c r="T708" s="359"/>
      <c r="U708" s="362"/>
      <c r="V708" s="359"/>
      <c r="W708" s="362"/>
      <c r="X708" s="359"/>
      <c r="Y708" s="362"/>
      <c r="Z708" s="359"/>
      <c r="AA708" s="362"/>
      <c r="AB708" s="361"/>
      <c r="AD708" s="350"/>
    </row>
    <row r="709" spans="1:30" s="349" customFormat="1">
      <c r="A709" s="359" t="s">
        <v>226</v>
      </c>
      <c r="B709" s="359">
        <v>100</v>
      </c>
      <c r="C709" s="504"/>
      <c r="D709" s="359">
        <v>100</v>
      </c>
      <c r="E709" s="362">
        <f>D709*C709</f>
        <v>0</v>
      </c>
      <c r="F709" s="359">
        <v>100</v>
      </c>
      <c r="G709" s="362">
        <f>F709*C709</f>
        <v>0</v>
      </c>
      <c r="H709" s="359">
        <v>100</v>
      </c>
      <c r="I709" s="362">
        <f>H709*C709</f>
        <v>0</v>
      </c>
      <c r="J709" s="359">
        <v>100</v>
      </c>
      <c r="K709" s="362">
        <f>J709*C709</f>
        <v>0</v>
      </c>
      <c r="L709" s="359">
        <v>100</v>
      </c>
      <c r="M709" s="362">
        <f>L709*C709</f>
        <v>0</v>
      </c>
      <c r="N709" s="359">
        <v>100</v>
      </c>
      <c r="O709" s="362">
        <f>N709*C709</f>
        <v>0</v>
      </c>
      <c r="P709" s="359">
        <v>100</v>
      </c>
      <c r="Q709" s="362">
        <f>P709*C709</f>
        <v>0</v>
      </c>
      <c r="R709" s="359">
        <v>100</v>
      </c>
      <c r="S709" s="362">
        <f>R709*C709</f>
        <v>0</v>
      </c>
      <c r="T709" s="359">
        <v>100</v>
      </c>
      <c r="U709" s="362">
        <f>T709*C709</f>
        <v>0</v>
      </c>
      <c r="V709" s="359">
        <v>100</v>
      </c>
      <c r="W709" s="362">
        <f>V709*C709</f>
        <v>0</v>
      </c>
      <c r="X709" s="359">
        <v>100</v>
      </c>
      <c r="Y709" s="362">
        <f>X709*C709</f>
        <v>0</v>
      </c>
      <c r="Z709" s="359">
        <v>100</v>
      </c>
      <c r="AA709" s="362">
        <f>Z709*C709</f>
        <v>0</v>
      </c>
      <c r="AB709" s="361"/>
      <c r="AC709" s="342"/>
      <c r="AD709" s="348"/>
    </row>
    <row r="710" spans="1:30" s="349" customFormat="1">
      <c r="A710" s="359" t="s">
        <v>226</v>
      </c>
      <c r="B710" s="359">
        <v>150</v>
      </c>
      <c r="C710" s="504"/>
      <c r="D710" s="359">
        <v>80</v>
      </c>
      <c r="E710" s="362">
        <f>D710*C710</f>
        <v>0</v>
      </c>
      <c r="F710" s="359">
        <v>80</v>
      </c>
      <c r="G710" s="362">
        <f>F710*C710</f>
        <v>0</v>
      </c>
      <c r="H710" s="359">
        <v>80</v>
      </c>
      <c r="I710" s="362">
        <f>H710*C710</f>
        <v>0</v>
      </c>
      <c r="J710" s="359">
        <v>80</v>
      </c>
      <c r="K710" s="362">
        <f>J710*C710</f>
        <v>0</v>
      </c>
      <c r="L710" s="359">
        <v>80</v>
      </c>
      <c r="M710" s="362">
        <f>L710*C710</f>
        <v>0</v>
      </c>
      <c r="N710" s="359">
        <v>80</v>
      </c>
      <c r="O710" s="362">
        <f>N710*C710</f>
        <v>0</v>
      </c>
      <c r="P710" s="359">
        <v>80</v>
      </c>
      <c r="Q710" s="362">
        <f>P710*C710</f>
        <v>0</v>
      </c>
      <c r="R710" s="359">
        <v>80</v>
      </c>
      <c r="S710" s="362">
        <f>R710*C710</f>
        <v>0</v>
      </c>
      <c r="T710" s="359">
        <v>80</v>
      </c>
      <c r="U710" s="362">
        <f>T710*C710</f>
        <v>0</v>
      </c>
      <c r="V710" s="359">
        <v>80</v>
      </c>
      <c r="W710" s="362">
        <f>V710*C710</f>
        <v>0</v>
      </c>
      <c r="X710" s="359">
        <v>80</v>
      </c>
      <c r="Y710" s="362">
        <f>X710*C710</f>
        <v>0</v>
      </c>
      <c r="Z710" s="359">
        <v>80</v>
      </c>
      <c r="AA710" s="362">
        <f>Z710*C710</f>
        <v>0</v>
      </c>
      <c r="AB710" s="361"/>
      <c r="AC710" s="342"/>
      <c r="AD710" s="348"/>
    </row>
    <row r="711" spans="1:30" s="349" customFormat="1">
      <c r="A711" s="359" t="s">
        <v>226</v>
      </c>
      <c r="B711" s="359">
        <v>250</v>
      </c>
      <c r="C711" s="504"/>
      <c r="D711" s="359">
        <v>60</v>
      </c>
      <c r="E711" s="362">
        <f>D711*C711</f>
        <v>0</v>
      </c>
      <c r="F711" s="359">
        <v>60</v>
      </c>
      <c r="G711" s="362">
        <f>F711*C711</f>
        <v>0</v>
      </c>
      <c r="H711" s="359">
        <v>60</v>
      </c>
      <c r="I711" s="362">
        <f>H711*C711</f>
        <v>0</v>
      </c>
      <c r="J711" s="359">
        <v>60</v>
      </c>
      <c r="K711" s="362">
        <f>J711*C711</f>
        <v>0</v>
      </c>
      <c r="L711" s="359">
        <v>60</v>
      </c>
      <c r="M711" s="362">
        <f>L711*C711</f>
        <v>0</v>
      </c>
      <c r="N711" s="359">
        <v>60</v>
      </c>
      <c r="O711" s="362">
        <f>N711*C711</f>
        <v>0</v>
      </c>
      <c r="P711" s="359">
        <v>60</v>
      </c>
      <c r="Q711" s="362">
        <f>P711*C711</f>
        <v>0</v>
      </c>
      <c r="R711" s="359">
        <v>60</v>
      </c>
      <c r="S711" s="362">
        <f>R711*C711</f>
        <v>0</v>
      </c>
      <c r="T711" s="359">
        <v>60</v>
      </c>
      <c r="U711" s="362">
        <f>T711*C711</f>
        <v>0</v>
      </c>
      <c r="V711" s="359">
        <v>60</v>
      </c>
      <c r="W711" s="362">
        <f>V711*C711</f>
        <v>0</v>
      </c>
      <c r="X711" s="359">
        <v>60</v>
      </c>
      <c r="Y711" s="362">
        <f>X711*C711</f>
        <v>0</v>
      </c>
      <c r="Z711" s="359">
        <v>60</v>
      </c>
      <c r="AA711" s="362">
        <f>Z711*C711</f>
        <v>0</v>
      </c>
      <c r="AB711" s="361"/>
      <c r="AC711" s="342"/>
      <c r="AD711" s="348"/>
    </row>
    <row r="712" spans="1:30" s="349" customFormat="1">
      <c r="A712" s="359" t="s">
        <v>226</v>
      </c>
      <c r="B712" s="359">
        <v>350</v>
      </c>
      <c r="C712" s="504"/>
      <c r="D712" s="359">
        <v>40</v>
      </c>
      <c r="E712" s="362">
        <f>D712*C712</f>
        <v>0</v>
      </c>
      <c r="F712" s="359">
        <v>40</v>
      </c>
      <c r="G712" s="362">
        <f>F712*C712</f>
        <v>0</v>
      </c>
      <c r="H712" s="359">
        <v>40</v>
      </c>
      <c r="I712" s="362">
        <f>H712*C712</f>
        <v>0</v>
      </c>
      <c r="J712" s="359">
        <v>40</v>
      </c>
      <c r="K712" s="362">
        <f>J712*C712</f>
        <v>0</v>
      </c>
      <c r="L712" s="359">
        <v>40</v>
      </c>
      <c r="M712" s="362">
        <f>L712*C712</f>
        <v>0</v>
      </c>
      <c r="N712" s="359">
        <v>40</v>
      </c>
      <c r="O712" s="362">
        <f>N712*C712</f>
        <v>0</v>
      </c>
      <c r="P712" s="359">
        <v>40</v>
      </c>
      <c r="Q712" s="362">
        <f>P712*C712</f>
        <v>0</v>
      </c>
      <c r="R712" s="359">
        <v>40</v>
      </c>
      <c r="S712" s="362">
        <f>R712*C712</f>
        <v>0</v>
      </c>
      <c r="T712" s="359">
        <v>40</v>
      </c>
      <c r="U712" s="362">
        <f>T712*C712</f>
        <v>0</v>
      </c>
      <c r="V712" s="359">
        <v>40</v>
      </c>
      <c r="W712" s="362">
        <f>V712*C712</f>
        <v>0</v>
      </c>
      <c r="X712" s="359">
        <v>40</v>
      </c>
      <c r="Y712" s="362">
        <f>X712*C712</f>
        <v>0</v>
      </c>
      <c r="Z712" s="359">
        <v>40</v>
      </c>
      <c r="AA712" s="362">
        <f>Z712*C712</f>
        <v>0</v>
      </c>
      <c r="AB712" s="361"/>
      <c r="AC712" s="342"/>
      <c r="AD712" s="348"/>
    </row>
    <row r="713" spans="1:30" s="349" customFormat="1">
      <c r="A713" s="359" t="s">
        <v>226</v>
      </c>
      <c r="B713" s="359">
        <v>500</v>
      </c>
      <c r="C713" s="504"/>
      <c r="D713" s="359">
        <v>20</v>
      </c>
      <c r="E713" s="362">
        <f>D713*C713</f>
        <v>0</v>
      </c>
      <c r="F713" s="359">
        <v>20</v>
      </c>
      <c r="G713" s="362">
        <f>F713*C713</f>
        <v>0</v>
      </c>
      <c r="H713" s="359">
        <v>20</v>
      </c>
      <c r="I713" s="362">
        <f>H713*C713</f>
        <v>0</v>
      </c>
      <c r="J713" s="359">
        <v>20</v>
      </c>
      <c r="K713" s="362">
        <f>J713*C713</f>
        <v>0</v>
      </c>
      <c r="L713" s="359">
        <v>20</v>
      </c>
      <c r="M713" s="362">
        <f>C713</f>
        <v>0</v>
      </c>
      <c r="N713" s="359">
        <v>20</v>
      </c>
      <c r="O713" s="362">
        <f>N713*C713</f>
        <v>0</v>
      </c>
      <c r="P713" s="359">
        <v>20</v>
      </c>
      <c r="Q713" s="362">
        <f>P713*C713</f>
        <v>0</v>
      </c>
      <c r="R713" s="359">
        <v>20</v>
      </c>
      <c r="S713" s="362">
        <f>R713*C713</f>
        <v>0</v>
      </c>
      <c r="T713" s="359">
        <v>20</v>
      </c>
      <c r="U713" s="362">
        <f>T713*C713</f>
        <v>0</v>
      </c>
      <c r="V713" s="359">
        <v>20</v>
      </c>
      <c r="W713" s="362">
        <f>V713*C713</f>
        <v>0</v>
      </c>
      <c r="X713" s="359">
        <v>20</v>
      </c>
      <c r="Y713" s="362">
        <f>X713*C713</f>
        <v>0</v>
      </c>
      <c r="Z713" s="359">
        <v>20</v>
      </c>
      <c r="AA713" s="362">
        <f>Z713*C713</f>
        <v>0</v>
      </c>
      <c r="AB713" s="361"/>
      <c r="AC713" s="342"/>
      <c r="AD713" s="348"/>
    </row>
    <row r="714" spans="1:30" s="349" customFormat="1">
      <c r="A714" s="359"/>
      <c r="B714" s="359"/>
      <c r="C714" s="504"/>
      <c r="D714" s="359"/>
      <c r="E714" s="362"/>
      <c r="F714" s="359"/>
      <c r="G714" s="362"/>
      <c r="H714" s="359"/>
      <c r="I714" s="362"/>
      <c r="J714" s="359"/>
      <c r="K714" s="362"/>
      <c r="L714" s="359"/>
      <c r="M714" s="362"/>
      <c r="N714" s="359"/>
      <c r="O714" s="362"/>
      <c r="P714" s="359"/>
      <c r="Q714" s="362"/>
      <c r="R714" s="359"/>
      <c r="S714" s="362"/>
      <c r="T714" s="359"/>
      <c r="U714" s="362"/>
      <c r="V714" s="359"/>
      <c r="W714" s="362"/>
      <c r="X714" s="359"/>
      <c r="Y714" s="362"/>
      <c r="Z714" s="359"/>
      <c r="AA714" s="362"/>
      <c r="AB714" s="360"/>
      <c r="AC714" s="342"/>
      <c r="AD714" s="348"/>
    </row>
    <row r="715" spans="1:30" s="479" customFormat="1">
      <c r="A715" s="474"/>
      <c r="B715" s="474"/>
      <c r="C715" s="505"/>
      <c r="D715" s="474">
        <v>0.1</v>
      </c>
      <c r="E715" s="475">
        <f>SUM(E693:E713)</f>
        <v>187800000</v>
      </c>
      <c r="F715" s="474">
        <v>0.1</v>
      </c>
      <c r="G715" s="475">
        <f>SUM(G693:G713)</f>
        <v>187800000</v>
      </c>
      <c r="H715" s="474">
        <v>0.1</v>
      </c>
      <c r="I715" s="475">
        <f>SUM(I693:I713)</f>
        <v>187800000</v>
      </c>
      <c r="J715" s="474">
        <v>0.1</v>
      </c>
      <c r="K715" s="475">
        <f>SUM(K693:K713)</f>
        <v>187800000</v>
      </c>
      <c r="L715" s="474">
        <v>0.1</v>
      </c>
      <c r="M715" s="475">
        <f>SUM(M693:M713)</f>
        <v>187800000</v>
      </c>
      <c r="N715" s="474">
        <v>0.1</v>
      </c>
      <c r="O715" s="475">
        <f>SUM(O693:O713)</f>
        <v>187800000</v>
      </c>
      <c r="P715" s="474">
        <v>0.1</v>
      </c>
      <c r="Q715" s="475">
        <f>SUM(Q693:Q713)</f>
        <v>187800000</v>
      </c>
      <c r="R715" s="474">
        <v>0.1</v>
      </c>
      <c r="S715" s="475">
        <f>SUM(S693:S713)</f>
        <v>187800000</v>
      </c>
      <c r="T715" s="474">
        <v>0.1</v>
      </c>
      <c r="U715" s="475">
        <f>SUM(U693:U713)</f>
        <v>187800000</v>
      </c>
      <c r="V715" s="474">
        <v>0.1</v>
      </c>
      <c r="W715" s="475">
        <f>SUM(W693:W713)</f>
        <v>187800000</v>
      </c>
      <c r="X715" s="474">
        <v>0.1</v>
      </c>
      <c r="Y715" s="475">
        <f>SUM(Y693:Y713)</f>
        <v>187800000</v>
      </c>
      <c r="Z715" s="474">
        <v>0.1</v>
      </c>
      <c r="AA715" s="475">
        <f>SUM(AA693:AA713)</f>
        <v>187800000</v>
      </c>
      <c r="AB715" s="476"/>
      <c r="AC715" s="477"/>
      <c r="AD715" s="478"/>
    </row>
    <row r="716" spans="1:30" s="485" customFormat="1">
      <c r="A716" s="480"/>
      <c r="B716" s="480"/>
      <c r="C716" s="507"/>
      <c r="D716" s="480"/>
      <c r="E716" s="481">
        <f>E715*D715</f>
        <v>18780000</v>
      </c>
      <c r="F716" s="480"/>
      <c r="G716" s="482">
        <f>G715*F715</f>
        <v>18780000</v>
      </c>
      <c r="H716" s="480"/>
      <c r="I716" s="481">
        <f>I715*H715</f>
        <v>18780000</v>
      </c>
      <c r="J716" s="480"/>
      <c r="K716" s="481">
        <f>K715*J715</f>
        <v>18780000</v>
      </c>
      <c r="L716" s="480"/>
      <c r="M716" s="481">
        <f>M715*L715</f>
        <v>18780000</v>
      </c>
      <c r="N716" s="480"/>
      <c r="O716" s="481">
        <f>O715*N715</f>
        <v>18780000</v>
      </c>
      <c r="P716" s="480"/>
      <c r="Q716" s="481">
        <f>Q715*P715</f>
        <v>18780000</v>
      </c>
      <c r="R716" s="480"/>
      <c r="S716" s="481">
        <f>S715*R715</f>
        <v>18780000</v>
      </c>
      <c r="T716" s="480"/>
      <c r="U716" s="481">
        <f>U715*T715</f>
        <v>18780000</v>
      </c>
      <c r="V716" s="480"/>
      <c r="W716" s="481">
        <f>W715*V715</f>
        <v>18780000</v>
      </c>
      <c r="X716" s="480"/>
      <c r="Y716" s="481">
        <f>Y715*X715</f>
        <v>18780000</v>
      </c>
      <c r="Z716" s="480"/>
      <c r="AA716" s="481">
        <f>AA715*Z715</f>
        <v>18780000</v>
      </c>
      <c r="AB716" s="481">
        <f>SUM(AA716,Y716,W716,U716,S716,Q716,O716,M716,K716,I716,G716,E716)</f>
        <v>225360000</v>
      </c>
      <c r="AC716" s="483"/>
      <c r="AD716" s="484"/>
    </row>
    <row r="717" spans="1:30" s="349" customFormat="1">
      <c r="A717" s="359"/>
      <c r="B717" s="359"/>
      <c r="C717" s="504"/>
      <c r="D717" s="359"/>
      <c r="E717" s="472"/>
      <c r="F717" s="359"/>
      <c r="G717" s="471"/>
      <c r="H717" s="359"/>
      <c r="I717" s="472"/>
      <c r="J717" s="359"/>
      <c r="K717" s="472"/>
      <c r="L717" s="359"/>
      <c r="M717" s="472"/>
      <c r="N717" s="359"/>
      <c r="O717" s="472"/>
      <c r="P717" s="359"/>
      <c r="Q717" s="472"/>
      <c r="R717" s="359"/>
      <c r="S717" s="472"/>
      <c r="T717" s="359"/>
      <c r="U717" s="472"/>
      <c r="V717" s="359"/>
      <c r="W717" s="472"/>
      <c r="X717" s="359"/>
      <c r="Y717" s="472"/>
      <c r="Z717" s="359"/>
      <c r="AA717" s="472"/>
      <c r="AB717" s="472"/>
      <c r="AC717" s="342"/>
      <c r="AD717" s="473"/>
    </row>
    <row r="718" spans="1:30" s="349" customFormat="1">
      <c r="A718" s="359" t="s">
        <v>230</v>
      </c>
      <c r="B718" s="359">
        <v>26</v>
      </c>
      <c r="C718" s="504">
        <v>10000</v>
      </c>
      <c r="D718" s="359">
        <v>300</v>
      </c>
      <c r="E718" s="362">
        <f>D718*C718</f>
        <v>3000000</v>
      </c>
      <c r="F718" s="359">
        <v>300</v>
      </c>
      <c r="G718" s="362">
        <f>F718*C718</f>
        <v>3000000</v>
      </c>
      <c r="H718" s="491">
        <v>300</v>
      </c>
      <c r="I718" s="362">
        <f>H718*C718</f>
        <v>3000000</v>
      </c>
      <c r="J718" s="491">
        <v>300</v>
      </c>
      <c r="K718" s="362">
        <f>J718*C718</f>
        <v>3000000</v>
      </c>
      <c r="L718" s="491">
        <v>300</v>
      </c>
      <c r="M718" s="362">
        <f>L718*C718</f>
        <v>3000000</v>
      </c>
      <c r="N718" s="491">
        <v>300</v>
      </c>
      <c r="O718" s="362">
        <f>N718*C718</f>
        <v>3000000</v>
      </c>
      <c r="P718" s="491">
        <v>300</v>
      </c>
      <c r="Q718" s="362">
        <f>P718*C718</f>
        <v>3000000</v>
      </c>
      <c r="R718" s="491">
        <v>300</v>
      </c>
      <c r="S718" s="362">
        <f>R718*C718</f>
        <v>3000000</v>
      </c>
      <c r="T718" s="491">
        <v>300</v>
      </c>
      <c r="U718" s="362">
        <f>T718*C718</f>
        <v>3000000</v>
      </c>
      <c r="V718" s="491">
        <v>300</v>
      </c>
      <c r="W718" s="362">
        <f>V718*C718</f>
        <v>3000000</v>
      </c>
      <c r="X718" s="491">
        <v>300</v>
      </c>
      <c r="Y718" s="362">
        <f>X718*C718</f>
        <v>3000000</v>
      </c>
      <c r="Z718" s="491">
        <v>300</v>
      </c>
      <c r="AA718" s="362">
        <f>Z718*C718</f>
        <v>3000000</v>
      </c>
      <c r="AB718" s="361"/>
      <c r="AC718" s="342"/>
      <c r="AD718" s="348"/>
    </row>
    <row r="719" spans="1:30" s="349" customFormat="1">
      <c r="A719" s="359" t="s">
        <v>230</v>
      </c>
      <c r="B719" s="359">
        <v>33</v>
      </c>
      <c r="C719" s="504">
        <v>14000</v>
      </c>
      <c r="D719" s="359">
        <v>100</v>
      </c>
      <c r="E719" s="362">
        <f>D719*C719</f>
        <v>1400000</v>
      </c>
      <c r="F719" s="359">
        <v>100</v>
      </c>
      <c r="G719" s="362">
        <f>F719*C719</f>
        <v>1400000</v>
      </c>
      <c r="H719" s="492">
        <v>100</v>
      </c>
      <c r="I719" s="362">
        <f>H719*C719</f>
        <v>1400000</v>
      </c>
      <c r="J719" s="492">
        <v>100</v>
      </c>
      <c r="K719" s="362">
        <f>J719*C719</f>
        <v>1400000</v>
      </c>
      <c r="L719" s="492">
        <v>100</v>
      </c>
      <c r="M719" s="362">
        <f>L719*C719</f>
        <v>1400000</v>
      </c>
      <c r="N719" s="492">
        <v>100</v>
      </c>
      <c r="O719" s="362">
        <f>N719*C719</f>
        <v>1400000</v>
      </c>
      <c r="P719" s="492">
        <v>100</v>
      </c>
      <c r="Q719" s="362">
        <f>P719*C719</f>
        <v>1400000</v>
      </c>
      <c r="R719" s="492">
        <v>100</v>
      </c>
      <c r="S719" s="362">
        <f>R719*C719</f>
        <v>1400000</v>
      </c>
      <c r="T719" s="492">
        <v>100</v>
      </c>
      <c r="U719" s="362">
        <f>T719*C719</f>
        <v>1400000</v>
      </c>
      <c r="V719" s="492">
        <v>100</v>
      </c>
      <c r="W719" s="362">
        <f>V719*C719</f>
        <v>1400000</v>
      </c>
      <c r="X719" s="492">
        <v>100</v>
      </c>
      <c r="Y719" s="362">
        <f>X719*C719</f>
        <v>1400000</v>
      </c>
      <c r="Z719" s="492">
        <v>100</v>
      </c>
      <c r="AA719" s="362">
        <f>Z719*C719</f>
        <v>1400000</v>
      </c>
      <c r="AB719" s="361"/>
      <c r="AC719" s="342"/>
      <c r="AD719" s="348"/>
    </row>
    <row r="720" spans="1:30" s="349" customFormat="1">
      <c r="A720" s="359" t="s">
        <v>230</v>
      </c>
      <c r="B720" s="359">
        <v>64</v>
      </c>
      <c r="C720" s="504">
        <v>85000</v>
      </c>
      <c r="D720" s="359">
        <v>80</v>
      </c>
      <c r="E720" s="362">
        <f>D720*C720</f>
        <v>6800000</v>
      </c>
      <c r="F720" s="359">
        <v>80</v>
      </c>
      <c r="G720" s="362">
        <f>F720*C720</f>
        <v>6800000</v>
      </c>
      <c r="H720" s="492">
        <v>80</v>
      </c>
      <c r="I720" s="362">
        <f>H720*C720</f>
        <v>6800000</v>
      </c>
      <c r="J720" s="492">
        <v>80</v>
      </c>
      <c r="K720" s="362">
        <f>J720*C720</f>
        <v>6800000</v>
      </c>
      <c r="L720" s="492">
        <v>80</v>
      </c>
      <c r="M720" s="362">
        <f>L720*C720</f>
        <v>6800000</v>
      </c>
      <c r="N720" s="492">
        <v>80</v>
      </c>
      <c r="O720" s="362">
        <f>N720*C720</f>
        <v>6800000</v>
      </c>
      <c r="P720" s="492">
        <v>80</v>
      </c>
      <c r="Q720" s="362">
        <f>P720*C720</f>
        <v>6800000</v>
      </c>
      <c r="R720" s="492">
        <v>80</v>
      </c>
      <c r="S720" s="362">
        <f>R720*C720</f>
        <v>6800000</v>
      </c>
      <c r="T720" s="492">
        <v>80</v>
      </c>
      <c r="U720" s="362">
        <f>T720*C720</f>
        <v>6800000</v>
      </c>
      <c r="V720" s="492">
        <v>80</v>
      </c>
      <c r="W720" s="362">
        <f>V720*C720</f>
        <v>6800000</v>
      </c>
      <c r="X720" s="492">
        <v>80</v>
      </c>
      <c r="Y720" s="362">
        <f>X720*C720</f>
        <v>6800000</v>
      </c>
      <c r="Z720" s="492">
        <v>80</v>
      </c>
      <c r="AA720" s="362">
        <f>Z720*C720</f>
        <v>6800000</v>
      </c>
      <c r="AB720" s="361"/>
      <c r="AC720" s="342"/>
      <c r="AD720" s="348"/>
    </row>
    <row r="721" spans="1:30" s="349" customFormat="1">
      <c r="A721" s="359" t="s">
        <v>230</v>
      </c>
      <c r="B721" s="359">
        <v>100</v>
      </c>
      <c r="C721" s="504">
        <v>120000</v>
      </c>
      <c r="D721" s="359">
        <v>20</v>
      </c>
      <c r="E721" s="362">
        <f>D721*C721</f>
        <v>2400000</v>
      </c>
      <c r="F721" s="359">
        <v>20</v>
      </c>
      <c r="G721" s="362">
        <f>F721*C721</f>
        <v>2400000</v>
      </c>
      <c r="H721" s="492">
        <v>20</v>
      </c>
      <c r="I721" s="362">
        <f>H721*C721</f>
        <v>2400000</v>
      </c>
      <c r="J721" s="492">
        <v>20</v>
      </c>
      <c r="K721" s="362">
        <f>J721*C721</f>
        <v>2400000</v>
      </c>
      <c r="L721" s="492">
        <v>20</v>
      </c>
      <c r="M721" s="362">
        <f>L721*C721</f>
        <v>2400000</v>
      </c>
      <c r="N721" s="492">
        <v>20</v>
      </c>
      <c r="O721" s="362">
        <f>N721*C721</f>
        <v>2400000</v>
      </c>
      <c r="P721" s="492">
        <v>20</v>
      </c>
      <c r="Q721" s="362">
        <f>P721*C721</f>
        <v>2400000</v>
      </c>
      <c r="R721" s="492">
        <v>20</v>
      </c>
      <c r="S721" s="362">
        <f>R721*C721</f>
        <v>2400000</v>
      </c>
      <c r="T721" s="492">
        <v>20</v>
      </c>
      <c r="U721" s="362">
        <f>T721*C721</f>
        <v>2400000</v>
      </c>
      <c r="V721" s="492">
        <v>20</v>
      </c>
      <c r="W721" s="362">
        <f>V721*C721</f>
        <v>2400000</v>
      </c>
      <c r="X721" s="492">
        <v>20</v>
      </c>
      <c r="Y721" s="362">
        <f>X721*C721</f>
        <v>2400000</v>
      </c>
      <c r="Z721" s="492">
        <v>20</v>
      </c>
      <c r="AA721" s="362">
        <f>Z721*C721</f>
        <v>2400000</v>
      </c>
      <c r="AB721" s="361"/>
      <c r="AC721" s="342"/>
      <c r="AD721" s="348"/>
    </row>
    <row r="722" spans="1:30" s="349" customFormat="1">
      <c r="A722" s="359"/>
      <c r="B722" s="359"/>
      <c r="C722" s="504"/>
      <c r="D722" s="359"/>
      <c r="E722" s="362"/>
      <c r="F722" s="359"/>
      <c r="G722" s="362"/>
      <c r="H722" s="492"/>
      <c r="I722" s="362"/>
      <c r="J722" s="492"/>
      <c r="K722" s="362"/>
      <c r="L722" s="492"/>
      <c r="M722" s="362"/>
      <c r="N722" s="492"/>
      <c r="O722" s="362"/>
      <c r="P722" s="492"/>
      <c r="Q722" s="362"/>
      <c r="R722" s="492"/>
      <c r="S722" s="362"/>
      <c r="T722" s="492"/>
      <c r="U722" s="362"/>
      <c r="V722" s="492"/>
      <c r="W722" s="362"/>
      <c r="X722" s="492"/>
      <c r="Y722" s="362"/>
      <c r="Z722" s="492"/>
      <c r="AA722" s="362"/>
      <c r="AB722" s="361"/>
      <c r="AC722" s="342"/>
      <c r="AD722" s="348"/>
    </row>
    <row r="723" spans="1:30" s="349" customFormat="1">
      <c r="A723" s="359" t="s">
        <v>231</v>
      </c>
      <c r="B723" s="359">
        <v>150</v>
      </c>
      <c r="C723" s="504">
        <v>150000</v>
      </c>
      <c r="D723" s="359">
        <v>300</v>
      </c>
      <c r="E723" s="362">
        <f>D723*C723</f>
        <v>45000000</v>
      </c>
      <c r="F723" s="359">
        <v>300</v>
      </c>
      <c r="G723" s="362">
        <f>F723*C723</f>
        <v>45000000</v>
      </c>
      <c r="H723" s="492">
        <v>300</v>
      </c>
      <c r="I723" s="362">
        <f>H723*C723</f>
        <v>45000000</v>
      </c>
      <c r="J723" s="492">
        <v>300</v>
      </c>
      <c r="K723" s="362">
        <f>J723*C723</f>
        <v>45000000</v>
      </c>
      <c r="L723" s="492">
        <v>300</v>
      </c>
      <c r="M723" s="362">
        <f>L723*C723</f>
        <v>45000000</v>
      </c>
      <c r="N723" s="492">
        <v>300</v>
      </c>
      <c r="O723" s="362">
        <f>N723*C723</f>
        <v>45000000</v>
      </c>
      <c r="P723" s="492">
        <v>300</v>
      </c>
      <c r="Q723" s="362">
        <f>P723*C723</f>
        <v>45000000</v>
      </c>
      <c r="R723" s="492">
        <v>300</v>
      </c>
      <c r="S723" s="362">
        <f>R723*C723</f>
        <v>45000000</v>
      </c>
      <c r="T723" s="492">
        <v>300</v>
      </c>
      <c r="U723" s="362">
        <f>T723*C723</f>
        <v>45000000</v>
      </c>
      <c r="V723" s="492">
        <v>300</v>
      </c>
      <c r="W723" s="362">
        <f>V723*C723</f>
        <v>45000000</v>
      </c>
      <c r="X723" s="492">
        <v>300</v>
      </c>
      <c r="Y723" s="362">
        <f>X723*C723</f>
        <v>45000000</v>
      </c>
      <c r="Z723" s="492">
        <v>300</v>
      </c>
      <c r="AA723" s="362">
        <f>Z723*C723</f>
        <v>45000000</v>
      </c>
      <c r="AB723" s="361"/>
      <c r="AC723" s="342"/>
      <c r="AD723" s="348"/>
    </row>
    <row r="724" spans="1:30" s="349" customFormat="1">
      <c r="A724" s="359" t="s">
        <v>231</v>
      </c>
      <c r="B724" s="359">
        <v>250</v>
      </c>
      <c r="C724" s="504">
        <v>250000</v>
      </c>
      <c r="D724" s="359">
        <v>100</v>
      </c>
      <c r="E724" s="362">
        <f>D724*C724</f>
        <v>25000000</v>
      </c>
      <c r="F724" s="359">
        <v>100</v>
      </c>
      <c r="G724" s="362">
        <f>F724*C724</f>
        <v>25000000</v>
      </c>
      <c r="H724" s="492">
        <v>100</v>
      </c>
      <c r="I724" s="362">
        <f>H724*C724</f>
        <v>25000000</v>
      </c>
      <c r="J724" s="492">
        <v>100</v>
      </c>
      <c r="K724" s="362">
        <f>J724*C724</f>
        <v>25000000</v>
      </c>
      <c r="L724" s="492">
        <v>100</v>
      </c>
      <c r="M724" s="362">
        <f>L724*C724</f>
        <v>25000000</v>
      </c>
      <c r="N724" s="492">
        <v>100</v>
      </c>
      <c r="O724" s="362">
        <f>N724*C724</f>
        <v>25000000</v>
      </c>
      <c r="P724" s="492">
        <v>100</v>
      </c>
      <c r="Q724" s="362">
        <f>P724*C724</f>
        <v>25000000</v>
      </c>
      <c r="R724" s="492">
        <v>100</v>
      </c>
      <c r="S724" s="362">
        <f>R724*C724</f>
        <v>25000000</v>
      </c>
      <c r="T724" s="492">
        <v>100</v>
      </c>
      <c r="U724" s="362">
        <f>T724*C724</f>
        <v>25000000</v>
      </c>
      <c r="V724" s="492">
        <v>100</v>
      </c>
      <c r="W724" s="362">
        <f>V724*C724</f>
        <v>25000000</v>
      </c>
      <c r="X724" s="492">
        <v>100</v>
      </c>
      <c r="Y724" s="362">
        <f>X724*C724</f>
        <v>25000000</v>
      </c>
      <c r="Z724" s="492">
        <v>100</v>
      </c>
      <c r="AA724" s="362">
        <f>Z724*C724</f>
        <v>25000000</v>
      </c>
      <c r="AB724" s="361"/>
      <c r="AC724" s="342"/>
      <c r="AD724" s="348"/>
    </row>
    <row r="725" spans="1:30" s="349" customFormat="1">
      <c r="A725" s="359" t="s">
        <v>231</v>
      </c>
      <c r="B725" s="359">
        <v>350</v>
      </c>
      <c r="C725" s="504">
        <v>320000</v>
      </c>
      <c r="D725" s="359">
        <v>80</v>
      </c>
      <c r="E725" s="362">
        <f>D725*C725</f>
        <v>25600000</v>
      </c>
      <c r="F725" s="359">
        <v>80</v>
      </c>
      <c r="G725" s="362">
        <f>F725*C725</f>
        <v>25600000</v>
      </c>
      <c r="H725" s="492">
        <v>80</v>
      </c>
      <c r="I725" s="362">
        <f>H725*C725</f>
        <v>25600000</v>
      </c>
      <c r="J725" s="492">
        <v>80</v>
      </c>
      <c r="K725" s="362">
        <f>J725*C725</f>
        <v>25600000</v>
      </c>
      <c r="L725" s="492">
        <v>80</v>
      </c>
      <c r="M725" s="362">
        <f>L725*C725</f>
        <v>25600000</v>
      </c>
      <c r="N725" s="492">
        <v>80</v>
      </c>
      <c r="O725" s="362">
        <f>N725*C725</f>
        <v>25600000</v>
      </c>
      <c r="P725" s="492">
        <v>80</v>
      </c>
      <c r="Q725" s="362">
        <f>P725*C725</f>
        <v>25600000</v>
      </c>
      <c r="R725" s="492">
        <v>80</v>
      </c>
      <c r="S725" s="362">
        <f>R725*C725</f>
        <v>25600000</v>
      </c>
      <c r="T725" s="492">
        <v>80</v>
      </c>
      <c r="U725" s="362">
        <f>T725*C725</f>
        <v>25600000</v>
      </c>
      <c r="V725" s="492">
        <v>80</v>
      </c>
      <c r="W725" s="362">
        <f>V725*C725</f>
        <v>25600000</v>
      </c>
      <c r="X725" s="492">
        <v>80</v>
      </c>
      <c r="Y725" s="362">
        <f>X725*C725</f>
        <v>25600000</v>
      </c>
      <c r="Z725" s="492">
        <v>80</v>
      </c>
      <c r="AA725" s="362">
        <f>Z725*C725</f>
        <v>25600000</v>
      </c>
      <c r="AB725" s="361"/>
      <c r="AC725" s="342"/>
      <c r="AD725" s="348"/>
    </row>
    <row r="726" spans="1:30" s="349" customFormat="1">
      <c r="A726" s="359" t="s">
        <v>231</v>
      </c>
      <c r="B726" s="359">
        <v>500</v>
      </c>
      <c r="C726" s="504">
        <v>480000</v>
      </c>
      <c r="D726" s="359">
        <v>20</v>
      </c>
      <c r="E726" s="362">
        <f>D726*C726</f>
        <v>9600000</v>
      </c>
      <c r="F726" s="359">
        <v>20</v>
      </c>
      <c r="G726" s="362">
        <f>F726*C726</f>
        <v>9600000</v>
      </c>
      <c r="H726" s="492">
        <v>20</v>
      </c>
      <c r="I726" s="362">
        <f>H726*C726</f>
        <v>9600000</v>
      </c>
      <c r="J726" s="492">
        <v>20</v>
      </c>
      <c r="K726" s="362">
        <f>J726*C726</f>
        <v>9600000</v>
      </c>
      <c r="L726" s="492">
        <v>20</v>
      </c>
      <c r="M726" s="362">
        <f>L726*C726</f>
        <v>9600000</v>
      </c>
      <c r="N726" s="492">
        <v>20</v>
      </c>
      <c r="O726" s="362">
        <f>N726*C726</f>
        <v>9600000</v>
      </c>
      <c r="P726" s="492">
        <v>20</v>
      </c>
      <c r="Q726" s="362">
        <f>P726*C726</f>
        <v>9600000</v>
      </c>
      <c r="R726" s="492">
        <v>20</v>
      </c>
      <c r="S726" s="362">
        <f>R726*C726</f>
        <v>9600000</v>
      </c>
      <c r="T726" s="492">
        <v>20</v>
      </c>
      <c r="U726" s="362">
        <f>T726*C726</f>
        <v>9600000</v>
      </c>
      <c r="V726" s="492">
        <v>20</v>
      </c>
      <c r="W726" s="362">
        <f>V726*C726</f>
        <v>9600000</v>
      </c>
      <c r="X726" s="492">
        <v>20</v>
      </c>
      <c r="Y726" s="362">
        <f>X726*C726</f>
        <v>9600000</v>
      </c>
      <c r="Z726" s="492">
        <v>20</v>
      </c>
      <c r="AA726" s="362">
        <f>Z726*C726</f>
        <v>9600000</v>
      </c>
      <c r="AB726" s="361"/>
      <c r="AC726" s="342"/>
      <c r="AD726" s="348"/>
    </row>
    <row r="727" spans="1:30" s="349" customFormat="1">
      <c r="A727" s="359"/>
      <c r="B727" s="359"/>
      <c r="C727" s="504"/>
      <c r="D727" s="359"/>
      <c r="E727" s="362"/>
      <c r="F727" s="359"/>
      <c r="G727" s="362"/>
      <c r="H727" s="492"/>
      <c r="I727" s="362"/>
      <c r="J727" s="492"/>
      <c r="K727" s="362"/>
      <c r="L727" s="492"/>
      <c r="M727" s="362"/>
      <c r="N727" s="492"/>
      <c r="O727" s="362"/>
      <c r="P727" s="492"/>
      <c r="Q727" s="362"/>
      <c r="R727" s="492"/>
      <c r="S727" s="362"/>
      <c r="T727" s="492"/>
      <c r="U727" s="362"/>
      <c r="V727" s="492"/>
      <c r="W727" s="362"/>
      <c r="X727" s="492"/>
      <c r="Y727" s="362"/>
      <c r="Z727" s="492"/>
      <c r="AA727" s="362"/>
      <c r="AB727" s="361"/>
      <c r="AC727" s="342"/>
      <c r="AD727" s="348"/>
    </row>
    <row r="728" spans="1:30" s="349" customFormat="1">
      <c r="A728" s="359" t="s">
        <v>232</v>
      </c>
      <c r="B728" s="359">
        <v>100</v>
      </c>
      <c r="C728" s="504">
        <v>120000</v>
      </c>
      <c r="D728" s="359">
        <v>100</v>
      </c>
      <c r="E728" s="362">
        <f>D728*C728</f>
        <v>12000000</v>
      </c>
      <c r="F728" s="359">
        <v>100</v>
      </c>
      <c r="G728" s="362">
        <f>F728*C728</f>
        <v>12000000</v>
      </c>
      <c r="H728" s="492">
        <v>100</v>
      </c>
      <c r="I728" s="362">
        <f>H728*C728</f>
        <v>12000000</v>
      </c>
      <c r="J728" s="492">
        <v>100</v>
      </c>
      <c r="K728" s="362">
        <f>J728*C728</f>
        <v>12000000</v>
      </c>
      <c r="L728" s="492">
        <v>100</v>
      </c>
      <c r="M728" s="362">
        <f>L728*C728</f>
        <v>12000000</v>
      </c>
      <c r="N728" s="492">
        <v>100</v>
      </c>
      <c r="O728" s="362">
        <f>N728*C728</f>
        <v>12000000</v>
      </c>
      <c r="P728" s="492">
        <v>100</v>
      </c>
      <c r="Q728" s="362">
        <f>P728*C728</f>
        <v>12000000</v>
      </c>
      <c r="R728" s="492">
        <v>100</v>
      </c>
      <c r="S728" s="362">
        <f>R728*C728</f>
        <v>12000000</v>
      </c>
      <c r="T728" s="492">
        <v>100</v>
      </c>
      <c r="U728" s="362">
        <f>T728*C728</f>
        <v>12000000</v>
      </c>
      <c r="V728" s="492">
        <v>100</v>
      </c>
      <c r="W728" s="362">
        <f>V728*C728</f>
        <v>12000000</v>
      </c>
      <c r="X728" s="492">
        <v>100</v>
      </c>
      <c r="Y728" s="362">
        <f>X728*C728</f>
        <v>12000000</v>
      </c>
      <c r="Z728" s="492">
        <v>100</v>
      </c>
      <c r="AA728" s="362">
        <f>Z728*C728</f>
        <v>12000000</v>
      </c>
      <c r="AB728" s="361"/>
      <c r="AC728" s="342"/>
      <c r="AD728" s="348"/>
    </row>
    <row r="729" spans="1:30" s="349" customFormat="1">
      <c r="A729" s="359" t="s">
        <v>232</v>
      </c>
      <c r="B729" s="359">
        <v>150</v>
      </c>
      <c r="C729" s="504">
        <v>150000</v>
      </c>
      <c r="D729" s="359">
        <v>80</v>
      </c>
      <c r="E729" s="362">
        <f>D729*C729</f>
        <v>12000000</v>
      </c>
      <c r="F729" s="359">
        <v>80</v>
      </c>
      <c r="G729" s="362">
        <f>F729*C729</f>
        <v>12000000</v>
      </c>
      <c r="H729" s="492">
        <v>80</v>
      </c>
      <c r="I729" s="362">
        <f>H729*C729</f>
        <v>12000000</v>
      </c>
      <c r="J729" s="492">
        <v>80</v>
      </c>
      <c r="K729" s="362">
        <f>J729*C729</f>
        <v>12000000</v>
      </c>
      <c r="L729" s="492">
        <v>80</v>
      </c>
      <c r="M729" s="362">
        <f>L729*C729</f>
        <v>12000000</v>
      </c>
      <c r="N729" s="492">
        <v>80</v>
      </c>
      <c r="O729" s="362">
        <f>N729*C729</f>
        <v>12000000</v>
      </c>
      <c r="P729" s="492">
        <v>80</v>
      </c>
      <c r="Q729" s="362">
        <f>P729*C729</f>
        <v>12000000</v>
      </c>
      <c r="R729" s="492">
        <v>80</v>
      </c>
      <c r="S729" s="362">
        <f>R729*C729</f>
        <v>12000000</v>
      </c>
      <c r="T729" s="492">
        <v>80</v>
      </c>
      <c r="U729" s="362">
        <f>T729*C729</f>
        <v>12000000</v>
      </c>
      <c r="V729" s="492">
        <v>80</v>
      </c>
      <c r="W729" s="362">
        <f>V729*C729</f>
        <v>12000000</v>
      </c>
      <c r="X729" s="492">
        <v>80</v>
      </c>
      <c r="Y729" s="362">
        <f>X729*C729</f>
        <v>12000000</v>
      </c>
      <c r="Z729" s="492">
        <v>80</v>
      </c>
      <c r="AA729" s="362">
        <f>Z729*C729</f>
        <v>12000000</v>
      </c>
      <c r="AB729" s="361"/>
      <c r="AC729" s="342"/>
      <c r="AD729" s="348"/>
    </row>
    <row r="730" spans="1:30" s="349" customFormat="1">
      <c r="A730" s="359" t="s">
        <v>232</v>
      </c>
      <c r="B730" s="359">
        <v>250</v>
      </c>
      <c r="C730" s="504">
        <v>250000</v>
      </c>
      <c r="D730" s="359">
        <v>60</v>
      </c>
      <c r="E730" s="362">
        <f>D730*C730</f>
        <v>15000000</v>
      </c>
      <c r="F730" s="359">
        <v>60</v>
      </c>
      <c r="G730" s="362">
        <f>F730*C730</f>
        <v>15000000</v>
      </c>
      <c r="H730" s="492">
        <v>60</v>
      </c>
      <c r="I730" s="362">
        <f>H730*C730</f>
        <v>15000000</v>
      </c>
      <c r="J730" s="492">
        <v>60</v>
      </c>
      <c r="K730" s="362">
        <f>J730*C730</f>
        <v>15000000</v>
      </c>
      <c r="L730" s="492">
        <v>60</v>
      </c>
      <c r="M730" s="362">
        <f>L730*C730</f>
        <v>15000000</v>
      </c>
      <c r="N730" s="492">
        <v>60</v>
      </c>
      <c r="O730" s="362">
        <f>N730*C730</f>
        <v>15000000</v>
      </c>
      <c r="P730" s="492">
        <v>60</v>
      </c>
      <c r="Q730" s="362">
        <f>P730*C730</f>
        <v>15000000</v>
      </c>
      <c r="R730" s="492">
        <v>60</v>
      </c>
      <c r="S730" s="362">
        <f>R730*C730</f>
        <v>15000000</v>
      </c>
      <c r="T730" s="492">
        <v>60</v>
      </c>
      <c r="U730" s="362">
        <f>T730*C730</f>
        <v>15000000</v>
      </c>
      <c r="V730" s="492">
        <v>60</v>
      </c>
      <c r="W730" s="362">
        <f>V730*C730</f>
        <v>15000000</v>
      </c>
      <c r="X730" s="492">
        <v>60</v>
      </c>
      <c r="Y730" s="362">
        <f>X730*C730</f>
        <v>15000000</v>
      </c>
      <c r="Z730" s="492">
        <v>60</v>
      </c>
      <c r="AA730" s="362">
        <f>Z730*C730</f>
        <v>15000000</v>
      </c>
      <c r="AB730" s="361"/>
      <c r="AC730" s="342"/>
      <c r="AD730" s="348"/>
    </row>
    <row r="731" spans="1:30" s="349" customFormat="1">
      <c r="A731" s="359" t="s">
        <v>232</v>
      </c>
      <c r="B731" s="359">
        <v>350</v>
      </c>
      <c r="C731" s="504">
        <v>320000</v>
      </c>
      <c r="D731" s="359">
        <v>40</v>
      </c>
      <c r="E731" s="362">
        <f>D731*C731</f>
        <v>12800000</v>
      </c>
      <c r="F731" s="359">
        <v>40</v>
      </c>
      <c r="G731" s="362">
        <f>F731*C731</f>
        <v>12800000</v>
      </c>
      <c r="H731" s="492">
        <v>40</v>
      </c>
      <c r="I731" s="362">
        <f>H731*C731</f>
        <v>12800000</v>
      </c>
      <c r="J731" s="492">
        <v>40</v>
      </c>
      <c r="K731" s="362">
        <f>J731*C731</f>
        <v>12800000</v>
      </c>
      <c r="L731" s="492">
        <v>40</v>
      </c>
      <c r="M731" s="362">
        <f>L731*C731</f>
        <v>12800000</v>
      </c>
      <c r="N731" s="492">
        <v>40</v>
      </c>
      <c r="O731" s="362">
        <f>N731*C731</f>
        <v>12800000</v>
      </c>
      <c r="P731" s="492">
        <v>40</v>
      </c>
      <c r="Q731" s="362">
        <f>P731*C731</f>
        <v>12800000</v>
      </c>
      <c r="R731" s="492">
        <v>40</v>
      </c>
      <c r="S731" s="362">
        <f>R731*C731</f>
        <v>12800000</v>
      </c>
      <c r="T731" s="492">
        <v>40</v>
      </c>
      <c r="U731" s="362">
        <f>T731*C731</f>
        <v>12800000</v>
      </c>
      <c r="V731" s="492">
        <v>40</v>
      </c>
      <c r="W731" s="362">
        <f>V731*C731</f>
        <v>12800000</v>
      </c>
      <c r="X731" s="492">
        <v>40</v>
      </c>
      <c r="Y731" s="362">
        <f>X731*C731</f>
        <v>12800000</v>
      </c>
      <c r="Z731" s="492">
        <v>40</v>
      </c>
      <c r="AA731" s="362">
        <f>Z731*C731</f>
        <v>12800000</v>
      </c>
      <c r="AB731" s="361"/>
      <c r="AC731" s="342"/>
      <c r="AD731" s="348"/>
    </row>
    <row r="732" spans="1:30" s="349" customFormat="1">
      <c r="A732" s="359" t="s">
        <v>232</v>
      </c>
      <c r="B732" s="359">
        <v>500</v>
      </c>
      <c r="C732" s="504">
        <v>480000</v>
      </c>
      <c r="D732" s="359">
        <v>20</v>
      </c>
      <c r="E732" s="362">
        <f>D732*C732</f>
        <v>9600000</v>
      </c>
      <c r="F732" s="359">
        <v>20</v>
      </c>
      <c r="G732" s="362">
        <f>F732*C732</f>
        <v>9600000</v>
      </c>
      <c r="H732" s="492">
        <v>20</v>
      </c>
      <c r="I732" s="362">
        <f>H732*C732</f>
        <v>9600000</v>
      </c>
      <c r="J732" s="492">
        <v>20</v>
      </c>
      <c r="K732" s="362">
        <f>J732*C732</f>
        <v>9600000</v>
      </c>
      <c r="L732" s="492">
        <v>20</v>
      </c>
      <c r="M732" s="362">
        <f>L732*C732</f>
        <v>9600000</v>
      </c>
      <c r="N732" s="492">
        <v>20</v>
      </c>
      <c r="O732" s="362">
        <f>N732*C732</f>
        <v>9600000</v>
      </c>
      <c r="P732" s="492">
        <v>20</v>
      </c>
      <c r="Q732" s="362">
        <f>P732*C732</f>
        <v>9600000</v>
      </c>
      <c r="R732" s="492">
        <v>20</v>
      </c>
      <c r="S732" s="362">
        <f>R732*C732</f>
        <v>9600000</v>
      </c>
      <c r="T732" s="492">
        <v>20</v>
      </c>
      <c r="U732" s="362">
        <f>T732*C732</f>
        <v>9600000</v>
      </c>
      <c r="V732" s="492">
        <v>20</v>
      </c>
      <c r="W732" s="362">
        <f>V732*C732</f>
        <v>9600000</v>
      </c>
      <c r="X732" s="492">
        <v>20</v>
      </c>
      <c r="Y732" s="362">
        <f>X732*C732</f>
        <v>9600000</v>
      </c>
      <c r="Z732" s="492">
        <v>20</v>
      </c>
      <c r="AA732" s="362">
        <f>Z732*C732</f>
        <v>9600000</v>
      </c>
      <c r="AB732" s="361"/>
      <c r="AC732" s="342"/>
      <c r="AD732" s="348"/>
    </row>
    <row r="733" spans="1:30">
      <c r="A733" s="359"/>
      <c r="B733" s="359"/>
      <c r="C733" s="504"/>
      <c r="D733" s="359"/>
      <c r="E733" s="362"/>
      <c r="F733" s="359"/>
      <c r="G733" s="362"/>
      <c r="H733" s="359"/>
      <c r="I733" s="362"/>
      <c r="J733" s="359"/>
      <c r="K733" s="362"/>
      <c r="L733" s="359"/>
      <c r="M733" s="362"/>
      <c r="N733" s="359"/>
      <c r="O733" s="362"/>
      <c r="P733" s="359"/>
      <c r="Q733" s="362"/>
      <c r="R733" s="359"/>
      <c r="S733" s="362"/>
      <c r="T733" s="359"/>
      <c r="U733" s="362"/>
      <c r="V733" s="359"/>
      <c r="W733" s="362"/>
      <c r="X733" s="359"/>
      <c r="Y733" s="362"/>
      <c r="Z733" s="359"/>
      <c r="AA733" s="362"/>
      <c r="AB733" s="361"/>
      <c r="AD733" s="350"/>
    </row>
    <row r="734" spans="1:30" s="349" customFormat="1">
      <c r="A734" s="359" t="s">
        <v>233</v>
      </c>
      <c r="B734" s="359">
        <v>100</v>
      </c>
      <c r="C734" s="504"/>
      <c r="D734" s="359">
        <v>100</v>
      </c>
      <c r="E734" s="362">
        <f>D734*C734</f>
        <v>0</v>
      </c>
      <c r="F734" s="359">
        <v>100</v>
      </c>
      <c r="G734" s="362">
        <f>F734*C734</f>
        <v>0</v>
      </c>
      <c r="H734" s="359">
        <v>100</v>
      </c>
      <c r="I734" s="362">
        <f>H734*C734</f>
        <v>0</v>
      </c>
      <c r="J734" s="359">
        <v>100</v>
      </c>
      <c r="K734" s="362">
        <f>J734*C734</f>
        <v>0</v>
      </c>
      <c r="L734" s="359">
        <v>100</v>
      </c>
      <c r="M734" s="362">
        <f>L734*C734</f>
        <v>0</v>
      </c>
      <c r="N734" s="359">
        <v>100</v>
      </c>
      <c r="O734" s="362">
        <f>N734*C734</f>
        <v>0</v>
      </c>
      <c r="P734" s="359">
        <v>100</v>
      </c>
      <c r="Q734" s="362">
        <f>P734*C734</f>
        <v>0</v>
      </c>
      <c r="R734" s="359">
        <v>100</v>
      </c>
      <c r="S734" s="362">
        <f>R734*C734</f>
        <v>0</v>
      </c>
      <c r="T734" s="359">
        <v>100</v>
      </c>
      <c r="U734" s="362">
        <f>T734*C734</f>
        <v>0</v>
      </c>
      <c r="V734" s="359">
        <v>100</v>
      </c>
      <c r="W734" s="362">
        <f>V734*C734</f>
        <v>0</v>
      </c>
      <c r="X734" s="359">
        <v>100</v>
      </c>
      <c r="Y734" s="362">
        <f>X734*C734</f>
        <v>0</v>
      </c>
      <c r="Z734" s="359">
        <v>100</v>
      </c>
      <c r="AA734" s="362">
        <f>Z734*C734</f>
        <v>0</v>
      </c>
      <c r="AB734" s="361"/>
      <c r="AC734" s="342"/>
      <c r="AD734" s="348"/>
    </row>
    <row r="735" spans="1:30" s="349" customFormat="1">
      <c r="A735" s="359" t="s">
        <v>233</v>
      </c>
      <c r="B735" s="359">
        <v>150</v>
      </c>
      <c r="C735" s="504"/>
      <c r="D735" s="359">
        <v>80</v>
      </c>
      <c r="E735" s="362">
        <f>D735*C735</f>
        <v>0</v>
      </c>
      <c r="F735" s="359">
        <v>80</v>
      </c>
      <c r="G735" s="362">
        <f>F735*C735</f>
        <v>0</v>
      </c>
      <c r="H735" s="359">
        <v>80</v>
      </c>
      <c r="I735" s="362">
        <f>H735*C735</f>
        <v>0</v>
      </c>
      <c r="J735" s="359">
        <v>80</v>
      </c>
      <c r="K735" s="362">
        <f>J735*C735</f>
        <v>0</v>
      </c>
      <c r="L735" s="359">
        <v>80</v>
      </c>
      <c r="M735" s="362">
        <f>L735*C735</f>
        <v>0</v>
      </c>
      <c r="N735" s="359">
        <v>80</v>
      </c>
      <c r="O735" s="362">
        <f>N735*C735</f>
        <v>0</v>
      </c>
      <c r="P735" s="359">
        <v>80</v>
      </c>
      <c r="Q735" s="362">
        <f>P735*C735</f>
        <v>0</v>
      </c>
      <c r="R735" s="359">
        <v>80</v>
      </c>
      <c r="S735" s="362">
        <f>R735*C735</f>
        <v>0</v>
      </c>
      <c r="T735" s="359">
        <v>80</v>
      </c>
      <c r="U735" s="362">
        <f>T735*C735</f>
        <v>0</v>
      </c>
      <c r="V735" s="359">
        <v>80</v>
      </c>
      <c r="W735" s="362">
        <f>V735*C735</f>
        <v>0</v>
      </c>
      <c r="X735" s="359">
        <v>80</v>
      </c>
      <c r="Y735" s="362">
        <f>X735*C735</f>
        <v>0</v>
      </c>
      <c r="Z735" s="359">
        <v>80</v>
      </c>
      <c r="AA735" s="362">
        <f>Z735*C735</f>
        <v>0</v>
      </c>
      <c r="AB735" s="361"/>
      <c r="AC735" s="342"/>
      <c r="AD735" s="348"/>
    </row>
    <row r="736" spans="1:30" s="349" customFormat="1">
      <c r="A736" s="359" t="s">
        <v>233</v>
      </c>
      <c r="B736" s="359">
        <v>250</v>
      </c>
      <c r="C736" s="504"/>
      <c r="D736" s="359">
        <v>60</v>
      </c>
      <c r="E736" s="362">
        <f>D736*C736</f>
        <v>0</v>
      </c>
      <c r="F736" s="359">
        <v>60</v>
      </c>
      <c r="G736" s="362">
        <f>F736*C736</f>
        <v>0</v>
      </c>
      <c r="H736" s="359">
        <v>60</v>
      </c>
      <c r="I736" s="362">
        <f>H736*C736</f>
        <v>0</v>
      </c>
      <c r="J736" s="359">
        <v>60</v>
      </c>
      <c r="K736" s="362">
        <f>J736*C736</f>
        <v>0</v>
      </c>
      <c r="L736" s="359">
        <v>60</v>
      </c>
      <c r="M736" s="362">
        <f>L736*C736</f>
        <v>0</v>
      </c>
      <c r="N736" s="359">
        <v>60</v>
      </c>
      <c r="O736" s="362">
        <f>N736*C736</f>
        <v>0</v>
      </c>
      <c r="P736" s="359">
        <v>60</v>
      </c>
      <c r="Q736" s="362">
        <f>P736*C736</f>
        <v>0</v>
      </c>
      <c r="R736" s="359">
        <v>60</v>
      </c>
      <c r="S736" s="362">
        <f>R736*C736</f>
        <v>0</v>
      </c>
      <c r="T736" s="359">
        <v>60</v>
      </c>
      <c r="U736" s="362">
        <f>T736*C736</f>
        <v>0</v>
      </c>
      <c r="V736" s="359">
        <v>60</v>
      </c>
      <c r="W736" s="362">
        <f>V736*C736</f>
        <v>0</v>
      </c>
      <c r="X736" s="359">
        <v>60</v>
      </c>
      <c r="Y736" s="362">
        <f>X736*C736</f>
        <v>0</v>
      </c>
      <c r="Z736" s="359">
        <v>60</v>
      </c>
      <c r="AA736" s="362">
        <f>Z736*C736</f>
        <v>0</v>
      </c>
      <c r="AB736" s="361"/>
      <c r="AC736" s="342"/>
      <c r="AD736" s="348"/>
    </row>
    <row r="737" spans="1:30" s="349" customFormat="1">
      <c r="A737" s="359" t="s">
        <v>233</v>
      </c>
      <c r="B737" s="359">
        <v>350</v>
      </c>
      <c r="C737" s="504"/>
      <c r="D737" s="359">
        <v>40</v>
      </c>
      <c r="E737" s="362">
        <f>D737*C737</f>
        <v>0</v>
      </c>
      <c r="F737" s="359">
        <v>40</v>
      </c>
      <c r="G737" s="362">
        <f>F737*C737</f>
        <v>0</v>
      </c>
      <c r="H737" s="359">
        <v>40</v>
      </c>
      <c r="I737" s="362">
        <f>H737*C737</f>
        <v>0</v>
      </c>
      <c r="J737" s="359">
        <v>40</v>
      </c>
      <c r="K737" s="362">
        <f>J737*C737</f>
        <v>0</v>
      </c>
      <c r="L737" s="359">
        <v>40</v>
      </c>
      <c r="M737" s="362">
        <f>L737*C737</f>
        <v>0</v>
      </c>
      <c r="N737" s="359">
        <v>40</v>
      </c>
      <c r="O737" s="362">
        <f>N737*C737</f>
        <v>0</v>
      </c>
      <c r="P737" s="359">
        <v>40</v>
      </c>
      <c r="Q737" s="362">
        <f>P737*C737</f>
        <v>0</v>
      </c>
      <c r="R737" s="359">
        <v>40</v>
      </c>
      <c r="S737" s="362">
        <f>R737*C737</f>
        <v>0</v>
      </c>
      <c r="T737" s="359">
        <v>40</v>
      </c>
      <c r="U737" s="362">
        <f>T737*C737</f>
        <v>0</v>
      </c>
      <c r="V737" s="359">
        <v>40</v>
      </c>
      <c r="W737" s="362">
        <f>V737*C737</f>
        <v>0</v>
      </c>
      <c r="X737" s="359">
        <v>40</v>
      </c>
      <c r="Y737" s="362">
        <f>X737*C737</f>
        <v>0</v>
      </c>
      <c r="Z737" s="359">
        <v>40</v>
      </c>
      <c r="AA737" s="362">
        <f>Z737*C737</f>
        <v>0</v>
      </c>
      <c r="AB737" s="361"/>
      <c r="AC737" s="342"/>
      <c r="AD737" s="348"/>
    </row>
    <row r="738" spans="1:30" s="349" customFormat="1">
      <c r="A738" s="359" t="s">
        <v>233</v>
      </c>
      <c r="B738" s="359">
        <v>500</v>
      </c>
      <c r="C738" s="504"/>
      <c r="D738" s="359">
        <v>20</v>
      </c>
      <c r="E738" s="362">
        <f>D738*C738</f>
        <v>0</v>
      </c>
      <c r="F738" s="359">
        <v>20</v>
      </c>
      <c r="G738" s="362">
        <f>F738*C738</f>
        <v>0</v>
      </c>
      <c r="H738" s="359">
        <v>20</v>
      </c>
      <c r="I738" s="362">
        <f>H738*C738</f>
        <v>0</v>
      </c>
      <c r="J738" s="359">
        <v>20</v>
      </c>
      <c r="K738" s="362">
        <f>J738*C738</f>
        <v>0</v>
      </c>
      <c r="L738" s="359">
        <v>20</v>
      </c>
      <c r="M738" s="362">
        <f>C738</f>
        <v>0</v>
      </c>
      <c r="N738" s="359">
        <v>20</v>
      </c>
      <c r="O738" s="362">
        <f>N738*C738</f>
        <v>0</v>
      </c>
      <c r="P738" s="359">
        <v>20</v>
      </c>
      <c r="Q738" s="362">
        <f>P738*C738</f>
        <v>0</v>
      </c>
      <c r="R738" s="359">
        <v>20</v>
      </c>
      <c r="S738" s="362">
        <f>R738*C738</f>
        <v>0</v>
      </c>
      <c r="T738" s="359">
        <v>20</v>
      </c>
      <c r="U738" s="362">
        <f>T738*C738</f>
        <v>0</v>
      </c>
      <c r="V738" s="359">
        <v>20</v>
      </c>
      <c r="W738" s="362">
        <f>V738*C738</f>
        <v>0</v>
      </c>
      <c r="X738" s="359">
        <v>20</v>
      </c>
      <c r="Y738" s="362">
        <f>X738*C738</f>
        <v>0</v>
      </c>
      <c r="Z738" s="359">
        <v>20</v>
      </c>
      <c r="AA738" s="362">
        <f>Z738*C738</f>
        <v>0</v>
      </c>
      <c r="AB738" s="361"/>
      <c r="AC738" s="342"/>
      <c r="AD738" s="348"/>
    </row>
    <row r="739" spans="1:30" s="349" customFormat="1">
      <c r="A739" s="359"/>
      <c r="B739" s="359"/>
      <c r="C739" s="504"/>
      <c r="D739" s="359"/>
      <c r="E739" s="362"/>
      <c r="F739" s="359"/>
      <c r="G739" s="362"/>
      <c r="H739" s="359"/>
      <c r="I739" s="362"/>
      <c r="J739" s="359"/>
      <c r="K739" s="362"/>
      <c r="L739" s="359"/>
      <c r="M739" s="362"/>
      <c r="N739" s="359"/>
      <c r="O739" s="362"/>
      <c r="P739" s="359"/>
      <c r="Q739" s="362"/>
      <c r="R739" s="359"/>
      <c r="S739" s="362"/>
      <c r="T739" s="359"/>
      <c r="U739" s="362"/>
      <c r="V739" s="359"/>
      <c r="W739" s="362"/>
      <c r="X739" s="359"/>
      <c r="Y739" s="362"/>
      <c r="Z739" s="359"/>
      <c r="AA739" s="362"/>
      <c r="AB739" s="360"/>
      <c r="AC739" s="342"/>
      <c r="AD739" s="348"/>
    </row>
    <row r="740" spans="1:30" s="479" customFormat="1">
      <c r="A740" s="474"/>
      <c r="B740" s="474"/>
      <c r="C740" s="505"/>
      <c r="D740" s="474">
        <v>0.1</v>
      </c>
      <c r="E740" s="475">
        <f>SUM(E718:E738)</f>
        <v>180200000</v>
      </c>
      <c r="F740" s="474">
        <v>0.1</v>
      </c>
      <c r="G740" s="475">
        <f>SUM(G718:G738)</f>
        <v>180200000</v>
      </c>
      <c r="H740" s="474">
        <v>0.1</v>
      </c>
      <c r="I740" s="475">
        <f>SUM(I718:I738)</f>
        <v>180200000</v>
      </c>
      <c r="J740" s="474">
        <v>0.1</v>
      </c>
      <c r="K740" s="475">
        <f>SUM(K718:K738)</f>
        <v>180200000</v>
      </c>
      <c r="L740" s="474">
        <v>0.1</v>
      </c>
      <c r="M740" s="475">
        <f>SUM(M718:M738)</f>
        <v>180200000</v>
      </c>
      <c r="N740" s="474">
        <v>0.1</v>
      </c>
      <c r="O740" s="475">
        <f>SUM(O718:O738)</f>
        <v>180200000</v>
      </c>
      <c r="P740" s="474">
        <v>0.1</v>
      </c>
      <c r="Q740" s="475">
        <f>SUM(Q718:Q738)</f>
        <v>180200000</v>
      </c>
      <c r="R740" s="474">
        <v>0.1</v>
      </c>
      <c r="S740" s="475">
        <f>SUM(S718:S738)</f>
        <v>180200000</v>
      </c>
      <c r="T740" s="474">
        <v>0.1</v>
      </c>
      <c r="U740" s="475">
        <f>SUM(U718:U738)</f>
        <v>180200000</v>
      </c>
      <c r="V740" s="474">
        <v>0.1</v>
      </c>
      <c r="W740" s="475">
        <f>SUM(W718:W738)</f>
        <v>180200000</v>
      </c>
      <c r="X740" s="474">
        <v>0.1</v>
      </c>
      <c r="Y740" s="475">
        <f>SUM(Y718:Y738)</f>
        <v>180200000</v>
      </c>
      <c r="Z740" s="474">
        <v>0.1</v>
      </c>
      <c r="AA740" s="475">
        <f>SUM(AA718:AA738)</f>
        <v>180200000</v>
      </c>
      <c r="AB740" s="476"/>
      <c r="AC740" s="477"/>
      <c r="AD740" s="478"/>
    </row>
    <row r="741" spans="1:30" s="485" customFormat="1">
      <c r="A741" s="480"/>
      <c r="B741" s="480"/>
      <c r="C741" s="507"/>
      <c r="D741" s="480"/>
      <c r="E741" s="481">
        <f>E740*D740</f>
        <v>18020000</v>
      </c>
      <c r="F741" s="480"/>
      <c r="G741" s="482">
        <f>G740*F740</f>
        <v>18020000</v>
      </c>
      <c r="H741" s="480"/>
      <c r="I741" s="481">
        <f>I740*H740</f>
        <v>18020000</v>
      </c>
      <c r="J741" s="480"/>
      <c r="K741" s="481">
        <f>K740*J740</f>
        <v>18020000</v>
      </c>
      <c r="L741" s="480"/>
      <c r="M741" s="481">
        <f>M740*L740</f>
        <v>18020000</v>
      </c>
      <c r="N741" s="480"/>
      <c r="O741" s="481">
        <f>O740*N740</f>
        <v>18020000</v>
      </c>
      <c r="P741" s="480"/>
      <c r="Q741" s="481">
        <f>Q740*P740</f>
        <v>18020000</v>
      </c>
      <c r="R741" s="480"/>
      <c r="S741" s="481">
        <f>S740*R740</f>
        <v>18020000</v>
      </c>
      <c r="T741" s="480"/>
      <c r="U741" s="481">
        <f>U740*T740</f>
        <v>18020000</v>
      </c>
      <c r="V741" s="480"/>
      <c r="W741" s="481">
        <f>W740*V740</f>
        <v>18020000</v>
      </c>
      <c r="X741" s="480"/>
      <c r="Y741" s="481">
        <f>Y740*X740</f>
        <v>18020000</v>
      </c>
      <c r="Z741" s="480"/>
      <c r="AA741" s="481">
        <f>AA740*Z740</f>
        <v>18020000</v>
      </c>
      <c r="AB741" s="481">
        <f>SUM(AA741,Y741,W741,U741,S741,Q741,O741,M741,K741,I741,G741,E741)</f>
        <v>216240000</v>
      </c>
      <c r="AC741" s="483"/>
      <c r="AD741" s="484"/>
    </row>
    <row r="742" spans="1:30" s="349" customFormat="1">
      <c r="A742" s="359"/>
      <c r="B742" s="359"/>
      <c r="C742" s="504"/>
      <c r="D742" s="359"/>
      <c r="E742" s="472"/>
      <c r="F742" s="359"/>
      <c r="G742" s="471"/>
      <c r="H742" s="359"/>
      <c r="I742" s="472"/>
      <c r="J742" s="359"/>
      <c r="K742" s="472"/>
      <c r="L742" s="359"/>
      <c r="M742" s="472"/>
      <c r="N742" s="359"/>
      <c r="O742" s="472"/>
      <c r="P742" s="359"/>
      <c r="Q742" s="472"/>
      <c r="R742" s="359"/>
      <c r="S742" s="472"/>
      <c r="T742" s="359"/>
      <c r="U742" s="472"/>
      <c r="V742" s="359"/>
      <c r="W742" s="472"/>
      <c r="X742" s="359"/>
      <c r="Y742" s="472"/>
      <c r="Z742" s="359"/>
      <c r="AA742" s="472"/>
      <c r="AB742" s="472"/>
      <c r="AC742" s="342"/>
      <c r="AD742" s="473"/>
    </row>
    <row r="743" spans="1:30" s="349" customFormat="1">
      <c r="A743" s="359" t="s">
        <v>234</v>
      </c>
      <c r="B743" s="359">
        <v>26</v>
      </c>
      <c r="C743" s="504">
        <v>30000</v>
      </c>
      <c r="D743" s="359">
        <v>300</v>
      </c>
      <c r="E743" s="362">
        <f>D743*C743</f>
        <v>9000000</v>
      </c>
      <c r="F743" s="359">
        <v>300</v>
      </c>
      <c r="G743" s="362">
        <f>F743*C743</f>
        <v>9000000</v>
      </c>
      <c r="H743" s="491">
        <v>300</v>
      </c>
      <c r="I743" s="362">
        <f>H743*C743</f>
        <v>9000000</v>
      </c>
      <c r="J743" s="491">
        <v>300</v>
      </c>
      <c r="K743" s="362">
        <f>J743*C743</f>
        <v>9000000</v>
      </c>
      <c r="L743" s="491">
        <v>300</v>
      </c>
      <c r="M743" s="362">
        <f>L743*C743</f>
        <v>9000000</v>
      </c>
      <c r="N743" s="491">
        <v>300</v>
      </c>
      <c r="O743" s="362">
        <f>N743*C743</f>
        <v>9000000</v>
      </c>
      <c r="P743" s="491">
        <v>300</v>
      </c>
      <c r="Q743" s="362">
        <f>P743*C743</f>
        <v>9000000</v>
      </c>
      <c r="R743" s="491">
        <v>300</v>
      </c>
      <c r="S743" s="362">
        <f>R743*C743</f>
        <v>9000000</v>
      </c>
      <c r="T743" s="491">
        <v>300</v>
      </c>
      <c r="U743" s="362">
        <f>T743*C743</f>
        <v>9000000</v>
      </c>
      <c r="V743" s="491">
        <v>300</v>
      </c>
      <c r="W743" s="362">
        <f>V743*C743</f>
        <v>9000000</v>
      </c>
      <c r="X743" s="491">
        <v>300</v>
      </c>
      <c r="Y743" s="362">
        <f>X743*C743</f>
        <v>9000000</v>
      </c>
      <c r="Z743" s="491">
        <v>300</v>
      </c>
      <c r="AA743" s="362">
        <f>Z743*C743</f>
        <v>9000000</v>
      </c>
      <c r="AB743" s="361"/>
      <c r="AC743" s="342"/>
      <c r="AD743" s="348"/>
    </row>
    <row r="744" spans="1:30" s="349" customFormat="1">
      <c r="A744" s="359" t="s">
        <v>234</v>
      </c>
      <c r="B744" s="359">
        <v>33</v>
      </c>
      <c r="C744" s="504">
        <v>45000</v>
      </c>
      <c r="D744" s="359">
        <v>100</v>
      </c>
      <c r="E744" s="362">
        <f>D744*C744</f>
        <v>4500000</v>
      </c>
      <c r="F744" s="359">
        <v>100</v>
      </c>
      <c r="G744" s="362">
        <f>F744*C744</f>
        <v>4500000</v>
      </c>
      <c r="H744" s="492">
        <v>100</v>
      </c>
      <c r="I744" s="362">
        <f>H744*C744</f>
        <v>4500000</v>
      </c>
      <c r="J744" s="492">
        <v>100</v>
      </c>
      <c r="K744" s="362">
        <f>J744*C744</f>
        <v>4500000</v>
      </c>
      <c r="L744" s="492">
        <v>100</v>
      </c>
      <c r="M744" s="362">
        <f>L744*C744</f>
        <v>4500000</v>
      </c>
      <c r="N744" s="492">
        <v>100</v>
      </c>
      <c r="O744" s="362">
        <f>N744*C744</f>
        <v>4500000</v>
      </c>
      <c r="P744" s="492">
        <v>100</v>
      </c>
      <c r="Q744" s="362">
        <f>P744*C744</f>
        <v>4500000</v>
      </c>
      <c r="R744" s="492">
        <v>100</v>
      </c>
      <c r="S744" s="362">
        <f>R744*C744</f>
        <v>4500000</v>
      </c>
      <c r="T744" s="492">
        <v>100</v>
      </c>
      <c r="U744" s="362">
        <f>T744*C744</f>
        <v>4500000</v>
      </c>
      <c r="V744" s="492">
        <v>100</v>
      </c>
      <c r="W744" s="362">
        <f>V744*C744</f>
        <v>4500000</v>
      </c>
      <c r="X744" s="492">
        <v>100</v>
      </c>
      <c r="Y744" s="362">
        <f>X744*C744</f>
        <v>4500000</v>
      </c>
      <c r="Z744" s="492">
        <v>100</v>
      </c>
      <c r="AA744" s="362">
        <f>Z744*C744</f>
        <v>4500000</v>
      </c>
      <c r="AB744" s="361"/>
      <c r="AC744" s="342"/>
      <c r="AD744" s="348"/>
    </row>
    <row r="745" spans="1:30" s="349" customFormat="1">
      <c r="A745" s="359" t="s">
        <v>234</v>
      </c>
      <c r="B745" s="359">
        <v>64</v>
      </c>
      <c r="C745" s="504">
        <v>60000</v>
      </c>
      <c r="D745" s="359">
        <v>80</v>
      </c>
      <c r="E745" s="362">
        <f>D745*C745</f>
        <v>4800000</v>
      </c>
      <c r="F745" s="359">
        <v>80</v>
      </c>
      <c r="G745" s="362">
        <f>F745*C745</f>
        <v>4800000</v>
      </c>
      <c r="H745" s="492">
        <v>80</v>
      </c>
      <c r="I745" s="362">
        <f>H745*C745</f>
        <v>4800000</v>
      </c>
      <c r="J745" s="492">
        <v>80</v>
      </c>
      <c r="K745" s="362">
        <f>J745*C745</f>
        <v>4800000</v>
      </c>
      <c r="L745" s="492">
        <v>80</v>
      </c>
      <c r="M745" s="362">
        <f>L745*C745</f>
        <v>4800000</v>
      </c>
      <c r="N745" s="492">
        <v>80</v>
      </c>
      <c r="O745" s="362">
        <f>N745*C745</f>
        <v>4800000</v>
      </c>
      <c r="P745" s="492">
        <v>80</v>
      </c>
      <c r="Q745" s="362">
        <f>P745*C745</f>
        <v>4800000</v>
      </c>
      <c r="R745" s="492">
        <v>80</v>
      </c>
      <c r="S745" s="362">
        <f>R745*C745</f>
        <v>4800000</v>
      </c>
      <c r="T745" s="492">
        <v>80</v>
      </c>
      <c r="U745" s="362">
        <f>T745*C745</f>
        <v>4800000</v>
      </c>
      <c r="V745" s="492">
        <v>80</v>
      </c>
      <c r="W745" s="362">
        <f>V745*C745</f>
        <v>4800000</v>
      </c>
      <c r="X745" s="492">
        <v>80</v>
      </c>
      <c r="Y745" s="362">
        <f>X745*C745</f>
        <v>4800000</v>
      </c>
      <c r="Z745" s="492">
        <v>80</v>
      </c>
      <c r="AA745" s="362">
        <f>Z745*C745</f>
        <v>4800000</v>
      </c>
      <c r="AB745" s="361"/>
      <c r="AC745" s="342"/>
      <c r="AD745" s="348"/>
    </row>
    <row r="746" spans="1:30" s="349" customFormat="1">
      <c r="A746" s="359" t="s">
        <v>234</v>
      </c>
      <c r="B746" s="359">
        <v>100</v>
      </c>
      <c r="C746" s="504">
        <v>70000</v>
      </c>
      <c r="D746" s="359">
        <v>20</v>
      </c>
      <c r="E746" s="362">
        <f>D746*C746</f>
        <v>1400000</v>
      </c>
      <c r="F746" s="359">
        <v>20</v>
      </c>
      <c r="G746" s="362">
        <f>F746*C746</f>
        <v>1400000</v>
      </c>
      <c r="H746" s="492">
        <v>20</v>
      </c>
      <c r="I746" s="362">
        <f>H746*C746</f>
        <v>1400000</v>
      </c>
      <c r="J746" s="492">
        <v>20</v>
      </c>
      <c r="K746" s="362">
        <f>J746*C746</f>
        <v>1400000</v>
      </c>
      <c r="L746" s="492">
        <v>20</v>
      </c>
      <c r="M746" s="362">
        <f>L746*C746</f>
        <v>1400000</v>
      </c>
      <c r="N746" s="492">
        <v>20</v>
      </c>
      <c r="O746" s="362">
        <f>N746*C746</f>
        <v>1400000</v>
      </c>
      <c r="P746" s="492">
        <v>20</v>
      </c>
      <c r="Q746" s="362">
        <f>P746*C746</f>
        <v>1400000</v>
      </c>
      <c r="R746" s="492">
        <v>20</v>
      </c>
      <c r="S746" s="362">
        <f>R746*C746</f>
        <v>1400000</v>
      </c>
      <c r="T746" s="492">
        <v>20</v>
      </c>
      <c r="U746" s="362">
        <f>T746*C746</f>
        <v>1400000</v>
      </c>
      <c r="V746" s="492">
        <v>20</v>
      </c>
      <c r="W746" s="362">
        <f>V746*C746</f>
        <v>1400000</v>
      </c>
      <c r="X746" s="492">
        <v>20</v>
      </c>
      <c r="Y746" s="362">
        <f>X746*C746</f>
        <v>1400000</v>
      </c>
      <c r="Z746" s="492">
        <v>20</v>
      </c>
      <c r="AA746" s="362">
        <f>Z746*C746</f>
        <v>1400000</v>
      </c>
      <c r="AB746" s="361"/>
      <c r="AC746" s="342"/>
      <c r="AD746" s="348"/>
    </row>
    <row r="747" spans="1:30" s="349" customFormat="1">
      <c r="A747" s="359"/>
      <c r="B747" s="359"/>
      <c r="C747" s="504"/>
      <c r="D747" s="359"/>
      <c r="E747" s="362"/>
      <c r="F747" s="359"/>
      <c r="G747" s="362"/>
      <c r="H747" s="492"/>
      <c r="I747" s="362"/>
      <c r="J747" s="492"/>
      <c r="K747" s="362"/>
      <c r="L747" s="492"/>
      <c r="M747" s="362"/>
      <c r="N747" s="492"/>
      <c r="O747" s="362"/>
      <c r="P747" s="492"/>
      <c r="Q747" s="362"/>
      <c r="R747" s="492"/>
      <c r="S747" s="362"/>
      <c r="T747" s="492"/>
      <c r="U747" s="362"/>
      <c r="V747" s="492"/>
      <c r="W747" s="362"/>
      <c r="X747" s="492"/>
      <c r="Y747" s="362"/>
      <c r="Z747" s="492"/>
      <c r="AA747" s="362"/>
      <c r="AB747" s="361"/>
      <c r="AC747" s="342"/>
      <c r="AD747" s="348"/>
    </row>
    <row r="748" spans="1:30" s="349" customFormat="1">
      <c r="A748" s="359" t="s">
        <v>235</v>
      </c>
      <c r="B748" s="359">
        <v>150</v>
      </c>
      <c r="C748" s="504">
        <v>60000</v>
      </c>
      <c r="D748" s="359">
        <v>300</v>
      </c>
      <c r="E748" s="362">
        <f>D748*C748</f>
        <v>18000000</v>
      </c>
      <c r="F748" s="359">
        <v>300</v>
      </c>
      <c r="G748" s="362">
        <f>F748*C748</f>
        <v>18000000</v>
      </c>
      <c r="H748" s="492">
        <v>300</v>
      </c>
      <c r="I748" s="362">
        <f>H748*C748</f>
        <v>18000000</v>
      </c>
      <c r="J748" s="492">
        <v>300</v>
      </c>
      <c r="K748" s="362">
        <f>J748*C748</f>
        <v>18000000</v>
      </c>
      <c r="L748" s="492">
        <v>300</v>
      </c>
      <c r="M748" s="362">
        <f>L748*C748</f>
        <v>18000000</v>
      </c>
      <c r="N748" s="492">
        <v>300</v>
      </c>
      <c r="O748" s="362">
        <f>N748*C748</f>
        <v>18000000</v>
      </c>
      <c r="P748" s="492">
        <v>300</v>
      </c>
      <c r="Q748" s="362">
        <f>P748*C748</f>
        <v>18000000</v>
      </c>
      <c r="R748" s="492">
        <v>300</v>
      </c>
      <c r="S748" s="362">
        <f>R748*C748</f>
        <v>18000000</v>
      </c>
      <c r="T748" s="492">
        <v>300</v>
      </c>
      <c r="U748" s="362">
        <f>T748*C748</f>
        <v>18000000</v>
      </c>
      <c r="V748" s="492">
        <v>300</v>
      </c>
      <c r="W748" s="362">
        <f>V748*C748</f>
        <v>18000000</v>
      </c>
      <c r="X748" s="492">
        <v>300</v>
      </c>
      <c r="Y748" s="362">
        <f>X748*C748</f>
        <v>18000000</v>
      </c>
      <c r="Z748" s="492">
        <v>300</v>
      </c>
      <c r="AA748" s="362">
        <f>Z748*C748</f>
        <v>18000000</v>
      </c>
      <c r="AB748" s="361"/>
      <c r="AC748" s="342"/>
      <c r="AD748" s="348"/>
    </row>
    <row r="749" spans="1:30" s="349" customFormat="1">
      <c r="A749" s="359" t="s">
        <v>235</v>
      </c>
      <c r="B749" s="359">
        <v>250</v>
      </c>
      <c r="C749" s="504">
        <v>80000</v>
      </c>
      <c r="D749" s="359">
        <v>100</v>
      </c>
      <c r="E749" s="362">
        <f>D749*C749</f>
        <v>8000000</v>
      </c>
      <c r="F749" s="359">
        <v>100</v>
      </c>
      <c r="G749" s="362">
        <f>F749*C749</f>
        <v>8000000</v>
      </c>
      <c r="H749" s="492">
        <v>100</v>
      </c>
      <c r="I749" s="362">
        <f>H749*C749</f>
        <v>8000000</v>
      </c>
      <c r="J749" s="492">
        <v>100</v>
      </c>
      <c r="K749" s="362">
        <f>J749*C749</f>
        <v>8000000</v>
      </c>
      <c r="L749" s="492">
        <v>100</v>
      </c>
      <c r="M749" s="362">
        <f>L749*C749</f>
        <v>8000000</v>
      </c>
      <c r="N749" s="492">
        <v>100</v>
      </c>
      <c r="O749" s="362">
        <f>N749*C749</f>
        <v>8000000</v>
      </c>
      <c r="P749" s="492">
        <v>100</v>
      </c>
      <c r="Q749" s="362">
        <f>P749*C749</f>
        <v>8000000</v>
      </c>
      <c r="R749" s="492">
        <v>100</v>
      </c>
      <c r="S749" s="362">
        <f>R749*C749</f>
        <v>8000000</v>
      </c>
      <c r="T749" s="492">
        <v>100</v>
      </c>
      <c r="U749" s="362">
        <f>T749*C749</f>
        <v>8000000</v>
      </c>
      <c r="V749" s="492">
        <v>100</v>
      </c>
      <c r="W749" s="362">
        <f>V749*C749</f>
        <v>8000000</v>
      </c>
      <c r="X749" s="492">
        <v>100</v>
      </c>
      <c r="Y749" s="362">
        <f>X749*C749</f>
        <v>8000000</v>
      </c>
      <c r="Z749" s="492">
        <v>100</v>
      </c>
      <c r="AA749" s="362">
        <f>Z749*C749</f>
        <v>8000000</v>
      </c>
      <c r="AB749" s="361"/>
      <c r="AC749" s="342"/>
      <c r="AD749" s="348"/>
    </row>
    <row r="750" spans="1:30" s="349" customFormat="1">
      <c r="A750" s="359" t="s">
        <v>235</v>
      </c>
      <c r="B750" s="359">
        <v>350</v>
      </c>
      <c r="C750" s="504">
        <v>120000</v>
      </c>
      <c r="D750" s="359">
        <v>80</v>
      </c>
      <c r="E750" s="362">
        <f>D750*C750</f>
        <v>9600000</v>
      </c>
      <c r="F750" s="359">
        <v>80</v>
      </c>
      <c r="G750" s="362">
        <f>F750*C750</f>
        <v>9600000</v>
      </c>
      <c r="H750" s="492">
        <v>80</v>
      </c>
      <c r="I750" s="362">
        <f>H750*C750</f>
        <v>9600000</v>
      </c>
      <c r="J750" s="492">
        <v>80</v>
      </c>
      <c r="K750" s="362">
        <f>J750*C750</f>
        <v>9600000</v>
      </c>
      <c r="L750" s="492">
        <v>80</v>
      </c>
      <c r="M750" s="362">
        <f>L750*C750</f>
        <v>9600000</v>
      </c>
      <c r="N750" s="492">
        <v>80</v>
      </c>
      <c r="O750" s="362">
        <f>N750*C750</f>
        <v>9600000</v>
      </c>
      <c r="P750" s="492">
        <v>80</v>
      </c>
      <c r="Q750" s="362">
        <f>P750*C750</f>
        <v>9600000</v>
      </c>
      <c r="R750" s="492">
        <v>80</v>
      </c>
      <c r="S750" s="362">
        <f>R750*C750</f>
        <v>9600000</v>
      </c>
      <c r="T750" s="492">
        <v>80</v>
      </c>
      <c r="U750" s="362">
        <f>T750*C750</f>
        <v>9600000</v>
      </c>
      <c r="V750" s="492">
        <v>80</v>
      </c>
      <c r="W750" s="362">
        <f>V750*C750</f>
        <v>9600000</v>
      </c>
      <c r="X750" s="492">
        <v>80</v>
      </c>
      <c r="Y750" s="362">
        <f>X750*C750</f>
        <v>9600000</v>
      </c>
      <c r="Z750" s="492">
        <v>80</v>
      </c>
      <c r="AA750" s="362">
        <f>Z750*C750</f>
        <v>9600000</v>
      </c>
      <c r="AB750" s="361"/>
      <c r="AC750" s="342"/>
      <c r="AD750" s="348"/>
    </row>
    <row r="751" spans="1:30" s="349" customFormat="1">
      <c r="A751" s="359" t="s">
        <v>235</v>
      </c>
      <c r="B751" s="359">
        <v>500</v>
      </c>
      <c r="C751" s="504">
        <v>150000</v>
      </c>
      <c r="D751" s="359">
        <v>20</v>
      </c>
      <c r="E751" s="362">
        <f>D751*C751</f>
        <v>3000000</v>
      </c>
      <c r="F751" s="359">
        <v>20</v>
      </c>
      <c r="G751" s="362">
        <f>F751*C751</f>
        <v>3000000</v>
      </c>
      <c r="H751" s="492">
        <v>20</v>
      </c>
      <c r="I751" s="362">
        <f>H751*C751</f>
        <v>3000000</v>
      </c>
      <c r="J751" s="492">
        <v>20</v>
      </c>
      <c r="K751" s="362">
        <f>J751*C751</f>
        <v>3000000</v>
      </c>
      <c r="L751" s="492">
        <v>20</v>
      </c>
      <c r="M751" s="362">
        <f>L751*C751</f>
        <v>3000000</v>
      </c>
      <c r="N751" s="492">
        <v>20</v>
      </c>
      <c r="O751" s="362">
        <f>N751*C751</f>
        <v>3000000</v>
      </c>
      <c r="P751" s="492">
        <v>20</v>
      </c>
      <c r="Q751" s="362">
        <f>P751*C751</f>
        <v>3000000</v>
      </c>
      <c r="R751" s="492">
        <v>20</v>
      </c>
      <c r="S751" s="362">
        <f>R751*C751</f>
        <v>3000000</v>
      </c>
      <c r="T751" s="492">
        <v>20</v>
      </c>
      <c r="U751" s="362">
        <f>T751*C751</f>
        <v>3000000</v>
      </c>
      <c r="V751" s="492">
        <v>20</v>
      </c>
      <c r="W751" s="362">
        <f>V751*C751</f>
        <v>3000000</v>
      </c>
      <c r="X751" s="492">
        <v>20</v>
      </c>
      <c r="Y751" s="362">
        <f>X751*C751</f>
        <v>3000000</v>
      </c>
      <c r="Z751" s="492">
        <v>20</v>
      </c>
      <c r="AA751" s="362">
        <f>Z751*C751</f>
        <v>3000000</v>
      </c>
      <c r="AB751" s="361"/>
      <c r="AC751" s="342"/>
      <c r="AD751" s="348"/>
    </row>
    <row r="752" spans="1:30" s="349" customFormat="1">
      <c r="A752" s="359"/>
      <c r="B752" s="359"/>
      <c r="C752" s="504"/>
      <c r="D752" s="359"/>
      <c r="E752" s="362"/>
      <c r="F752" s="359"/>
      <c r="G752" s="362"/>
      <c r="H752" s="492"/>
      <c r="I752" s="362"/>
      <c r="J752" s="492"/>
      <c r="K752" s="362"/>
      <c r="L752" s="492"/>
      <c r="M752" s="362"/>
      <c r="N752" s="492"/>
      <c r="O752" s="362"/>
      <c r="P752" s="492"/>
      <c r="Q752" s="362"/>
      <c r="R752" s="492"/>
      <c r="S752" s="362"/>
      <c r="T752" s="492"/>
      <c r="U752" s="362"/>
      <c r="V752" s="492"/>
      <c r="W752" s="362"/>
      <c r="X752" s="492"/>
      <c r="Y752" s="362"/>
      <c r="Z752" s="492"/>
      <c r="AA752" s="362"/>
      <c r="AB752" s="361"/>
      <c r="AC752" s="342"/>
      <c r="AD752" s="348"/>
    </row>
    <row r="753" spans="1:30" s="349" customFormat="1">
      <c r="A753" s="359"/>
      <c r="B753" s="359"/>
      <c r="C753" s="504"/>
      <c r="D753" s="359"/>
      <c r="E753" s="362"/>
      <c r="F753" s="359"/>
      <c r="G753" s="362"/>
      <c r="H753" s="359"/>
      <c r="I753" s="362"/>
      <c r="J753" s="359"/>
      <c r="K753" s="362"/>
      <c r="L753" s="359"/>
      <c r="M753" s="362"/>
      <c r="N753" s="359"/>
      <c r="O753" s="362"/>
      <c r="P753" s="359"/>
      <c r="Q753" s="362"/>
      <c r="R753" s="359"/>
      <c r="S753" s="362"/>
      <c r="T753" s="359"/>
      <c r="U753" s="362"/>
      <c r="V753" s="359"/>
      <c r="W753" s="362"/>
      <c r="X753" s="359"/>
      <c r="Y753" s="362"/>
      <c r="Z753" s="359"/>
      <c r="AA753" s="362"/>
      <c r="AB753" s="360"/>
      <c r="AC753" s="342"/>
      <c r="AD753" s="348"/>
    </row>
    <row r="754" spans="1:30" s="479" customFormat="1">
      <c r="A754" s="474"/>
      <c r="B754" s="474"/>
      <c r="C754" s="505"/>
      <c r="D754" s="474">
        <v>0.1</v>
      </c>
      <c r="E754" s="475">
        <f>SUM(E743:E752)</f>
        <v>58300000</v>
      </c>
      <c r="F754" s="474">
        <v>0.1</v>
      </c>
      <c r="G754" s="475">
        <f>SUM(G743:G752)</f>
        <v>58300000</v>
      </c>
      <c r="H754" s="474">
        <v>0.1</v>
      </c>
      <c r="I754" s="475">
        <f>SUM(I743:I752)</f>
        <v>58300000</v>
      </c>
      <c r="J754" s="474">
        <v>0.1</v>
      </c>
      <c r="K754" s="475">
        <f>SUM(K743:K752)</f>
        <v>58300000</v>
      </c>
      <c r="L754" s="474">
        <v>0.1</v>
      </c>
      <c r="M754" s="475">
        <f>SUM(M743:M752)</f>
        <v>58300000</v>
      </c>
      <c r="N754" s="474">
        <v>0.1</v>
      </c>
      <c r="O754" s="475">
        <f>SUM(O743:O752)</f>
        <v>58300000</v>
      </c>
      <c r="P754" s="474">
        <v>0.1</v>
      </c>
      <c r="Q754" s="475">
        <f>SUM(Q743:Q752)</f>
        <v>58300000</v>
      </c>
      <c r="R754" s="474">
        <v>0.1</v>
      </c>
      <c r="S754" s="475">
        <f>SUM(S743:S752)</f>
        <v>58300000</v>
      </c>
      <c r="T754" s="474">
        <v>0.1</v>
      </c>
      <c r="U754" s="475">
        <f>SUM(U743:U752)</f>
        <v>58300000</v>
      </c>
      <c r="V754" s="474">
        <v>0.1</v>
      </c>
      <c r="W754" s="475">
        <f>SUM(W743:W752)</f>
        <v>58300000</v>
      </c>
      <c r="X754" s="474">
        <v>0.1</v>
      </c>
      <c r="Y754" s="475">
        <f>SUM(Y743:Y752)</f>
        <v>58300000</v>
      </c>
      <c r="Z754" s="474">
        <v>0.1</v>
      </c>
      <c r="AA754" s="475">
        <f>SUM(AA743:AA752)</f>
        <v>58300000</v>
      </c>
      <c r="AB754" s="476"/>
      <c r="AC754" s="477"/>
      <c r="AD754" s="478"/>
    </row>
    <row r="755" spans="1:30" s="485" customFormat="1">
      <c r="A755" s="480"/>
      <c r="B755" s="480"/>
      <c r="C755" s="507"/>
      <c r="D755" s="480"/>
      <c r="E755" s="481">
        <f>E754*D754</f>
        <v>5830000</v>
      </c>
      <c r="F755" s="480"/>
      <c r="G755" s="482">
        <f>G754*F754</f>
        <v>5830000</v>
      </c>
      <c r="H755" s="480"/>
      <c r="I755" s="481">
        <f>I754*H754</f>
        <v>5830000</v>
      </c>
      <c r="J755" s="480"/>
      <c r="K755" s="481">
        <f>K754*J754</f>
        <v>5830000</v>
      </c>
      <c r="L755" s="480"/>
      <c r="M755" s="481">
        <f>M754*L754</f>
        <v>5830000</v>
      </c>
      <c r="N755" s="480"/>
      <c r="O755" s="481">
        <f>O754*N754</f>
        <v>5830000</v>
      </c>
      <c r="P755" s="480"/>
      <c r="Q755" s="481">
        <f>Q754*P754</f>
        <v>5830000</v>
      </c>
      <c r="R755" s="480"/>
      <c r="S755" s="481">
        <f>S754*R754</f>
        <v>5830000</v>
      </c>
      <c r="T755" s="480"/>
      <c r="U755" s="481">
        <f>U754*T754</f>
        <v>5830000</v>
      </c>
      <c r="V755" s="480"/>
      <c r="W755" s="481">
        <f>W754*V754</f>
        <v>5830000</v>
      </c>
      <c r="X755" s="480"/>
      <c r="Y755" s="481">
        <f>Y754*X754</f>
        <v>5830000</v>
      </c>
      <c r="Z755" s="480"/>
      <c r="AA755" s="481">
        <f>AA754*Z754</f>
        <v>5830000</v>
      </c>
      <c r="AB755" s="481">
        <f>SUM(AA755,Y755,W755,U755,S755,Q755,O755,M755,K755,I755,G755,E755)</f>
        <v>69960000</v>
      </c>
      <c r="AC755" s="483"/>
      <c r="AD755" s="484"/>
    </row>
    <row r="756" spans="1:30" s="349" customFormat="1">
      <c r="A756" s="359"/>
      <c r="B756" s="359"/>
      <c r="C756" s="504"/>
      <c r="D756" s="359"/>
      <c r="E756" s="472"/>
      <c r="F756" s="359"/>
      <c r="G756" s="471"/>
      <c r="H756" s="359"/>
      <c r="I756" s="472"/>
      <c r="J756" s="359"/>
      <c r="K756" s="472"/>
      <c r="L756" s="359"/>
      <c r="M756" s="472"/>
      <c r="N756" s="359"/>
      <c r="O756" s="472"/>
      <c r="P756" s="359"/>
      <c r="Q756" s="472"/>
      <c r="R756" s="359"/>
      <c r="S756" s="472"/>
      <c r="T756" s="359"/>
      <c r="U756" s="472"/>
      <c r="V756" s="359"/>
      <c r="W756" s="472"/>
      <c r="X756" s="359"/>
      <c r="Y756" s="472"/>
      <c r="Z756" s="359"/>
      <c r="AA756" s="472"/>
      <c r="AB756" s="472"/>
      <c r="AC756" s="342"/>
      <c r="AD756" s="473"/>
    </row>
    <row r="757" spans="1:30" s="349" customFormat="1">
      <c r="A757" s="359" t="s">
        <v>236</v>
      </c>
      <c r="B757" s="359">
        <v>26</v>
      </c>
      <c r="C757" s="504">
        <v>10000</v>
      </c>
      <c r="D757" s="359">
        <v>300</v>
      </c>
      <c r="E757" s="362">
        <f>D757*C757</f>
        <v>3000000</v>
      </c>
      <c r="F757" s="359">
        <v>300</v>
      </c>
      <c r="G757" s="362">
        <f>F757*C757</f>
        <v>3000000</v>
      </c>
      <c r="H757" s="491">
        <v>300</v>
      </c>
      <c r="I757" s="362">
        <f>H757*C757</f>
        <v>3000000</v>
      </c>
      <c r="J757" s="491">
        <v>300</v>
      </c>
      <c r="K757" s="362">
        <f>J757*C757</f>
        <v>3000000</v>
      </c>
      <c r="L757" s="491">
        <v>300</v>
      </c>
      <c r="M757" s="362">
        <f>L757*C757</f>
        <v>3000000</v>
      </c>
      <c r="N757" s="491">
        <v>300</v>
      </c>
      <c r="O757" s="362">
        <f>N757*C757</f>
        <v>3000000</v>
      </c>
      <c r="P757" s="491">
        <v>300</v>
      </c>
      <c r="Q757" s="362">
        <f>P757*C757</f>
        <v>3000000</v>
      </c>
      <c r="R757" s="491">
        <v>300</v>
      </c>
      <c r="S757" s="362">
        <f>R757*C757</f>
        <v>3000000</v>
      </c>
      <c r="T757" s="491">
        <v>300</v>
      </c>
      <c r="U757" s="362">
        <f>T757*C757</f>
        <v>3000000</v>
      </c>
      <c r="V757" s="491">
        <v>300</v>
      </c>
      <c r="W757" s="362">
        <f>V757*C757</f>
        <v>3000000</v>
      </c>
      <c r="X757" s="491">
        <v>300</v>
      </c>
      <c r="Y757" s="362">
        <f>X757*C757</f>
        <v>3000000</v>
      </c>
      <c r="Z757" s="491">
        <v>300</v>
      </c>
      <c r="AA757" s="362">
        <f>Z757*C757</f>
        <v>3000000</v>
      </c>
      <c r="AB757" s="361"/>
      <c r="AC757" s="342"/>
      <c r="AD757" s="348"/>
    </row>
    <row r="758" spans="1:30" s="349" customFormat="1">
      <c r="A758" s="359" t="s">
        <v>236</v>
      </c>
      <c r="B758" s="359">
        <v>33</v>
      </c>
      <c r="C758" s="504">
        <v>14000</v>
      </c>
      <c r="D758" s="359">
        <v>100</v>
      </c>
      <c r="E758" s="362">
        <f>D758*C758</f>
        <v>1400000</v>
      </c>
      <c r="F758" s="359">
        <v>100</v>
      </c>
      <c r="G758" s="362">
        <f>F758*C758</f>
        <v>1400000</v>
      </c>
      <c r="H758" s="492">
        <v>100</v>
      </c>
      <c r="I758" s="362">
        <f>H758*C758</f>
        <v>1400000</v>
      </c>
      <c r="J758" s="492">
        <v>100</v>
      </c>
      <c r="K758" s="362">
        <f>J758*C758</f>
        <v>1400000</v>
      </c>
      <c r="L758" s="492">
        <v>100</v>
      </c>
      <c r="M758" s="362">
        <f>L758*C758</f>
        <v>1400000</v>
      </c>
      <c r="N758" s="492">
        <v>100</v>
      </c>
      <c r="O758" s="362">
        <f>N758*C758</f>
        <v>1400000</v>
      </c>
      <c r="P758" s="492">
        <v>100</v>
      </c>
      <c r="Q758" s="362">
        <f>P758*C758</f>
        <v>1400000</v>
      </c>
      <c r="R758" s="492">
        <v>100</v>
      </c>
      <c r="S758" s="362">
        <f>R758*C758</f>
        <v>1400000</v>
      </c>
      <c r="T758" s="492">
        <v>100</v>
      </c>
      <c r="U758" s="362">
        <f>T758*C758</f>
        <v>1400000</v>
      </c>
      <c r="V758" s="492">
        <v>100</v>
      </c>
      <c r="W758" s="362">
        <f>V758*C758</f>
        <v>1400000</v>
      </c>
      <c r="X758" s="492">
        <v>100</v>
      </c>
      <c r="Y758" s="362">
        <f>X758*C758</f>
        <v>1400000</v>
      </c>
      <c r="Z758" s="492">
        <v>100</v>
      </c>
      <c r="AA758" s="362">
        <f>Z758*C758</f>
        <v>1400000</v>
      </c>
      <c r="AB758" s="361"/>
      <c r="AC758" s="342"/>
      <c r="AD758" s="348"/>
    </row>
    <row r="759" spans="1:30" s="349" customFormat="1">
      <c r="A759" s="359" t="s">
        <v>236</v>
      </c>
      <c r="B759" s="359">
        <v>64</v>
      </c>
      <c r="C759" s="504">
        <v>85000</v>
      </c>
      <c r="D759" s="359">
        <v>80</v>
      </c>
      <c r="E759" s="362">
        <f>D759*C759</f>
        <v>6800000</v>
      </c>
      <c r="F759" s="359">
        <v>80</v>
      </c>
      <c r="G759" s="362">
        <f>F759*C759</f>
        <v>6800000</v>
      </c>
      <c r="H759" s="492">
        <v>80</v>
      </c>
      <c r="I759" s="362">
        <f>H759*C759</f>
        <v>6800000</v>
      </c>
      <c r="J759" s="492">
        <v>80</v>
      </c>
      <c r="K759" s="362">
        <f>J759*C759</f>
        <v>6800000</v>
      </c>
      <c r="L759" s="492">
        <v>80</v>
      </c>
      <c r="M759" s="362">
        <f>L759*C759</f>
        <v>6800000</v>
      </c>
      <c r="N759" s="492">
        <v>80</v>
      </c>
      <c r="O759" s="362">
        <f>N759*C759</f>
        <v>6800000</v>
      </c>
      <c r="P759" s="492">
        <v>80</v>
      </c>
      <c r="Q759" s="362">
        <f>P759*C759</f>
        <v>6800000</v>
      </c>
      <c r="R759" s="492">
        <v>80</v>
      </c>
      <c r="S759" s="362">
        <f>R759*C759</f>
        <v>6800000</v>
      </c>
      <c r="T759" s="492">
        <v>80</v>
      </c>
      <c r="U759" s="362">
        <f>T759*C759</f>
        <v>6800000</v>
      </c>
      <c r="V759" s="492">
        <v>80</v>
      </c>
      <c r="W759" s="362">
        <f>V759*C759</f>
        <v>6800000</v>
      </c>
      <c r="X759" s="492">
        <v>80</v>
      </c>
      <c r="Y759" s="362">
        <f>X759*C759</f>
        <v>6800000</v>
      </c>
      <c r="Z759" s="492">
        <v>80</v>
      </c>
      <c r="AA759" s="362">
        <f>Z759*C759</f>
        <v>6800000</v>
      </c>
      <c r="AB759" s="361"/>
      <c r="AC759" s="342"/>
      <c r="AD759" s="348"/>
    </row>
    <row r="760" spans="1:30" s="349" customFormat="1">
      <c r="A760" s="359" t="s">
        <v>236</v>
      </c>
      <c r="B760" s="359">
        <v>100</v>
      </c>
      <c r="C760" s="504">
        <v>85000</v>
      </c>
      <c r="D760" s="359">
        <v>20</v>
      </c>
      <c r="E760" s="362">
        <f>D760*C760</f>
        <v>1700000</v>
      </c>
      <c r="F760" s="359">
        <v>20</v>
      </c>
      <c r="G760" s="362">
        <f>F760*C760</f>
        <v>1700000</v>
      </c>
      <c r="H760" s="492">
        <v>20</v>
      </c>
      <c r="I760" s="362">
        <f>H760*C760</f>
        <v>1700000</v>
      </c>
      <c r="J760" s="492">
        <v>20</v>
      </c>
      <c r="K760" s="362">
        <f>J760*C760</f>
        <v>1700000</v>
      </c>
      <c r="L760" s="492">
        <v>20</v>
      </c>
      <c r="M760" s="362">
        <f>L760*C760</f>
        <v>1700000</v>
      </c>
      <c r="N760" s="492">
        <v>20</v>
      </c>
      <c r="O760" s="362">
        <f>N760*C760</f>
        <v>1700000</v>
      </c>
      <c r="P760" s="492">
        <v>20</v>
      </c>
      <c r="Q760" s="362">
        <f>P760*C760</f>
        <v>1700000</v>
      </c>
      <c r="R760" s="492">
        <v>20</v>
      </c>
      <c r="S760" s="362">
        <f>R760*C760</f>
        <v>1700000</v>
      </c>
      <c r="T760" s="492">
        <v>20</v>
      </c>
      <c r="U760" s="362">
        <f>T760*C760</f>
        <v>1700000</v>
      </c>
      <c r="V760" s="492">
        <v>20</v>
      </c>
      <c r="W760" s="362">
        <f>V760*C760</f>
        <v>1700000</v>
      </c>
      <c r="X760" s="492">
        <v>20</v>
      </c>
      <c r="Y760" s="362">
        <f>X760*C760</f>
        <v>1700000</v>
      </c>
      <c r="Z760" s="492">
        <v>20</v>
      </c>
      <c r="AA760" s="362">
        <f>Z760*C760</f>
        <v>1700000</v>
      </c>
      <c r="AB760" s="361"/>
      <c r="AC760" s="342"/>
      <c r="AD760" s="348"/>
    </row>
    <row r="761" spans="1:30" s="349" customFormat="1">
      <c r="A761" s="359"/>
      <c r="B761" s="359"/>
      <c r="C761" s="504"/>
      <c r="D761" s="359"/>
      <c r="E761" s="362"/>
      <c r="F761" s="359"/>
      <c r="G761" s="362"/>
      <c r="H761" s="492"/>
      <c r="I761" s="362"/>
      <c r="J761" s="492"/>
      <c r="K761" s="362"/>
      <c r="L761" s="492"/>
      <c r="M761" s="362"/>
      <c r="N761" s="492"/>
      <c r="O761" s="362"/>
      <c r="P761" s="492"/>
      <c r="Q761" s="362"/>
      <c r="R761" s="492"/>
      <c r="S761" s="362"/>
      <c r="T761" s="492"/>
      <c r="U761" s="362"/>
      <c r="V761" s="492"/>
      <c r="W761" s="362"/>
      <c r="X761" s="492"/>
      <c r="Y761" s="362"/>
      <c r="Z761" s="492"/>
      <c r="AA761" s="362"/>
      <c r="AB761" s="361"/>
      <c r="AC761" s="342"/>
      <c r="AD761" s="348"/>
    </row>
    <row r="762" spans="1:30" s="349" customFormat="1">
      <c r="A762" s="359" t="s">
        <v>237</v>
      </c>
      <c r="B762" s="359">
        <v>150</v>
      </c>
      <c r="C762" s="504">
        <v>85000</v>
      </c>
      <c r="D762" s="359">
        <v>300</v>
      </c>
      <c r="E762" s="362">
        <f>D762*C762</f>
        <v>25500000</v>
      </c>
      <c r="F762" s="359">
        <v>300</v>
      </c>
      <c r="G762" s="362">
        <f>F762*C762</f>
        <v>25500000</v>
      </c>
      <c r="H762" s="492">
        <v>300</v>
      </c>
      <c r="I762" s="362">
        <f>H762*C762</f>
        <v>25500000</v>
      </c>
      <c r="J762" s="492">
        <v>300</v>
      </c>
      <c r="K762" s="362">
        <f>J762*C762</f>
        <v>25500000</v>
      </c>
      <c r="L762" s="492">
        <v>300</v>
      </c>
      <c r="M762" s="362">
        <f>L762*C762</f>
        <v>25500000</v>
      </c>
      <c r="N762" s="492">
        <v>300</v>
      </c>
      <c r="O762" s="362">
        <f>N762*C762</f>
        <v>25500000</v>
      </c>
      <c r="P762" s="492">
        <v>300</v>
      </c>
      <c r="Q762" s="362">
        <f>P762*C762</f>
        <v>25500000</v>
      </c>
      <c r="R762" s="492">
        <v>300</v>
      </c>
      <c r="S762" s="362">
        <f>R762*C762</f>
        <v>25500000</v>
      </c>
      <c r="T762" s="492">
        <v>300</v>
      </c>
      <c r="U762" s="362">
        <f>T762*C762</f>
        <v>25500000</v>
      </c>
      <c r="V762" s="492">
        <v>300</v>
      </c>
      <c r="W762" s="362">
        <f>V762*C762</f>
        <v>25500000</v>
      </c>
      <c r="X762" s="492">
        <v>300</v>
      </c>
      <c r="Y762" s="362">
        <f>X762*C762</f>
        <v>25500000</v>
      </c>
      <c r="Z762" s="492">
        <v>300</v>
      </c>
      <c r="AA762" s="362">
        <f>Z762*C762</f>
        <v>25500000</v>
      </c>
      <c r="AB762" s="361"/>
      <c r="AC762" s="342"/>
      <c r="AD762" s="348"/>
    </row>
    <row r="763" spans="1:30" s="349" customFormat="1">
      <c r="A763" s="359" t="s">
        <v>237</v>
      </c>
      <c r="B763" s="359">
        <v>250</v>
      </c>
      <c r="C763" s="504">
        <v>85000</v>
      </c>
      <c r="D763" s="359">
        <v>100</v>
      </c>
      <c r="E763" s="362">
        <f>D763*C763</f>
        <v>8500000</v>
      </c>
      <c r="F763" s="359">
        <v>100</v>
      </c>
      <c r="G763" s="362">
        <f>F763*C763</f>
        <v>8500000</v>
      </c>
      <c r="H763" s="492">
        <v>100</v>
      </c>
      <c r="I763" s="362">
        <f>H763*C763</f>
        <v>8500000</v>
      </c>
      <c r="J763" s="492">
        <v>100</v>
      </c>
      <c r="K763" s="362">
        <f>J763*C763</f>
        <v>8500000</v>
      </c>
      <c r="L763" s="492">
        <v>100</v>
      </c>
      <c r="M763" s="362">
        <f>L763*C763</f>
        <v>8500000</v>
      </c>
      <c r="N763" s="492">
        <v>100</v>
      </c>
      <c r="O763" s="362">
        <f>N763*C763</f>
        <v>8500000</v>
      </c>
      <c r="P763" s="492">
        <v>100</v>
      </c>
      <c r="Q763" s="362">
        <f>P763*C763</f>
        <v>8500000</v>
      </c>
      <c r="R763" s="492">
        <v>100</v>
      </c>
      <c r="S763" s="362">
        <f>R763*C763</f>
        <v>8500000</v>
      </c>
      <c r="T763" s="492">
        <v>100</v>
      </c>
      <c r="U763" s="362">
        <f>T763*C763</f>
        <v>8500000</v>
      </c>
      <c r="V763" s="492">
        <v>100</v>
      </c>
      <c r="W763" s="362">
        <f>V763*C763</f>
        <v>8500000</v>
      </c>
      <c r="X763" s="492">
        <v>100</v>
      </c>
      <c r="Y763" s="362">
        <f>X763*C763</f>
        <v>8500000</v>
      </c>
      <c r="Z763" s="492">
        <v>100</v>
      </c>
      <c r="AA763" s="362">
        <f>Z763*C763</f>
        <v>8500000</v>
      </c>
      <c r="AB763" s="361"/>
      <c r="AC763" s="342"/>
      <c r="AD763" s="348"/>
    </row>
    <row r="764" spans="1:30" s="349" customFormat="1">
      <c r="A764" s="359" t="s">
        <v>237</v>
      </c>
      <c r="B764" s="359">
        <v>350</v>
      </c>
      <c r="C764" s="504">
        <v>120000</v>
      </c>
      <c r="D764" s="359">
        <v>80</v>
      </c>
      <c r="E764" s="362">
        <f>D764*C764</f>
        <v>9600000</v>
      </c>
      <c r="F764" s="359">
        <v>80</v>
      </c>
      <c r="G764" s="362">
        <f>F764*C764</f>
        <v>9600000</v>
      </c>
      <c r="H764" s="492">
        <v>80</v>
      </c>
      <c r="I764" s="362">
        <f>H764*C764</f>
        <v>9600000</v>
      </c>
      <c r="J764" s="492">
        <v>80</v>
      </c>
      <c r="K764" s="362">
        <f>J764*C764</f>
        <v>9600000</v>
      </c>
      <c r="L764" s="492">
        <v>80</v>
      </c>
      <c r="M764" s="362">
        <f>L764*C764</f>
        <v>9600000</v>
      </c>
      <c r="N764" s="492">
        <v>80</v>
      </c>
      <c r="O764" s="362">
        <f>N764*C764</f>
        <v>9600000</v>
      </c>
      <c r="P764" s="492">
        <v>80</v>
      </c>
      <c r="Q764" s="362">
        <f>P764*C764</f>
        <v>9600000</v>
      </c>
      <c r="R764" s="492">
        <v>80</v>
      </c>
      <c r="S764" s="362">
        <f>R764*C764</f>
        <v>9600000</v>
      </c>
      <c r="T764" s="492">
        <v>80</v>
      </c>
      <c r="U764" s="362">
        <f>T764*C764</f>
        <v>9600000</v>
      </c>
      <c r="V764" s="492">
        <v>80</v>
      </c>
      <c r="W764" s="362">
        <f>V764*C764</f>
        <v>9600000</v>
      </c>
      <c r="X764" s="492">
        <v>80</v>
      </c>
      <c r="Y764" s="362">
        <f>X764*C764</f>
        <v>9600000</v>
      </c>
      <c r="Z764" s="492">
        <v>80</v>
      </c>
      <c r="AA764" s="362">
        <f>Z764*C764</f>
        <v>9600000</v>
      </c>
      <c r="AB764" s="361"/>
      <c r="AC764" s="342"/>
      <c r="AD764" s="348"/>
    </row>
    <row r="765" spans="1:30" s="349" customFormat="1">
      <c r="A765" s="359" t="s">
        <v>237</v>
      </c>
      <c r="B765" s="359">
        <v>500</v>
      </c>
      <c r="C765" s="504">
        <v>250000</v>
      </c>
      <c r="D765" s="359">
        <v>20</v>
      </c>
      <c r="E765" s="362">
        <f>D765*C765</f>
        <v>5000000</v>
      </c>
      <c r="F765" s="359">
        <v>20</v>
      </c>
      <c r="G765" s="362">
        <f>F765*C765</f>
        <v>5000000</v>
      </c>
      <c r="H765" s="492">
        <v>20</v>
      </c>
      <c r="I765" s="362">
        <f>H765*C765</f>
        <v>5000000</v>
      </c>
      <c r="J765" s="492">
        <v>20</v>
      </c>
      <c r="K765" s="362">
        <f>J765*C765</f>
        <v>5000000</v>
      </c>
      <c r="L765" s="492">
        <v>20</v>
      </c>
      <c r="M765" s="362">
        <f>L765*C765</f>
        <v>5000000</v>
      </c>
      <c r="N765" s="492">
        <v>20</v>
      </c>
      <c r="O765" s="362">
        <f>N765*C765</f>
        <v>5000000</v>
      </c>
      <c r="P765" s="492">
        <v>20</v>
      </c>
      <c r="Q765" s="362">
        <f>P765*C765</f>
        <v>5000000</v>
      </c>
      <c r="R765" s="492">
        <v>20</v>
      </c>
      <c r="S765" s="362">
        <f>R765*C765</f>
        <v>5000000</v>
      </c>
      <c r="T765" s="492">
        <v>20</v>
      </c>
      <c r="U765" s="362">
        <f>T765*C765</f>
        <v>5000000</v>
      </c>
      <c r="V765" s="492">
        <v>20</v>
      </c>
      <c r="W765" s="362">
        <f>V765*C765</f>
        <v>5000000</v>
      </c>
      <c r="X765" s="492">
        <v>20</v>
      </c>
      <c r="Y765" s="362">
        <f>X765*C765</f>
        <v>5000000</v>
      </c>
      <c r="Z765" s="492">
        <v>20</v>
      </c>
      <c r="AA765" s="362">
        <f>Z765*C765</f>
        <v>5000000</v>
      </c>
      <c r="AB765" s="361"/>
      <c r="AC765" s="342"/>
      <c r="AD765" s="348"/>
    </row>
    <row r="766" spans="1:30" s="349" customFormat="1">
      <c r="A766" s="359"/>
      <c r="B766" s="359"/>
      <c r="C766" s="504"/>
      <c r="D766" s="359"/>
      <c r="E766" s="362"/>
      <c r="F766" s="359"/>
      <c r="G766" s="362"/>
      <c r="H766" s="492"/>
      <c r="I766" s="362"/>
      <c r="J766" s="492"/>
      <c r="K766" s="362"/>
      <c r="L766" s="492"/>
      <c r="M766" s="362"/>
      <c r="N766" s="492"/>
      <c r="O766" s="362"/>
      <c r="P766" s="492"/>
      <c r="Q766" s="362"/>
      <c r="R766" s="492"/>
      <c r="S766" s="362"/>
      <c r="T766" s="492"/>
      <c r="U766" s="362"/>
      <c r="V766" s="492"/>
      <c r="W766" s="362"/>
      <c r="X766" s="492"/>
      <c r="Y766" s="362"/>
      <c r="Z766" s="492"/>
      <c r="AA766" s="362"/>
      <c r="AB766" s="361"/>
      <c r="AC766" s="342"/>
      <c r="AD766" s="348"/>
    </row>
    <row r="767" spans="1:30" s="349" customFormat="1">
      <c r="A767" s="359" t="s">
        <v>238</v>
      </c>
      <c r="B767" s="359">
        <v>100</v>
      </c>
      <c r="C767" s="504">
        <v>85000</v>
      </c>
      <c r="D767" s="359">
        <v>100</v>
      </c>
      <c r="E767" s="362">
        <f>D767*C767</f>
        <v>8500000</v>
      </c>
      <c r="F767" s="359">
        <v>100</v>
      </c>
      <c r="G767" s="362">
        <f>F767*C767</f>
        <v>8500000</v>
      </c>
      <c r="H767" s="359">
        <v>100</v>
      </c>
      <c r="I767" s="362">
        <f>H767*C767</f>
        <v>8500000</v>
      </c>
      <c r="J767" s="359">
        <v>100</v>
      </c>
      <c r="K767" s="362">
        <f>J767*C767</f>
        <v>8500000</v>
      </c>
      <c r="L767" s="359">
        <v>100</v>
      </c>
      <c r="M767" s="362">
        <f>L767*C767</f>
        <v>8500000</v>
      </c>
      <c r="N767" s="359">
        <v>100</v>
      </c>
      <c r="O767" s="362">
        <f>N767*C767</f>
        <v>8500000</v>
      </c>
      <c r="P767" s="359">
        <v>100</v>
      </c>
      <c r="Q767" s="362">
        <f>P767*C767</f>
        <v>8500000</v>
      </c>
      <c r="R767" s="359">
        <v>100</v>
      </c>
      <c r="S767" s="362">
        <f>R767*C767</f>
        <v>8500000</v>
      </c>
      <c r="T767" s="359">
        <v>100</v>
      </c>
      <c r="U767" s="362">
        <f>T767*C767</f>
        <v>8500000</v>
      </c>
      <c r="V767" s="359">
        <v>100</v>
      </c>
      <c r="W767" s="362">
        <f>V767*C767</f>
        <v>8500000</v>
      </c>
      <c r="X767" s="359">
        <v>100</v>
      </c>
      <c r="Y767" s="362">
        <f>X767*C767</f>
        <v>8500000</v>
      </c>
      <c r="Z767" s="359">
        <v>100</v>
      </c>
      <c r="AA767" s="362">
        <f>Z767*C767</f>
        <v>8500000</v>
      </c>
      <c r="AB767" s="361"/>
      <c r="AC767" s="342"/>
      <c r="AD767" s="348"/>
    </row>
    <row r="768" spans="1:30" s="349" customFormat="1">
      <c r="A768" s="359" t="s">
        <v>238</v>
      </c>
      <c r="B768" s="359">
        <v>150</v>
      </c>
      <c r="C768" s="504">
        <v>85000</v>
      </c>
      <c r="D768" s="359">
        <v>80</v>
      </c>
      <c r="E768" s="362">
        <f>D768*C768</f>
        <v>6800000</v>
      </c>
      <c r="F768" s="359">
        <v>80</v>
      </c>
      <c r="G768" s="362">
        <f>F768*C768</f>
        <v>6800000</v>
      </c>
      <c r="H768" s="359">
        <v>80</v>
      </c>
      <c r="I768" s="362">
        <f>H768*C768</f>
        <v>6800000</v>
      </c>
      <c r="J768" s="359">
        <v>80</v>
      </c>
      <c r="K768" s="362">
        <f>J768*C768</f>
        <v>6800000</v>
      </c>
      <c r="L768" s="359">
        <v>80</v>
      </c>
      <c r="M768" s="362">
        <f>L768*C768</f>
        <v>6800000</v>
      </c>
      <c r="N768" s="359">
        <v>80</v>
      </c>
      <c r="O768" s="362">
        <f>N768*C768</f>
        <v>6800000</v>
      </c>
      <c r="P768" s="359">
        <v>80</v>
      </c>
      <c r="Q768" s="362">
        <f>P768*C768</f>
        <v>6800000</v>
      </c>
      <c r="R768" s="359">
        <v>80</v>
      </c>
      <c r="S768" s="362">
        <f>R768*C768</f>
        <v>6800000</v>
      </c>
      <c r="T768" s="359">
        <v>80</v>
      </c>
      <c r="U768" s="362">
        <f>T768*C768</f>
        <v>6800000</v>
      </c>
      <c r="V768" s="359">
        <v>80</v>
      </c>
      <c r="W768" s="362">
        <f>V768*C768</f>
        <v>6800000</v>
      </c>
      <c r="X768" s="359">
        <v>80</v>
      </c>
      <c r="Y768" s="362">
        <f>X768*C768</f>
        <v>6800000</v>
      </c>
      <c r="Z768" s="359">
        <v>80</v>
      </c>
      <c r="AA768" s="362">
        <f>Z768*C768</f>
        <v>6800000</v>
      </c>
      <c r="AB768" s="361"/>
      <c r="AC768" s="342"/>
      <c r="AD768" s="348"/>
    </row>
    <row r="769" spans="1:30" s="349" customFormat="1">
      <c r="A769" s="359" t="s">
        <v>238</v>
      </c>
      <c r="B769" s="359">
        <v>250</v>
      </c>
      <c r="C769" s="504">
        <v>85000</v>
      </c>
      <c r="D769" s="359">
        <v>60</v>
      </c>
      <c r="E769" s="362">
        <f>D769*C769</f>
        <v>5100000</v>
      </c>
      <c r="F769" s="359">
        <v>60</v>
      </c>
      <c r="G769" s="362">
        <f>F769*C769</f>
        <v>5100000</v>
      </c>
      <c r="H769" s="359">
        <v>60</v>
      </c>
      <c r="I769" s="362">
        <f>H769*C769</f>
        <v>5100000</v>
      </c>
      <c r="J769" s="359">
        <v>60</v>
      </c>
      <c r="K769" s="362">
        <f>J769*C769</f>
        <v>5100000</v>
      </c>
      <c r="L769" s="359">
        <v>60</v>
      </c>
      <c r="M769" s="362">
        <f>L769*C769</f>
        <v>5100000</v>
      </c>
      <c r="N769" s="359">
        <v>60</v>
      </c>
      <c r="O769" s="362">
        <f>N769*C769</f>
        <v>5100000</v>
      </c>
      <c r="P769" s="359">
        <v>60</v>
      </c>
      <c r="Q769" s="362">
        <f>P769*C769</f>
        <v>5100000</v>
      </c>
      <c r="R769" s="359">
        <v>60</v>
      </c>
      <c r="S769" s="362">
        <f>R769*C769</f>
        <v>5100000</v>
      </c>
      <c r="T769" s="359">
        <v>60</v>
      </c>
      <c r="U769" s="362">
        <f>T769*C769</f>
        <v>5100000</v>
      </c>
      <c r="V769" s="359">
        <v>60</v>
      </c>
      <c r="W769" s="362">
        <f>V769*C769</f>
        <v>5100000</v>
      </c>
      <c r="X769" s="359">
        <v>60</v>
      </c>
      <c r="Y769" s="362">
        <f>X769*C769</f>
        <v>5100000</v>
      </c>
      <c r="Z769" s="359">
        <v>60</v>
      </c>
      <c r="AA769" s="362">
        <f>Z769*C769</f>
        <v>5100000</v>
      </c>
      <c r="AB769" s="361"/>
      <c r="AC769" s="342"/>
      <c r="AD769" s="348"/>
    </row>
    <row r="770" spans="1:30" s="349" customFormat="1">
      <c r="A770" s="359" t="s">
        <v>238</v>
      </c>
      <c r="B770" s="359">
        <v>350</v>
      </c>
      <c r="C770" s="504">
        <v>120000</v>
      </c>
      <c r="D770" s="359">
        <v>40</v>
      </c>
      <c r="E770" s="362">
        <f>D770*C770</f>
        <v>4800000</v>
      </c>
      <c r="F770" s="359">
        <v>40</v>
      </c>
      <c r="G770" s="362">
        <f>F770*C770</f>
        <v>4800000</v>
      </c>
      <c r="H770" s="359">
        <v>40</v>
      </c>
      <c r="I770" s="362">
        <f>H770*C770</f>
        <v>4800000</v>
      </c>
      <c r="J770" s="359">
        <v>40</v>
      </c>
      <c r="K770" s="362">
        <f>J770*C770</f>
        <v>4800000</v>
      </c>
      <c r="L770" s="359">
        <v>40</v>
      </c>
      <c r="M770" s="362">
        <f>L770*C770</f>
        <v>4800000</v>
      </c>
      <c r="N770" s="359">
        <v>40</v>
      </c>
      <c r="O770" s="362">
        <f>N770*C770</f>
        <v>4800000</v>
      </c>
      <c r="P770" s="359">
        <v>40</v>
      </c>
      <c r="Q770" s="362">
        <f>P770*C770</f>
        <v>4800000</v>
      </c>
      <c r="R770" s="359">
        <v>40</v>
      </c>
      <c r="S770" s="362">
        <f>R770*C770</f>
        <v>4800000</v>
      </c>
      <c r="T770" s="359">
        <v>40</v>
      </c>
      <c r="U770" s="362">
        <f>T770*C770</f>
        <v>4800000</v>
      </c>
      <c r="V770" s="359">
        <v>40</v>
      </c>
      <c r="W770" s="362">
        <f>V770*C770</f>
        <v>4800000</v>
      </c>
      <c r="X770" s="359">
        <v>40</v>
      </c>
      <c r="Y770" s="362">
        <f>X770*C770</f>
        <v>4800000</v>
      </c>
      <c r="Z770" s="359">
        <v>40</v>
      </c>
      <c r="AA770" s="362">
        <f>Z770*C770</f>
        <v>4800000</v>
      </c>
      <c r="AB770" s="361"/>
      <c r="AC770" s="342"/>
      <c r="AD770" s="348"/>
    </row>
    <row r="771" spans="1:30" s="349" customFormat="1">
      <c r="A771" s="359" t="s">
        <v>238</v>
      </c>
      <c r="B771" s="359">
        <v>500</v>
      </c>
      <c r="C771" s="504">
        <v>250000</v>
      </c>
      <c r="D771" s="359">
        <v>20</v>
      </c>
      <c r="E771" s="362">
        <f>D771*C771</f>
        <v>5000000</v>
      </c>
      <c r="F771" s="359">
        <v>20</v>
      </c>
      <c r="G771" s="362">
        <f>F771*C771</f>
        <v>5000000</v>
      </c>
      <c r="H771" s="359">
        <v>20</v>
      </c>
      <c r="I771" s="362">
        <f>H771*C771</f>
        <v>5000000</v>
      </c>
      <c r="J771" s="359">
        <v>20</v>
      </c>
      <c r="K771" s="362">
        <f>J771*C771</f>
        <v>5000000</v>
      </c>
      <c r="L771" s="359">
        <v>20</v>
      </c>
      <c r="M771" s="362">
        <f>L771*C771</f>
        <v>5000000</v>
      </c>
      <c r="N771" s="359">
        <v>20</v>
      </c>
      <c r="O771" s="362">
        <f>N771*C771</f>
        <v>5000000</v>
      </c>
      <c r="P771" s="359">
        <v>20</v>
      </c>
      <c r="Q771" s="362">
        <f>P771*C771</f>
        <v>5000000</v>
      </c>
      <c r="R771" s="359">
        <v>20</v>
      </c>
      <c r="S771" s="362">
        <f>R771*C771</f>
        <v>5000000</v>
      </c>
      <c r="T771" s="359">
        <v>20</v>
      </c>
      <c r="U771" s="362">
        <f>T771*C771</f>
        <v>5000000</v>
      </c>
      <c r="V771" s="359">
        <v>20</v>
      </c>
      <c r="W771" s="362">
        <f>V771*C771</f>
        <v>5000000</v>
      </c>
      <c r="X771" s="359">
        <v>20</v>
      </c>
      <c r="Y771" s="362">
        <f>X771*C771</f>
        <v>5000000</v>
      </c>
      <c r="Z771" s="359">
        <v>20</v>
      </c>
      <c r="AA771" s="362">
        <f>Z771*C771</f>
        <v>5000000</v>
      </c>
      <c r="AB771" s="361"/>
      <c r="AC771" s="342"/>
      <c r="AD771" s="348"/>
    </row>
    <row r="772" spans="1:30" s="349" customFormat="1">
      <c r="A772" s="359"/>
      <c r="B772" s="359"/>
      <c r="C772" s="504"/>
      <c r="D772" s="359"/>
      <c r="E772" s="362"/>
      <c r="F772" s="359"/>
      <c r="G772" s="362"/>
      <c r="H772" s="359"/>
      <c r="I772" s="362"/>
      <c r="J772" s="359"/>
      <c r="K772" s="362"/>
      <c r="L772" s="359"/>
      <c r="M772" s="362"/>
      <c r="N772" s="359"/>
      <c r="O772" s="362"/>
      <c r="P772" s="359"/>
      <c r="Q772" s="362"/>
      <c r="R772" s="359"/>
      <c r="S772" s="362"/>
      <c r="T772" s="359"/>
      <c r="U772" s="362"/>
      <c r="V772" s="359"/>
      <c r="W772" s="362"/>
      <c r="X772" s="359"/>
      <c r="Y772" s="362"/>
      <c r="Z772" s="359"/>
      <c r="AA772" s="362"/>
      <c r="AB772" s="360"/>
      <c r="AC772" s="342"/>
      <c r="AD772" s="348"/>
    </row>
    <row r="773" spans="1:30" s="479" customFormat="1">
      <c r="A773" s="474"/>
      <c r="B773" s="474"/>
      <c r="C773" s="505"/>
      <c r="D773" s="474">
        <v>0.1</v>
      </c>
      <c r="E773" s="475">
        <f>SUM(E757:E771)</f>
        <v>91700000</v>
      </c>
      <c r="F773" s="474">
        <v>0.1</v>
      </c>
      <c r="G773" s="475">
        <f>SUM(G757:G771)</f>
        <v>91700000</v>
      </c>
      <c r="H773" s="474">
        <v>0.1</v>
      </c>
      <c r="I773" s="475">
        <f>SUM(I757:I771)</f>
        <v>91700000</v>
      </c>
      <c r="J773" s="474">
        <v>0.1</v>
      </c>
      <c r="K773" s="475">
        <f>SUM(K757:K771)</f>
        <v>91700000</v>
      </c>
      <c r="L773" s="474">
        <v>0.1</v>
      </c>
      <c r="M773" s="475">
        <f>SUM(M757:M771)</f>
        <v>91700000</v>
      </c>
      <c r="N773" s="474">
        <v>0.1</v>
      </c>
      <c r="O773" s="475">
        <f>SUM(O757:O771)</f>
        <v>91700000</v>
      </c>
      <c r="P773" s="474">
        <v>0.1</v>
      </c>
      <c r="Q773" s="475">
        <f>SUM(Q757:Q771)</f>
        <v>91700000</v>
      </c>
      <c r="R773" s="474">
        <v>0.1</v>
      </c>
      <c r="S773" s="475">
        <f>SUM(S757:S771)</f>
        <v>91700000</v>
      </c>
      <c r="T773" s="474">
        <v>0.1</v>
      </c>
      <c r="U773" s="475">
        <f>SUM(U757:U771)</f>
        <v>91700000</v>
      </c>
      <c r="V773" s="474">
        <v>0.1</v>
      </c>
      <c r="W773" s="475">
        <f>SUM(W757:W771)</f>
        <v>91700000</v>
      </c>
      <c r="X773" s="474">
        <v>0.1</v>
      </c>
      <c r="Y773" s="475">
        <f>SUM(Y757:Y771)</f>
        <v>91700000</v>
      </c>
      <c r="Z773" s="474">
        <v>0.1</v>
      </c>
      <c r="AA773" s="475">
        <f>SUM(AA757:AA771)</f>
        <v>91700000</v>
      </c>
      <c r="AB773" s="476"/>
      <c r="AC773" s="477"/>
      <c r="AD773" s="478"/>
    </row>
    <row r="774" spans="1:30" s="485" customFormat="1">
      <c r="A774" s="480"/>
      <c r="B774" s="480"/>
      <c r="C774" s="507"/>
      <c r="D774" s="480"/>
      <c r="E774" s="481">
        <f>E773*D773</f>
        <v>9170000</v>
      </c>
      <c r="F774" s="480"/>
      <c r="G774" s="482">
        <f>G773*F773</f>
        <v>9170000</v>
      </c>
      <c r="H774" s="480"/>
      <c r="I774" s="481">
        <f>I773*H773</f>
        <v>9170000</v>
      </c>
      <c r="J774" s="480"/>
      <c r="K774" s="481">
        <f>K773*J773</f>
        <v>9170000</v>
      </c>
      <c r="L774" s="480"/>
      <c r="M774" s="481">
        <f>M773*L773</f>
        <v>9170000</v>
      </c>
      <c r="N774" s="480"/>
      <c r="O774" s="481">
        <f>O773*N773</f>
        <v>9170000</v>
      </c>
      <c r="P774" s="480"/>
      <c r="Q774" s="481">
        <f>Q773*P773</f>
        <v>9170000</v>
      </c>
      <c r="R774" s="480"/>
      <c r="S774" s="481">
        <f>S773*R773</f>
        <v>9170000</v>
      </c>
      <c r="T774" s="480"/>
      <c r="U774" s="481">
        <f>U773*T773</f>
        <v>9170000</v>
      </c>
      <c r="V774" s="480"/>
      <c r="W774" s="481">
        <f>W773*V773</f>
        <v>9170000</v>
      </c>
      <c r="X774" s="480"/>
      <c r="Y774" s="481">
        <f>Y773*X773</f>
        <v>9170000</v>
      </c>
      <c r="Z774" s="480"/>
      <c r="AA774" s="481">
        <f>AA773*Z773</f>
        <v>9170000</v>
      </c>
      <c r="AB774" s="481">
        <f>SUM(AA774,Y774,W774,U774,S774,Q774,O774,M774,K774,I774,G774,E774)</f>
        <v>110040000</v>
      </c>
      <c r="AC774" s="483"/>
      <c r="AD774" s="484"/>
    </row>
    <row r="775" spans="1:30" s="349" customFormat="1">
      <c r="A775" s="364"/>
      <c r="B775" s="359"/>
      <c r="C775" s="504"/>
      <c r="D775" s="359"/>
      <c r="E775" s="472"/>
      <c r="F775" s="359"/>
      <c r="G775" s="471"/>
      <c r="H775" s="359"/>
      <c r="I775" s="472"/>
      <c r="J775" s="359"/>
      <c r="K775" s="472"/>
      <c r="L775" s="359"/>
      <c r="M775" s="472"/>
      <c r="N775" s="359"/>
      <c r="O775" s="472"/>
      <c r="P775" s="359"/>
      <c r="Q775" s="472"/>
      <c r="R775" s="359"/>
      <c r="S775" s="472"/>
      <c r="T775" s="359"/>
      <c r="U775" s="472"/>
      <c r="V775" s="359"/>
      <c r="W775" s="472"/>
      <c r="X775" s="359"/>
      <c r="Y775" s="472"/>
      <c r="Z775" s="359"/>
      <c r="AA775" s="472"/>
      <c r="AB775" s="472"/>
      <c r="AC775" s="342"/>
      <c r="AD775" s="473"/>
    </row>
    <row r="776" spans="1:30" s="349" customFormat="1" ht="14.6">
      <c r="A776" s="514" t="s">
        <v>239</v>
      </c>
      <c r="B776" s="359"/>
      <c r="C776" s="504"/>
      <c r="D776" s="359"/>
      <c r="E776" s="472"/>
      <c r="F776" s="359"/>
      <c r="G776" s="471"/>
      <c r="H776" s="359"/>
      <c r="I776" s="472"/>
      <c r="J776" s="359"/>
      <c r="K776" s="472"/>
      <c r="L776" s="359"/>
      <c r="M776" s="472"/>
      <c r="N776" s="359"/>
      <c r="O776" s="472"/>
      <c r="P776" s="359"/>
      <c r="Q776" s="472"/>
      <c r="R776" s="359"/>
      <c r="S776" s="472"/>
      <c r="T776" s="359"/>
      <c r="U776" s="472"/>
      <c r="V776" s="359"/>
      <c r="W776" s="472"/>
      <c r="X776" s="359"/>
      <c r="Y776" s="472"/>
      <c r="Z776" s="359"/>
      <c r="AA776" s="472"/>
      <c r="AB776" s="472"/>
      <c r="AC776" s="342"/>
      <c r="AD776" s="473"/>
    </row>
    <row r="777" spans="1:30" s="349" customFormat="1" ht="128.6">
      <c r="A777" s="469" t="s">
        <v>240</v>
      </c>
      <c r="B777" s="359"/>
      <c r="C777" s="504">
        <v>15000</v>
      </c>
      <c r="D777" s="359">
        <v>1000</v>
      </c>
      <c r="E777" s="362">
        <f>D777*C777</f>
        <v>15000000</v>
      </c>
      <c r="F777" s="359">
        <v>1000</v>
      </c>
      <c r="G777" s="362">
        <f>F777*C777</f>
        <v>15000000</v>
      </c>
      <c r="H777" s="359">
        <v>1000</v>
      </c>
      <c r="I777" s="362">
        <f>H777*C777</f>
        <v>15000000</v>
      </c>
      <c r="J777" s="359">
        <v>1000</v>
      </c>
      <c r="K777" s="362">
        <f>J777*C777</f>
        <v>15000000</v>
      </c>
      <c r="L777" s="359">
        <v>1000</v>
      </c>
      <c r="M777" s="362">
        <f>L777*C777</f>
        <v>15000000</v>
      </c>
      <c r="N777" s="359">
        <v>1000</v>
      </c>
      <c r="O777" s="362">
        <f>N777*C777</f>
        <v>15000000</v>
      </c>
      <c r="P777" s="491">
        <v>1000</v>
      </c>
      <c r="Q777" s="362">
        <f>P777*C777</f>
        <v>15000000</v>
      </c>
      <c r="R777" s="491">
        <v>1000</v>
      </c>
      <c r="S777" s="362">
        <f>R777*C777</f>
        <v>15000000</v>
      </c>
      <c r="T777" s="491">
        <v>1000</v>
      </c>
      <c r="U777" s="362">
        <f>T777*C777</f>
        <v>15000000</v>
      </c>
      <c r="V777" s="491">
        <v>1000</v>
      </c>
      <c r="W777" s="362">
        <f>V777*C777</f>
        <v>15000000</v>
      </c>
      <c r="X777" s="491">
        <v>1000</v>
      </c>
      <c r="Y777" s="362">
        <f>X777*C777</f>
        <v>15000000</v>
      </c>
      <c r="Z777" s="491">
        <v>1000</v>
      </c>
      <c r="AA777" s="362">
        <f>Z777*C777</f>
        <v>15000000</v>
      </c>
      <c r="AB777" s="361"/>
      <c r="AC777" s="342"/>
      <c r="AD777" s="348"/>
    </row>
    <row r="778" spans="1:30" s="349" customFormat="1">
      <c r="A778" s="469"/>
      <c r="B778" s="359"/>
      <c r="C778" s="504"/>
      <c r="D778" s="359"/>
      <c r="E778" s="362"/>
      <c r="F778" s="359"/>
      <c r="G778" s="362"/>
      <c r="H778" s="359"/>
      <c r="I778" s="362"/>
      <c r="J778" s="359"/>
      <c r="K778" s="362"/>
      <c r="L778" s="359"/>
      <c r="M778" s="362"/>
      <c r="N778" s="359"/>
      <c r="O778" s="362"/>
      <c r="P778" s="492"/>
      <c r="Q778" s="362"/>
      <c r="R778" s="492"/>
      <c r="S778" s="362"/>
      <c r="T778" s="492"/>
      <c r="U778" s="362"/>
      <c r="V778" s="492"/>
      <c r="W778" s="362"/>
      <c r="X778" s="492"/>
      <c r="Y778" s="362"/>
      <c r="Z778" s="492"/>
      <c r="AA778" s="362"/>
      <c r="AB778" s="361"/>
      <c r="AC778" s="342"/>
      <c r="AD778" s="348"/>
    </row>
    <row r="779" spans="1:30" s="479" customFormat="1">
      <c r="A779" s="474"/>
      <c r="B779" s="474"/>
      <c r="C779" s="505"/>
      <c r="D779" s="474">
        <v>7.0000000000000007E-2</v>
      </c>
      <c r="E779" s="475">
        <f>SUM(E777:E778)</f>
        <v>15000000</v>
      </c>
      <c r="F779" s="474">
        <v>7.0000000000000007E-2</v>
      </c>
      <c r="G779" s="475">
        <f>G777</f>
        <v>15000000</v>
      </c>
      <c r="H779" s="474">
        <v>7.0000000000000007E-2</v>
      </c>
      <c r="I779" s="475">
        <f>I777</f>
        <v>15000000</v>
      </c>
      <c r="J779" s="474">
        <v>7.0000000000000007E-2</v>
      </c>
      <c r="K779" s="475">
        <f>K777</f>
        <v>15000000</v>
      </c>
      <c r="L779" s="474">
        <v>7.0000000000000007E-2</v>
      </c>
      <c r="M779" s="475">
        <f>M777</f>
        <v>15000000</v>
      </c>
      <c r="N779" s="474">
        <v>7.0000000000000007E-2</v>
      </c>
      <c r="O779" s="475">
        <f>O777</f>
        <v>15000000</v>
      </c>
      <c r="P779" s="515">
        <v>7.0000000000000007E-2</v>
      </c>
      <c r="Q779" s="475">
        <f>Q777</f>
        <v>15000000</v>
      </c>
      <c r="R779" s="515">
        <v>7.0000000000000007E-2</v>
      </c>
      <c r="S779" s="475">
        <f>S777</f>
        <v>15000000</v>
      </c>
      <c r="T779" s="515">
        <v>7.0000000000000007E-2</v>
      </c>
      <c r="U779" s="475">
        <f>U777</f>
        <v>15000000</v>
      </c>
      <c r="V779" s="515">
        <v>7.0000000000000007E-2</v>
      </c>
      <c r="W779" s="475">
        <f>W777</f>
        <v>15000000</v>
      </c>
      <c r="X779" s="515">
        <v>7.0000000000000007E-2</v>
      </c>
      <c r="Y779" s="475">
        <f>Y777</f>
        <v>15000000</v>
      </c>
      <c r="Z779" s="515">
        <v>7.0000000000000007E-2</v>
      </c>
      <c r="AA779" s="475">
        <f>AA777</f>
        <v>15000000</v>
      </c>
      <c r="AB779" s="476"/>
      <c r="AC779" s="477"/>
      <c r="AD779" s="478"/>
    </row>
    <row r="780" spans="1:30" s="485" customFormat="1">
      <c r="A780" s="480"/>
      <c r="B780" s="480"/>
      <c r="C780" s="507"/>
      <c r="D780" s="480"/>
      <c r="E780" s="481">
        <f>E779*D779</f>
        <v>1050000</v>
      </c>
      <c r="F780" s="480"/>
      <c r="G780" s="482">
        <f>G779*F779</f>
        <v>1050000</v>
      </c>
      <c r="H780" s="480"/>
      <c r="I780" s="481">
        <f>I779*H779</f>
        <v>1050000</v>
      </c>
      <c r="J780" s="480"/>
      <c r="K780" s="481">
        <f>K779*J779</f>
        <v>1050000</v>
      </c>
      <c r="L780" s="480"/>
      <c r="M780" s="481">
        <f>M779*L779</f>
        <v>1050000</v>
      </c>
      <c r="N780" s="480"/>
      <c r="O780" s="481">
        <f>O779*N779</f>
        <v>1050000</v>
      </c>
      <c r="P780" s="516"/>
      <c r="Q780" s="481">
        <f>Q779*P779</f>
        <v>1050000</v>
      </c>
      <c r="R780" s="516"/>
      <c r="S780" s="481">
        <f>S779*R779</f>
        <v>1050000</v>
      </c>
      <c r="T780" s="516"/>
      <c r="U780" s="481">
        <f>U779*T779</f>
        <v>1050000</v>
      </c>
      <c r="V780" s="516"/>
      <c r="W780" s="481">
        <f>W779*V779</f>
        <v>1050000</v>
      </c>
      <c r="X780" s="516"/>
      <c r="Y780" s="481">
        <f>Y779*X779</f>
        <v>1050000</v>
      </c>
      <c r="Z780" s="516"/>
      <c r="AA780" s="481">
        <f>AA779*Z779</f>
        <v>1050000</v>
      </c>
      <c r="AB780" s="481">
        <f>SUM(AA780,Y780,W780,U780,S780,Q780,O780,M780,K780,I780,G780,E780)</f>
        <v>12600000</v>
      </c>
      <c r="AC780" s="483"/>
      <c r="AD780" s="484"/>
    </row>
    <row r="781" spans="1:30" s="349" customFormat="1" ht="14.6">
      <c r="A781" s="514" t="s">
        <v>246</v>
      </c>
      <c r="B781" s="359"/>
      <c r="C781" s="504"/>
      <c r="D781" s="359"/>
      <c r="E781" s="472"/>
      <c r="F781" s="359"/>
      <c r="G781" s="471"/>
      <c r="H781" s="359"/>
      <c r="I781" s="472"/>
      <c r="J781" s="359"/>
      <c r="K781" s="472"/>
      <c r="L781" s="359"/>
      <c r="M781" s="472"/>
      <c r="N781" s="359"/>
      <c r="O781" s="472"/>
      <c r="P781" s="492"/>
      <c r="Q781" s="472"/>
      <c r="R781" s="492"/>
      <c r="S781" s="472"/>
      <c r="T781" s="492"/>
      <c r="U781" s="472"/>
      <c r="V781" s="492"/>
      <c r="W781" s="472"/>
      <c r="X781" s="492"/>
      <c r="Y781" s="472"/>
      <c r="Z781" s="492"/>
      <c r="AA781" s="472"/>
      <c r="AB781" s="472"/>
      <c r="AC781" s="342"/>
      <c r="AD781" s="473"/>
    </row>
    <row r="782" spans="1:30" s="349" customFormat="1" ht="77.150000000000006">
      <c r="A782" s="469" t="s">
        <v>247</v>
      </c>
      <c r="B782" s="359"/>
      <c r="C782" s="504">
        <v>15000</v>
      </c>
      <c r="D782" s="359">
        <v>1000</v>
      </c>
      <c r="E782" s="362">
        <f>D782*C782</f>
        <v>15000000</v>
      </c>
      <c r="F782" s="359">
        <v>1000</v>
      </c>
      <c r="G782" s="362">
        <f>F782*C782</f>
        <v>15000000</v>
      </c>
      <c r="H782" s="359">
        <v>1000</v>
      </c>
      <c r="I782" s="362">
        <f>H782*C782</f>
        <v>15000000</v>
      </c>
      <c r="J782" s="359">
        <v>1000</v>
      </c>
      <c r="K782" s="362">
        <f>J782*C782</f>
        <v>15000000</v>
      </c>
      <c r="L782" s="359">
        <v>1000</v>
      </c>
      <c r="M782" s="362">
        <f>L782*C782</f>
        <v>15000000</v>
      </c>
      <c r="N782" s="359">
        <v>1000</v>
      </c>
      <c r="O782" s="362">
        <f>N782*C782</f>
        <v>15000000</v>
      </c>
      <c r="P782" s="492">
        <v>1000</v>
      </c>
      <c r="Q782" s="362">
        <f>P782*C782</f>
        <v>15000000</v>
      </c>
      <c r="R782" s="492">
        <v>1000</v>
      </c>
      <c r="S782" s="362">
        <f>R782*C782</f>
        <v>15000000</v>
      </c>
      <c r="T782" s="492">
        <v>1000</v>
      </c>
      <c r="U782" s="362">
        <f>T782*C782</f>
        <v>15000000</v>
      </c>
      <c r="V782" s="492">
        <v>1000</v>
      </c>
      <c r="W782" s="362">
        <f>V782*C782</f>
        <v>15000000</v>
      </c>
      <c r="X782" s="492">
        <v>1000</v>
      </c>
      <c r="Y782" s="362">
        <f>X782*C782</f>
        <v>15000000</v>
      </c>
      <c r="Z782" s="492">
        <v>1000</v>
      </c>
      <c r="AA782" s="362">
        <f>Z782*C782</f>
        <v>15000000</v>
      </c>
      <c r="AB782" s="361"/>
      <c r="AC782" s="342"/>
      <c r="AD782" s="348"/>
    </row>
    <row r="783" spans="1:30" s="349" customFormat="1">
      <c r="A783" s="469"/>
      <c r="B783" s="359"/>
      <c r="C783" s="504"/>
      <c r="D783" s="359"/>
      <c r="E783" s="362"/>
      <c r="F783" s="359"/>
      <c r="G783" s="362"/>
      <c r="H783" s="359"/>
      <c r="I783" s="362"/>
      <c r="J783" s="359"/>
      <c r="K783" s="362"/>
      <c r="L783" s="359"/>
      <c r="M783" s="362"/>
      <c r="N783" s="359"/>
      <c r="O783" s="362"/>
      <c r="P783" s="492"/>
      <c r="Q783" s="362"/>
      <c r="R783" s="492"/>
      <c r="S783" s="362"/>
      <c r="T783" s="492"/>
      <c r="U783" s="362"/>
      <c r="V783" s="492"/>
      <c r="W783" s="362"/>
      <c r="X783" s="492"/>
      <c r="Y783" s="362"/>
      <c r="Z783" s="492"/>
      <c r="AA783" s="362"/>
      <c r="AB783" s="361"/>
      <c r="AC783" s="342"/>
      <c r="AD783" s="348"/>
    </row>
    <row r="784" spans="1:30" s="349" customFormat="1">
      <c r="A784" s="469"/>
      <c r="B784" s="359"/>
      <c r="C784" s="504"/>
      <c r="D784" s="359"/>
      <c r="E784" s="362"/>
      <c r="F784" s="359"/>
      <c r="G784" s="362"/>
      <c r="H784" s="359"/>
      <c r="I784" s="362"/>
      <c r="J784" s="359"/>
      <c r="K784" s="362"/>
      <c r="L784" s="359"/>
      <c r="M784" s="362"/>
      <c r="N784" s="359"/>
      <c r="O784" s="362"/>
      <c r="P784" s="492"/>
      <c r="Q784" s="362"/>
      <c r="R784" s="492"/>
      <c r="S784" s="362"/>
      <c r="T784" s="492"/>
      <c r="U784" s="362"/>
      <c r="V784" s="492"/>
      <c r="W784" s="362"/>
      <c r="X784" s="492"/>
      <c r="Y784" s="362"/>
      <c r="Z784" s="492"/>
      <c r="AA784" s="362"/>
      <c r="AB784" s="361"/>
      <c r="AC784" s="342"/>
      <c r="AD784" s="348"/>
    </row>
    <row r="785" spans="1:30" s="479" customFormat="1">
      <c r="A785" s="474"/>
      <c r="B785" s="474"/>
      <c r="C785" s="505"/>
      <c r="D785" s="474">
        <v>7.0000000000000007E-2</v>
      </c>
      <c r="E785" s="475">
        <f>E782</f>
        <v>15000000</v>
      </c>
      <c r="F785" s="474">
        <v>7.0000000000000007E-2</v>
      </c>
      <c r="G785" s="475">
        <f>G782</f>
        <v>15000000</v>
      </c>
      <c r="H785" s="474">
        <v>7.0000000000000007E-2</v>
      </c>
      <c r="I785" s="475">
        <f>I782</f>
        <v>15000000</v>
      </c>
      <c r="J785" s="474">
        <v>7.0000000000000007E-2</v>
      </c>
      <c r="K785" s="475">
        <f>K782</f>
        <v>15000000</v>
      </c>
      <c r="L785" s="474">
        <v>7.0000000000000007E-2</v>
      </c>
      <c r="M785" s="475">
        <f>M782</f>
        <v>15000000</v>
      </c>
      <c r="N785" s="474">
        <v>7.0000000000000007E-2</v>
      </c>
      <c r="O785" s="475">
        <f>O782</f>
        <v>15000000</v>
      </c>
      <c r="P785" s="515">
        <v>7.0000000000000007E-2</v>
      </c>
      <c r="Q785" s="475">
        <f>Q782</f>
        <v>15000000</v>
      </c>
      <c r="R785" s="515">
        <v>7.0000000000000007E-2</v>
      </c>
      <c r="S785" s="475">
        <f>S782</f>
        <v>15000000</v>
      </c>
      <c r="T785" s="515">
        <v>7.0000000000000007E-2</v>
      </c>
      <c r="U785" s="475">
        <f>U782</f>
        <v>15000000</v>
      </c>
      <c r="V785" s="515">
        <v>7.0000000000000007E-2</v>
      </c>
      <c r="W785" s="475">
        <f>W782</f>
        <v>15000000</v>
      </c>
      <c r="X785" s="515">
        <v>7.0000000000000007E-2</v>
      </c>
      <c r="Y785" s="475">
        <f>Y782</f>
        <v>15000000</v>
      </c>
      <c r="Z785" s="515">
        <v>7.0000000000000007E-2</v>
      </c>
      <c r="AA785" s="475">
        <f>AA782</f>
        <v>15000000</v>
      </c>
      <c r="AB785" s="476"/>
      <c r="AC785" s="477"/>
      <c r="AD785" s="478"/>
    </row>
    <row r="786" spans="1:30" s="485" customFormat="1">
      <c r="A786" s="480"/>
      <c r="B786" s="480"/>
      <c r="C786" s="507"/>
      <c r="D786" s="480"/>
      <c r="E786" s="481">
        <f>E785*D785</f>
        <v>1050000</v>
      </c>
      <c r="F786" s="480"/>
      <c r="G786" s="482">
        <f>G785*F785</f>
        <v>1050000</v>
      </c>
      <c r="H786" s="480"/>
      <c r="I786" s="481">
        <f>I785*H785</f>
        <v>1050000</v>
      </c>
      <c r="J786" s="480"/>
      <c r="K786" s="481">
        <f>K785*J785</f>
        <v>1050000</v>
      </c>
      <c r="L786" s="480"/>
      <c r="M786" s="481">
        <f>M785*L785</f>
        <v>1050000</v>
      </c>
      <c r="N786" s="480"/>
      <c r="O786" s="481">
        <f>O785*N785</f>
        <v>1050000</v>
      </c>
      <c r="P786" s="516"/>
      <c r="Q786" s="481">
        <f>Q785*P785</f>
        <v>1050000</v>
      </c>
      <c r="R786" s="516"/>
      <c r="S786" s="481">
        <f>S785*R785</f>
        <v>1050000</v>
      </c>
      <c r="T786" s="516"/>
      <c r="U786" s="481">
        <f>U785*T785</f>
        <v>1050000</v>
      </c>
      <c r="V786" s="516"/>
      <c r="W786" s="481">
        <f>W785*V785</f>
        <v>1050000</v>
      </c>
      <c r="X786" s="516"/>
      <c r="Y786" s="481">
        <f>Y785*X785</f>
        <v>1050000</v>
      </c>
      <c r="Z786" s="516"/>
      <c r="AA786" s="481">
        <f>AA785*Z785</f>
        <v>1050000</v>
      </c>
      <c r="AB786" s="481">
        <f>SUM(AA786,Y786,W786,U786,S786,Q786,O786,M786,K786,I786,G786,E786)</f>
        <v>12600000</v>
      </c>
      <c r="AC786" s="483"/>
      <c r="AD786" s="484"/>
    </row>
    <row r="787" spans="1:30" s="349" customFormat="1" ht="14.6">
      <c r="A787" s="514" t="s">
        <v>248</v>
      </c>
      <c r="B787" s="359"/>
      <c r="C787" s="504"/>
      <c r="D787" s="359"/>
      <c r="E787" s="472"/>
      <c r="F787" s="359"/>
      <c r="G787" s="471"/>
      <c r="H787" s="359"/>
      <c r="I787" s="472"/>
      <c r="J787" s="359"/>
      <c r="K787" s="472"/>
      <c r="L787" s="359"/>
      <c r="M787" s="472"/>
      <c r="N787" s="359"/>
      <c r="O787" s="472"/>
      <c r="P787" s="492"/>
      <c r="Q787" s="472"/>
      <c r="R787" s="492"/>
      <c r="S787" s="472"/>
      <c r="T787" s="492"/>
      <c r="U787" s="472"/>
      <c r="V787" s="492"/>
      <c r="W787" s="472"/>
      <c r="X787" s="492"/>
      <c r="Y787" s="472"/>
      <c r="Z787" s="492"/>
      <c r="AA787" s="472"/>
      <c r="AB787" s="472"/>
      <c r="AC787" s="342"/>
      <c r="AD787" s="473"/>
    </row>
    <row r="788" spans="1:30" s="349" customFormat="1" ht="90">
      <c r="A788" s="469" t="s">
        <v>249</v>
      </c>
      <c r="B788" s="359"/>
      <c r="C788" s="504">
        <v>15000</v>
      </c>
      <c r="D788" s="359">
        <v>1000</v>
      </c>
      <c r="E788" s="362">
        <f>D788*C788</f>
        <v>15000000</v>
      </c>
      <c r="F788" s="359">
        <v>1000</v>
      </c>
      <c r="G788" s="362">
        <f>F788*C788</f>
        <v>15000000</v>
      </c>
      <c r="H788" s="359">
        <v>1000</v>
      </c>
      <c r="I788" s="362">
        <f>H788*C788</f>
        <v>15000000</v>
      </c>
      <c r="J788" s="359">
        <v>1000</v>
      </c>
      <c r="K788" s="362">
        <f>J788*C788</f>
        <v>15000000</v>
      </c>
      <c r="L788" s="359">
        <v>1000</v>
      </c>
      <c r="M788" s="362">
        <f>L788*C788</f>
        <v>15000000</v>
      </c>
      <c r="N788" s="359">
        <v>1000</v>
      </c>
      <c r="O788" s="362">
        <f>N788*C788</f>
        <v>15000000</v>
      </c>
      <c r="P788" s="492">
        <v>1000</v>
      </c>
      <c r="Q788" s="362">
        <f>P788*C788</f>
        <v>15000000</v>
      </c>
      <c r="R788" s="492">
        <v>1000</v>
      </c>
      <c r="S788" s="362">
        <f>R788*C788</f>
        <v>15000000</v>
      </c>
      <c r="T788" s="492">
        <v>1000</v>
      </c>
      <c r="U788" s="362">
        <f>T788*C788</f>
        <v>15000000</v>
      </c>
      <c r="V788" s="492">
        <v>1000</v>
      </c>
      <c r="W788" s="362">
        <f>V788*C788</f>
        <v>15000000</v>
      </c>
      <c r="X788" s="492">
        <v>1000</v>
      </c>
      <c r="Y788" s="362">
        <f>X788*C788</f>
        <v>15000000</v>
      </c>
      <c r="Z788" s="492">
        <v>1000</v>
      </c>
      <c r="AA788" s="362">
        <f>Z788*C788</f>
        <v>15000000</v>
      </c>
      <c r="AB788" s="361"/>
      <c r="AC788" s="342"/>
      <c r="AD788" s="348"/>
    </row>
    <row r="789" spans="1:30" s="349" customFormat="1">
      <c r="A789" s="469"/>
      <c r="B789" s="359"/>
      <c r="C789" s="504"/>
      <c r="D789" s="359"/>
      <c r="E789" s="362"/>
      <c r="F789" s="359"/>
      <c r="G789" s="362"/>
      <c r="H789" s="359"/>
      <c r="I789" s="362"/>
      <c r="J789" s="359"/>
      <c r="K789" s="362"/>
      <c r="L789" s="359"/>
      <c r="M789" s="362"/>
      <c r="N789" s="359"/>
      <c r="O789" s="362"/>
      <c r="P789" s="492"/>
      <c r="Q789" s="362"/>
      <c r="R789" s="492"/>
      <c r="S789" s="362"/>
      <c r="T789" s="492"/>
      <c r="U789" s="362"/>
      <c r="V789" s="492"/>
      <c r="W789" s="362"/>
      <c r="X789" s="492"/>
      <c r="Y789" s="362"/>
      <c r="Z789" s="492"/>
      <c r="AA789" s="362"/>
      <c r="AB789" s="361"/>
      <c r="AC789" s="342"/>
      <c r="AD789" s="348"/>
    </row>
    <row r="790" spans="1:30" s="479" customFormat="1">
      <c r="A790" s="474"/>
      <c r="B790" s="474"/>
      <c r="C790" s="505"/>
      <c r="D790" s="474">
        <v>7.0000000000000007E-2</v>
      </c>
      <c r="E790" s="475">
        <f>E788</f>
        <v>15000000</v>
      </c>
      <c r="F790" s="474">
        <v>7.0000000000000007E-2</v>
      </c>
      <c r="G790" s="475">
        <f>G788</f>
        <v>15000000</v>
      </c>
      <c r="H790" s="474">
        <v>7.0000000000000007E-2</v>
      </c>
      <c r="I790" s="475">
        <f>I788</f>
        <v>15000000</v>
      </c>
      <c r="J790" s="474">
        <v>7.0000000000000007E-2</v>
      </c>
      <c r="K790" s="475">
        <f>K788</f>
        <v>15000000</v>
      </c>
      <c r="L790" s="474">
        <v>7.0000000000000007E-2</v>
      </c>
      <c r="M790" s="475">
        <f>M788</f>
        <v>15000000</v>
      </c>
      <c r="N790" s="474">
        <v>7.0000000000000007E-2</v>
      </c>
      <c r="O790" s="475">
        <f>O788</f>
        <v>15000000</v>
      </c>
      <c r="P790" s="515">
        <v>7.0000000000000007E-2</v>
      </c>
      <c r="Q790" s="475">
        <f>Q788</f>
        <v>15000000</v>
      </c>
      <c r="R790" s="515">
        <v>7.0000000000000007E-2</v>
      </c>
      <c r="S790" s="475">
        <f>S788</f>
        <v>15000000</v>
      </c>
      <c r="T790" s="515">
        <v>7.0000000000000007E-2</v>
      </c>
      <c r="U790" s="475">
        <f>U788</f>
        <v>15000000</v>
      </c>
      <c r="V790" s="515">
        <v>7.0000000000000007E-2</v>
      </c>
      <c r="W790" s="475">
        <f>W788</f>
        <v>15000000</v>
      </c>
      <c r="X790" s="515">
        <v>7.0000000000000007E-2</v>
      </c>
      <c r="Y790" s="475">
        <f>Y788</f>
        <v>15000000</v>
      </c>
      <c r="Z790" s="515">
        <v>7.0000000000000007E-2</v>
      </c>
      <c r="AA790" s="475">
        <f>AA788</f>
        <v>15000000</v>
      </c>
      <c r="AB790" s="476"/>
      <c r="AC790" s="477"/>
      <c r="AD790" s="478"/>
    </row>
    <row r="791" spans="1:30" s="485" customFormat="1">
      <c r="A791" s="480"/>
      <c r="B791" s="480"/>
      <c r="C791" s="507"/>
      <c r="D791" s="480"/>
      <c r="E791" s="481">
        <f>E790*D790</f>
        <v>1050000</v>
      </c>
      <c r="F791" s="480"/>
      <c r="G791" s="482">
        <f>G790*F790</f>
        <v>1050000</v>
      </c>
      <c r="H791" s="480"/>
      <c r="I791" s="481">
        <f>I790*H790</f>
        <v>1050000</v>
      </c>
      <c r="J791" s="480"/>
      <c r="K791" s="481">
        <f>K790*J790</f>
        <v>1050000</v>
      </c>
      <c r="L791" s="480"/>
      <c r="M791" s="481">
        <f>M790*L790</f>
        <v>1050000</v>
      </c>
      <c r="N791" s="480"/>
      <c r="O791" s="481">
        <f>O790*N790</f>
        <v>1050000</v>
      </c>
      <c r="P791" s="516"/>
      <c r="Q791" s="481">
        <f>Q790*P790</f>
        <v>1050000</v>
      </c>
      <c r="R791" s="516"/>
      <c r="S791" s="481">
        <f>S790*R790</f>
        <v>1050000</v>
      </c>
      <c r="T791" s="516"/>
      <c r="U791" s="481">
        <f>U790*T790</f>
        <v>1050000</v>
      </c>
      <c r="V791" s="516"/>
      <c r="W791" s="481">
        <f>W790*V790</f>
        <v>1050000</v>
      </c>
      <c r="X791" s="516"/>
      <c r="Y791" s="481">
        <f>Y790*X790</f>
        <v>1050000</v>
      </c>
      <c r="Z791" s="516"/>
      <c r="AA791" s="481">
        <f>AA790*Z790</f>
        <v>1050000</v>
      </c>
      <c r="AB791" s="481">
        <f>SUM(AA791,Y791,W791,U791,S791,Q791,O791,M791,K791,I791,G791,E791)</f>
        <v>12600000</v>
      </c>
      <c r="AC791" s="483"/>
      <c r="AD791" s="484"/>
    </row>
    <row r="792" spans="1:30" s="349" customFormat="1">
      <c r="A792" s="469"/>
      <c r="B792" s="359"/>
      <c r="C792" s="504"/>
      <c r="D792" s="359"/>
      <c r="E792" s="362"/>
      <c r="F792" s="359"/>
      <c r="G792" s="362"/>
      <c r="H792" s="359"/>
      <c r="I792" s="362"/>
      <c r="J792" s="359"/>
      <c r="K792" s="362"/>
      <c r="L792" s="359"/>
      <c r="M792" s="362"/>
      <c r="N792" s="359"/>
      <c r="O792" s="362"/>
      <c r="P792" s="492"/>
      <c r="Q792" s="362"/>
      <c r="R792" s="492"/>
      <c r="S792" s="362"/>
      <c r="T792" s="492"/>
      <c r="U792" s="362"/>
      <c r="V792" s="492"/>
      <c r="W792" s="362"/>
      <c r="X792" s="492"/>
      <c r="Y792" s="362"/>
      <c r="Z792" s="492"/>
      <c r="AA792" s="362"/>
      <c r="AB792" s="361"/>
      <c r="AC792" s="342"/>
      <c r="AD792" s="348"/>
    </row>
    <row r="793" spans="1:30" s="349" customFormat="1" ht="14.6">
      <c r="A793" s="514" t="s">
        <v>250</v>
      </c>
      <c r="B793" s="359"/>
      <c r="C793" s="504"/>
      <c r="D793" s="359"/>
      <c r="E793" s="472"/>
      <c r="F793" s="359"/>
      <c r="G793" s="471"/>
      <c r="H793" s="359"/>
      <c r="I793" s="472"/>
      <c r="J793" s="359"/>
      <c r="K793" s="472"/>
      <c r="L793" s="359"/>
      <c r="M793" s="472"/>
      <c r="N793" s="359"/>
      <c r="O793" s="472"/>
      <c r="P793" s="492"/>
      <c r="Q793" s="472"/>
      <c r="R793" s="492"/>
      <c r="S793" s="472"/>
      <c r="T793" s="492"/>
      <c r="U793" s="472"/>
      <c r="V793" s="492"/>
      <c r="W793" s="472"/>
      <c r="X793" s="492"/>
      <c r="Y793" s="472"/>
      <c r="Z793" s="492"/>
      <c r="AA793" s="472"/>
      <c r="AB793" s="472"/>
      <c r="AC793" s="342"/>
      <c r="AD793" s="473"/>
    </row>
    <row r="794" spans="1:30" s="349" customFormat="1" ht="64.3">
      <c r="A794" s="469" t="s">
        <v>251</v>
      </c>
      <c r="B794" s="359"/>
      <c r="C794" s="504">
        <v>15000</v>
      </c>
      <c r="D794" s="359">
        <v>1000</v>
      </c>
      <c r="E794" s="362">
        <f>D794*C794</f>
        <v>15000000</v>
      </c>
      <c r="F794" s="359">
        <v>1000</v>
      </c>
      <c r="G794" s="362">
        <f>F794*C794</f>
        <v>15000000</v>
      </c>
      <c r="H794" s="359">
        <v>1000</v>
      </c>
      <c r="I794" s="362">
        <f>H794*C794</f>
        <v>15000000</v>
      </c>
      <c r="J794" s="359">
        <v>1000</v>
      </c>
      <c r="K794" s="362">
        <f>J794*C794</f>
        <v>15000000</v>
      </c>
      <c r="L794" s="359">
        <v>1000</v>
      </c>
      <c r="M794" s="362">
        <f>L794*C794</f>
        <v>15000000</v>
      </c>
      <c r="N794" s="359">
        <v>1000</v>
      </c>
      <c r="O794" s="362">
        <f>N794*C794</f>
        <v>15000000</v>
      </c>
      <c r="P794" s="492">
        <v>1000</v>
      </c>
      <c r="Q794" s="362">
        <f>P794*C794</f>
        <v>15000000</v>
      </c>
      <c r="R794" s="492">
        <v>1000</v>
      </c>
      <c r="S794" s="362">
        <f>R794*C794</f>
        <v>15000000</v>
      </c>
      <c r="T794" s="492">
        <v>1000</v>
      </c>
      <c r="U794" s="362">
        <f>T794*C794</f>
        <v>15000000</v>
      </c>
      <c r="V794" s="492">
        <v>1000</v>
      </c>
      <c r="W794" s="362">
        <f>V794*C794</f>
        <v>15000000</v>
      </c>
      <c r="X794" s="492">
        <v>1000</v>
      </c>
      <c r="Y794" s="362">
        <f>X794*C794</f>
        <v>15000000</v>
      </c>
      <c r="Z794" s="492">
        <v>1000</v>
      </c>
      <c r="AA794" s="362">
        <f>Z794*C794</f>
        <v>15000000</v>
      </c>
      <c r="AB794" s="361"/>
      <c r="AC794" s="342"/>
      <c r="AD794" s="348"/>
    </row>
    <row r="795" spans="1:30" s="349" customFormat="1">
      <c r="A795" s="469"/>
      <c r="B795" s="359"/>
      <c r="C795" s="504"/>
      <c r="D795" s="359"/>
      <c r="E795" s="362"/>
      <c r="F795" s="359"/>
      <c r="G795" s="362"/>
      <c r="H795" s="359"/>
      <c r="I795" s="362"/>
      <c r="J795" s="359"/>
      <c r="K795" s="362"/>
      <c r="L795" s="359"/>
      <c r="M795" s="362"/>
      <c r="N795" s="359"/>
      <c r="O795" s="362"/>
      <c r="P795" s="492"/>
      <c r="Q795" s="362"/>
      <c r="R795" s="492"/>
      <c r="S795" s="362"/>
      <c r="T795" s="492"/>
      <c r="U795" s="362"/>
      <c r="V795" s="492"/>
      <c r="W795" s="362"/>
      <c r="X795" s="492"/>
      <c r="Y795" s="362"/>
      <c r="Z795" s="492"/>
      <c r="AA795" s="362"/>
      <c r="AB795" s="361"/>
      <c r="AC795" s="342"/>
      <c r="AD795" s="348"/>
    </row>
    <row r="796" spans="1:30" s="349" customFormat="1">
      <c r="A796" s="469"/>
      <c r="B796" s="359"/>
      <c r="C796" s="504"/>
      <c r="D796" s="359"/>
      <c r="E796" s="362"/>
      <c r="F796" s="359"/>
      <c r="G796" s="362"/>
      <c r="H796" s="359"/>
      <c r="I796" s="362"/>
      <c r="J796" s="359"/>
      <c r="K796" s="362"/>
      <c r="L796" s="359"/>
      <c r="M796" s="362"/>
      <c r="N796" s="359"/>
      <c r="O796" s="362"/>
      <c r="P796" s="492"/>
      <c r="Q796" s="362"/>
      <c r="R796" s="492"/>
      <c r="S796" s="362"/>
      <c r="T796" s="492"/>
      <c r="U796" s="362"/>
      <c r="V796" s="492"/>
      <c r="W796" s="362"/>
      <c r="X796" s="492"/>
      <c r="Y796" s="362"/>
      <c r="Z796" s="492"/>
      <c r="AA796" s="362"/>
      <c r="AB796" s="361"/>
      <c r="AC796" s="342"/>
      <c r="AD796" s="348"/>
    </row>
    <row r="797" spans="1:30" s="479" customFormat="1">
      <c r="A797" s="474"/>
      <c r="B797" s="474"/>
      <c r="C797" s="505"/>
      <c r="D797" s="474">
        <v>7.0000000000000007E-2</v>
      </c>
      <c r="E797" s="475">
        <f>E794</f>
        <v>15000000</v>
      </c>
      <c r="F797" s="474">
        <v>7.0000000000000007E-2</v>
      </c>
      <c r="G797" s="475">
        <f>G794</f>
        <v>15000000</v>
      </c>
      <c r="H797" s="474">
        <v>7.0000000000000007E-2</v>
      </c>
      <c r="I797" s="475">
        <f>I794</f>
        <v>15000000</v>
      </c>
      <c r="J797" s="474">
        <v>7.0000000000000007E-2</v>
      </c>
      <c r="K797" s="475">
        <f>K794</f>
        <v>15000000</v>
      </c>
      <c r="L797" s="474">
        <v>7.0000000000000007E-2</v>
      </c>
      <c r="M797" s="475">
        <f>M794</f>
        <v>15000000</v>
      </c>
      <c r="N797" s="474">
        <v>7.0000000000000007E-2</v>
      </c>
      <c r="O797" s="475">
        <f>O794</f>
        <v>15000000</v>
      </c>
      <c r="P797" s="515">
        <v>7.0000000000000007E-2</v>
      </c>
      <c r="Q797" s="475">
        <f>Q794</f>
        <v>15000000</v>
      </c>
      <c r="R797" s="515">
        <v>7.0000000000000007E-2</v>
      </c>
      <c r="S797" s="475">
        <f>S794</f>
        <v>15000000</v>
      </c>
      <c r="T797" s="515">
        <v>7.0000000000000007E-2</v>
      </c>
      <c r="U797" s="475">
        <f>U794</f>
        <v>15000000</v>
      </c>
      <c r="V797" s="515">
        <v>7.0000000000000007E-2</v>
      </c>
      <c r="W797" s="475">
        <f>W794</f>
        <v>15000000</v>
      </c>
      <c r="X797" s="515">
        <v>7.0000000000000007E-2</v>
      </c>
      <c r="Y797" s="475">
        <f>Y794</f>
        <v>15000000</v>
      </c>
      <c r="Z797" s="515">
        <v>7.0000000000000007E-2</v>
      </c>
      <c r="AA797" s="475">
        <f>AA794</f>
        <v>15000000</v>
      </c>
      <c r="AB797" s="476"/>
      <c r="AC797" s="477"/>
      <c r="AD797" s="478"/>
    </row>
    <row r="798" spans="1:30" s="485" customFormat="1">
      <c r="A798" s="480"/>
      <c r="B798" s="480"/>
      <c r="C798" s="507"/>
      <c r="D798" s="480"/>
      <c r="E798" s="481">
        <f>E797*D797</f>
        <v>1050000</v>
      </c>
      <c r="F798" s="480"/>
      <c r="G798" s="482">
        <f>G797*F797</f>
        <v>1050000</v>
      </c>
      <c r="H798" s="480"/>
      <c r="I798" s="481">
        <f>I797*H797</f>
        <v>1050000</v>
      </c>
      <c r="J798" s="480"/>
      <c r="K798" s="481">
        <f>K797*J797</f>
        <v>1050000</v>
      </c>
      <c r="L798" s="480"/>
      <c r="M798" s="481">
        <f>M797*L797</f>
        <v>1050000</v>
      </c>
      <c r="N798" s="480"/>
      <c r="O798" s="481">
        <f>O797*N797</f>
        <v>1050000</v>
      </c>
      <c r="P798" s="516"/>
      <c r="Q798" s="481">
        <f>Q797*P797</f>
        <v>1050000</v>
      </c>
      <c r="R798" s="516"/>
      <c r="S798" s="481">
        <f>S797*R797</f>
        <v>1050000</v>
      </c>
      <c r="T798" s="516"/>
      <c r="U798" s="481">
        <f>U797*T797</f>
        <v>1050000</v>
      </c>
      <c r="V798" s="516"/>
      <c r="W798" s="481">
        <f>W797*V797</f>
        <v>1050000</v>
      </c>
      <c r="X798" s="516"/>
      <c r="Y798" s="481">
        <f>Y797*X797</f>
        <v>1050000</v>
      </c>
      <c r="Z798" s="516"/>
      <c r="AA798" s="481">
        <f>AA797*Z797</f>
        <v>1050000</v>
      </c>
      <c r="AB798" s="481">
        <f>SUM(AA798,Y798,W798,U798,S798,Q798,O798,M798,K798,I798,G798,E798)</f>
        <v>12600000</v>
      </c>
      <c r="AC798" s="483"/>
      <c r="AD798" s="484"/>
    </row>
    <row r="799" spans="1:30" s="349" customFormat="1" ht="14.6">
      <c r="A799" s="514" t="s">
        <v>252</v>
      </c>
      <c r="B799" s="359"/>
      <c r="C799" s="504"/>
      <c r="D799" s="359"/>
      <c r="E799" s="472"/>
      <c r="F799" s="359"/>
      <c r="G799" s="471"/>
      <c r="H799" s="359"/>
      <c r="I799" s="472"/>
      <c r="J799" s="359"/>
      <c r="K799" s="472"/>
      <c r="L799" s="359"/>
      <c r="M799" s="472"/>
      <c r="N799" s="359"/>
      <c r="O799" s="472"/>
      <c r="P799" s="492"/>
      <c r="Q799" s="472"/>
      <c r="R799" s="492"/>
      <c r="S799" s="472"/>
      <c r="T799" s="492"/>
      <c r="U799" s="472"/>
      <c r="V799" s="492"/>
      <c r="W799" s="472"/>
      <c r="X799" s="492"/>
      <c r="Y799" s="472"/>
      <c r="Z799" s="492"/>
      <c r="AA799" s="472"/>
      <c r="AB799" s="472"/>
      <c r="AC799" s="342"/>
      <c r="AD799" s="473"/>
    </row>
    <row r="800" spans="1:30" s="349" customFormat="1" ht="192.9">
      <c r="A800" s="469" t="s">
        <v>253</v>
      </c>
      <c r="B800" s="359"/>
      <c r="C800" s="504">
        <v>15000</v>
      </c>
      <c r="D800" s="359">
        <v>1000</v>
      </c>
      <c r="E800" s="362">
        <f>D800*C800</f>
        <v>15000000</v>
      </c>
      <c r="F800" s="359">
        <v>1000</v>
      </c>
      <c r="G800" s="362">
        <f>F800*C800</f>
        <v>15000000</v>
      </c>
      <c r="H800" s="359">
        <v>1000</v>
      </c>
      <c r="I800" s="362">
        <f>H800*C800</f>
        <v>15000000</v>
      </c>
      <c r="J800" s="359">
        <v>1000</v>
      </c>
      <c r="K800" s="362">
        <f>J800*C800</f>
        <v>15000000</v>
      </c>
      <c r="L800" s="359">
        <v>1000</v>
      </c>
      <c r="M800" s="362">
        <f>L800*C800</f>
        <v>15000000</v>
      </c>
      <c r="N800" s="359">
        <v>1000</v>
      </c>
      <c r="O800" s="362">
        <f>N800*C800</f>
        <v>15000000</v>
      </c>
      <c r="P800" s="492">
        <v>1000</v>
      </c>
      <c r="Q800" s="362">
        <f>P800*C800</f>
        <v>15000000</v>
      </c>
      <c r="R800" s="492">
        <v>1000</v>
      </c>
      <c r="S800" s="362">
        <f>R800*C800</f>
        <v>15000000</v>
      </c>
      <c r="T800" s="492">
        <v>1000</v>
      </c>
      <c r="U800" s="362">
        <f>T800*C800</f>
        <v>15000000</v>
      </c>
      <c r="V800" s="492">
        <v>1000</v>
      </c>
      <c r="W800" s="362">
        <f>V800*C800</f>
        <v>15000000</v>
      </c>
      <c r="X800" s="492">
        <v>1000</v>
      </c>
      <c r="Y800" s="362">
        <f>X800*C800</f>
        <v>15000000</v>
      </c>
      <c r="Z800" s="492">
        <v>1000</v>
      </c>
      <c r="AA800" s="362">
        <f>Z800*C800</f>
        <v>15000000</v>
      </c>
      <c r="AB800" s="361"/>
      <c r="AC800" s="342"/>
      <c r="AD800" s="348"/>
    </row>
    <row r="801" spans="1:30" s="349" customFormat="1">
      <c r="A801" s="469"/>
      <c r="B801" s="359"/>
      <c r="C801" s="504"/>
      <c r="D801" s="359"/>
      <c r="E801" s="362"/>
      <c r="F801" s="359"/>
      <c r="G801" s="362"/>
      <c r="H801" s="359"/>
      <c r="I801" s="362"/>
      <c r="J801" s="359"/>
      <c r="K801" s="362"/>
      <c r="L801" s="359"/>
      <c r="M801" s="362"/>
      <c r="N801" s="359"/>
      <c r="O801" s="362"/>
      <c r="P801" s="492"/>
      <c r="Q801" s="362"/>
      <c r="R801" s="492"/>
      <c r="S801" s="362"/>
      <c r="T801" s="492"/>
      <c r="U801" s="362"/>
      <c r="V801" s="492"/>
      <c r="W801" s="362"/>
      <c r="X801" s="492"/>
      <c r="Y801" s="362"/>
      <c r="Z801" s="492"/>
      <c r="AA801" s="362"/>
      <c r="AB801" s="361"/>
      <c r="AC801" s="342"/>
      <c r="AD801" s="348"/>
    </row>
    <row r="802" spans="1:30" s="479" customFormat="1">
      <c r="A802" s="474"/>
      <c r="B802" s="474"/>
      <c r="C802" s="505"/>
      <c r="D802" s="474">
        <v>7.0000000000000007E-2</v>
      </c>
      <c r="E802" s="475">
        <f>E800</f>
        <v>15000000</v>
      </c>
      <c r="F802" s="474">
        <v>7.0000000000000007E-2</v>
      </c>
      <c r="G802" s="475">
        <f>G800</f>
        <v>15000000</v>
      </c>
      <c r="H802" s="474">
        <v>7.0000000000000007E-2</v>
      </c>
      <c r="I802" s="475">
        <f>I800</f>
        <v>15000000</v>
      </c>
      <c r="J802" s="474">
        <v>7.0000000000000007E-2</v>
      </c>
      <c r="K802" s="475">
        <f>K800</f>
        <v>15000000</v>
      </c>
      <c r="L802" s="474">
        <v>7.0000000000000007E-2</v>
      </c>
      <c r="M802" s="475">
        <f>M800</f>
        <v>15000000</v>
      </c>
      <c r="N802" s="474">
        <v>7.0000000000000007E-2</v>
      </c>
      <c r="O802" s="475">
        <f>O800</f>
        <v>15000000</v>
      </c>
      <c r="P802" s="515">
        <v>7.0000000000000007E-2</v>
      </c>
      <c r="Q802" s="475">
        <f>Q800</f>
        <v>15000000</v>
      </c>
      <c r="R802" s="515">
        <v>7.0000000000000007E-2</v>
      </c>
      <c r="S802" s="475">
        <f>S800</f>
        <v>15000000</v>
      </c>
      <c r="T802" s="515">
        <v>7.0000000000000007E-2</v>
      </c>
      <c r="U802" s="475">
        <f>U800</f>
        <v>15000000</v>
      </c>
      <c r="V802" s="515">
        <v>7.0000000000000007E-2</v>
      </c>
      <c r="W802" s="475">
        <f>W800</f>
        <v>15000000</v>
      </c>
      <c r="X802" s="515">
        <v>7.0000000000000007E-2</v>
      </c>
      <c r="Y802" s="475">
        <f>Y800</f>
        <v>15000000</v>
      </c>
      <c r="Z802" s="515">
        <v>7.0000000000000007E-2</v>
      </c>
      <c r="AA802" s="475">
        <f>AA800</f>
        <v>15000000</v>
      </c>
      <c r="AB802" s="476"/>
      <c r="AC802" s="477"/>
      <c r="AD802" s="478"/>
    </row>
    <row r="803" spans="1:30" s="485" customFormat="1">
      <c r="A803" s="480"/>
      <c r="B803" s="480"/>
      <c r="C803" s="507"/>
      <c r="D803" s="480"/>
      <c r="E803" s="481">
        <f>E802*D802</f>
        <v>1050000</v>
      </c>
      <c r="F803" s="480"/>
      <c r="G803" s="482">
        <f>G802*F802</f>
        <v>1050000</v>
      </c>
      <c r="H803" s="480"/>
      <c r="I803" s="481">
        <f>I802*H802</f>
        <v>1050000</v>
      </c>
      <c r="J803" s="480"/>
      <c r="K803" s="481">
        <f>K802*J802</f>
        <v>1050000</v>
      </c>
      <c r="L803" s="480"/>
      <c r="M803" s="481">
        <f>M802*L802</f>
        <v>1050000</v>
      </c>
      <c r="N803" s="480"/>
      <c r="O803" s="481">
        <f>O802*N802</f>
        <v>1050000</v>
      </c>
      <c r="P803" s="516"/>
      <c r="Q803" s="481">
        <f>Q802*P802</f>
        <v>1050000</v>
      </c>
      <c r="R803" s="516"/>
      <c r="S803" s="481">
        <f>S802*R802</f>
        <v>1050000</v>
      </c>
      <c r="T803" s="516"/>
      <c r="U803" s="481">
        <f>U802*T802</f>
        <v>1050000</v>
      </c>
      <c r="V803" s="516"/>
      <c r="W803" s="481">
        <f>W802*V802</f>
        <v>1050000</v>
      </c>
      <c r="X803" s="516"/>
      <c r="Y803" s="481">
        <f>Y802*X802</f>
        <v>1050000</v>
      </c>
      <c r="Z803" s="516"/>
      <c r="AA803" s="481">
        <f>AA802*Z802</f>
        <v>1050000</v>
      </c>
      <c r="AB803" s="481">
        <f>SUM(AA803,Y803,W803,U803,S803,Q803,O803,M803,K803,I803,G803,E803)</f>
        <v>12600000</v>
      </c>
      <c r="AC803" s="483"/>
      <c r="AD803" s="484"/>
    </row>
    <row r="804" spans="1:30" s="349" customFormat="1" ht="14.6">
      <c r="A804" s="514" t="s">
        <v>241</v>
      </c>
      <c r="B804" s="359"/>
      <c r="C804" s="504"/>
      <c r="D804" s="359"/>
      <c r="E804" s="362"/>
      <c r="F804" s="359"/>
      <c r="G804" s="362"/>
      <c r="H804" s="359"/>
      <c r="I804" s="362"/>
      <c r="J804" s="359"/>
      <c r="K804" s="362"/>
      <c r="L804" s="359"/>
      <c r="M804" s="362"/>
      <c r="N804" s="359"/>
      <c r="O804" s="362"/>
      <c r="P804" s="492"/>
      <c r="Q804" s="362"/>
      <c r="R804" s="492"/>
      <c r="S804" s="362"/>
      <c r="T804" s="492"/>
      <c r="U804" s="362"/>
      <c r="V804" s="492"/>
      <c r="W804" s="362"/>
      <c r="X804" s="492"/>
      <c r="Y804" s="362"/>
      <c r="Z804" s="492"/>
      <c r="AA804" s="362"/>
      <c r="AB804" s="361"/>
      <c r="AC804" s="342"/>
      <c r="AD804" s="348"/>
    </row>
    <row r="805" spans="1:30" s="349" customFormat="1" ht="180">
      <c r="A805" s="469" t="s">
        <v>242</v>
      </c>
      <c r="B805" s="359"/>
      <c r="C805" s="504">
        <v>4000</v>
      </c>
      <c r="D805" s="359">
        <v>2000</v>
      </c>
      <c r="E805" s="362">
        <f>D805*C805</f>
        <v>8000000</v>
      </c>
      <c r="F805" s="359">
        <v>300</v>
      </c>
      <c r="G805" s="362">
        <f>F805*C805</f>
        <v>1200000</v>
      </c>
      <c r="H805" s="359">
        <v>300</v>
      </c>
      <c r="I805" s="362">
        <f>H805*C805</f>
        <v>1200000</v>
      </c>
      <c r="J805" s="359">
        <v>300</v>
      </c>
      <c r="K805" s="362">
        <f>J805*C805</f>
        <v>1200000</v>
      </c>
      <c r="L805" s="359">
        <v>300</v>
      </c>
      <c r="M805" s="362">
        <f>L805*C805</f>
        <v>1200000</v>
      </c>
      <c r="N805" s="359">
        <v>300</v>
      </c>
      <c r="O805" s="362">
        <f>N805*C805</f>
        <v>1200000</v>
      </c>
      <c r="P805" s="492">
        <v>300</v>
      </c>
      <c r="Q805" s="362">
        <f>P805*C805</f>
        <v>1200000</v>
      </c>
      <c r="R805" s="492">
        <v>300</v>
      </c>
      <c r="S805" s="362">
        <f>R805*C805</f>
        <v>1200000</v>
      </c>
      <c r="T805" s="492">
        <v>300</v>
      </c>
      <c r="U805" s="362">
        <f>T805*C805</f>
        <v>1200000</v>
      </c>
      <c r="V805" s="492">
        <v>300</v>
      </c>
      <c r="W805" s="362">
        <f>V805*C805</f>
        <v>1200000</v>
      </c>
      <c r="X805" s="492">
        <v>300</v>
      </c>
      <c r="Y805" s="362">
        <f>X805*C805</f>
        <v>1200000</v>
      </c>
      <c r="Z805" s="492">
        <v>300</v>
      </c>
      <c r="AA805" s="362">
        <f>Z805*C805</f>
        <v>1200000</v>
      </c>
      <c r="AB805" s="361"/>
      <c r="AC805" s="342"/>
      <c r="AD805" s="348"/>
    </row>
    <row r="806" spans="1:30" s="349" customFormat="1">
      <c r="A806" s="469"/>
      <c r="B806" s="359"/>
      <c r="C806" s="504"/>
      <c r="D806" s="359"/>
      <c r="E806" s="362"/>
      <c r="F806" s="359"/>
      <c r="G806" s="362"/>
      <c r="H806" s="359"/>
      <c r="I806" s="362"/>
      <c r="J806" s="359"/>
      <c r="K806" s="362"/>
      <c r="L806" s="359"/>
      <c r="M806" s="362"/>
      <c r="N806" s="359"/>
      <c r="O806" s="362"/>
      <c r="P806" s="492"/>
      <c r="Q806" s="362"/>
      <c r="R806" s="492"/>
      <c r="S806" s="362"/>
      <c r="T806" s="492"/>
      <c r="U806" s="362"/>
      <c r="V806" s="492"/>
      <c r="W806" s="362"/>
      <c r="X806" s="492"/>
      <c r="Y806" s="362"/>
      <c r="Z806" s="492"/>
      <c r="AA806" s="362"/>
      <c r="AB806" s="361"/>
      <c r="AC806" s="342"/>
      <c r="AD806" s="348"/>
    </row>
    <row r="807" spans="1:30" s="479" customFormat="1">
      <c r="A807" s="474"/>
      <c r="B807" s="474"/>
      <c r="C807" s="505"/>
      <c r="D807" s="474">
        <v>7.0000000000000007E-2</v>
      </c>
      <c r="E807" s="475">
        <f>E805</f>
        <v>8000000</v>
      </c>
      <c r="F807" s="474">
        <v>7.0000000000000007E-2</v>
      </c>
      <c r="G807" s="475">
        <f>G805</f>
        <v>1200000</v>
      </c>
      <c r="H807" s="474">
        <v>7.0000000000000007E-2</v>
      </c>
      <c r="I807" s="475">
        <f>I805</f>
        <v>1200000</v>
      </c>
      <c r="J807" s="474">
        <v>7.0000000000000007E-2</v>
      </c>
      <c r="K807" s="475">
        <f>K805</f>
        <v>1200000</v>
      </c>
      <c r="L807" s="474">
        <v>7.0000000000000007E-2</v>
      </c>
      <c r="M807" s="475">
        <f>M805</f>
        <v>1200000</v>
      </c>
      <c r="N807" s="474">
        <v>7.0000000000000007E-2</v>
      </c>
      <c r="O807" s="475">
        <f>O805</f>
        <v>1200000</v>
      </c>
      <c r="P807" s="515">
        <v>7.0000000000000007E-2</v>
      </c>
      <c r="Q807" s="475">
        <f>Q805</f>
        <v>1200000</v>
      </c>
      <c r="R807" s="515">
        <v>7.0000000000000007E-2</v>
      </c>
      <c r="S807" s="475">
        <f>S805</f>
        <v>1200000</v>
      </c>
      <c r="T807" s="515">
        <v>7.0000000000000007E-2</v>
      </c>
      <c r="U807" s="475">
        <f>U805</f>
        <v>1200000</v>
      </c>
      <c r="V807" s="515">
        <v>7.0000000000000007E-2</v>
      </c>
      <c r="W807" s="475">
        <f>W805</f>
        <v>1200000</v>
      </c>
      <c r="X807" s="515">
        <v>7.0000000000000007E-2</v>
      </c>
      <c r="Y807" s="475">
        <f>Y805</f>
        <v>1200000</v>
      </c>
      <c r="Z807" s="515">
        <v>7.0000000000000007E-2</v>
      </c>
      <c r="AA807" s="475">
        <f>AA805</f>
        <v>1200000</v>
      </c>
      <c r="AB807" s="476"/>
      <c r="AC807" s="477"/>
      <c r="AD807" s="478"/>
    </row>
    <row r="808" spans="1:30" s="485" customFormat="1">
      <c r="A808" s="480"/>
      <c r="B808" s="480"/>
      <c r="C808" s="507"/>
      <c r="D808" s="480"/>
      <c r="E808" s="481">
        <f>E807*D807</f>
        <v>560000</v>
      </c>
      <c r="F808" s="480"/>
      <c r="G808" s="482">
        <f>G807*F807</f>
        <v>84000.000000000015</v>
      </c>
      <c r="H808" s="480"/>
      <c r="I808" s="481">
        <f>I807*H807</f>
        <v>84000.000000000015</v>
      </c>
      <c r="J808" s="480"/>
      <c r="K808" s="481">
        <f>K807*J807</f>
        <v>84000.000000000015</v>
      </c>
      <c r="L808" s="480"/>
      <c r="M808" s="481">
        <f>M807*L807</f>
        <v>84000.000000000015</v>
      </c>
      <c r="N808" s="480"/>
      <c r="O808" s="481">
        <f>O807*N807</f>
        <v>84000.000000000015</v>
      </c>
      <c r="P808" s="516"/>
      <c r="Q808" s="481">
        <f>Q807*P807</f>
        <v>84000.000000000015</v>
      </c>
      <c r="R808" s="516"/>
      <c r="S808" s="481">
        <f>S807*R807</f>
        <v>84000.000000000015</v>
      </c>
      <c r="T808" s="516"/>
      <c r="U808" s="481">
        <f>U807*T807</f>
        <v>84000.000000000015</v>
      </c>
      <c r="V808" s="516"/>
      <c r="W808" s="481">
        <f>W807*V807</f>
        <v>84000.000000000015</v>
      </c>
      <c r="X808" s="516"/>
      <c r="Y808" s="481">
        <f>Y807*X807</f>
        <v>84000.000000000015</v>
      </c>
      <c r="Z808" s="516"/>
      <c r="AA808" s="481">
        <f>AA807*Z807</f>
        <v>84000.000000000015</v>
      </c>
      <c r="AB808" s="481">
        <f>SUM(AA808,Y808,W808,U808,S808,Q808,O808,M808,K808,I808,G808,E808)</f>
        <v>1484000</v>
      </c>
      <c r="AC808" s="483"/>
      <c r="AD808" s="484"/>
    </row>
    <row r="809" spans="1:30" s="349" customFormat="1">
      <c r="A809" s="364"/>
      <c r="B809" s="359"/>
      <c r="C809" s="504"/>
      <c r="D809" s="359"/>
      <c r="E809" s="472"/>
      <c r="F809" s="359"/>
      <c r="G809" s="471"/>
      <c r="H809" s="359"/>
      <c r="I809" s="472"/>
      <c r="J809" s="359"/>
      <c r="K809" s="472"/>
      <c r="L809" s="359"/>
      <c r="M809" s="472"/>
      <c r="N809" s="359"/>
      <c r="O809" s="472"/>
      <c r="P809" s="492"/>
      <c r="Q809" s="472"/>
      <c r="R809" s="492"/>
      <c r="S809" s="472"/>
      <c r="T809" s="492"/>
      <c r="U809" s="472"/>
      <c r="V809" s="492"/>
      <c r="W809" s="472"/>
      <c r="X809" s="492"/>
      <c r="Y809" s="472"/>
      <c r="Z809" s="492"/>
      <c r="AA809" s="472"/>
      <c r="AB809" s="472"/>
      <c r="AC809" s="342"/>
      <c r="AD809" s="473"/>
    </row>
    <row r="810" spans="1:30" s="349" customFormat="1" ht="14.6">
      <c r="A810" s="514" t="s">
        <v>212</v>
      </c>
      <c r="B810" s="359"/>
      <c r="C810" s="504"/>
      <c r="D810" s="359"/>
      <c r="E810" s="362"/>
      <c r="F810" s="359"/>
      <c r="G810" s="362"/>
      <c r="H810" s="359"/>
      <c r="I810" s="362"/>
      <c r="J810" s="359"/>
      <c r="K810" s="362"/>
      <c r="L810" s="359"/>
      <c r="M810" s="362"/>
      <c r="N810" s="359"/>
      <c r="O810" s="362"/>
      <c r="P810" s="492"/>
      <c r="Q810" s="362"/>
      <c r="R810" s="492"/>
      <c r="S810" s="362"/>
      <c r="T810" s="492"/>
      <c r="U810" s="362"/>
      <c r="V810" s="492"/>
      <c r="W810" s="362"/>
      <c r="X810" s="492"/>
      <c r="Y810" s="362"/>
      <c r="Z810" s="492"/>
      <c r="AA810" s="362"/>
      <c r="AB810" s="361"/>
      <c r="AC810" s="342"/>
      <c r="AD810" s="348"/>
    </row>
    <row r="811" spans="1:30" s="349" customFormat="1" ht="90">
      <c r="A811" s="469" t="s">
        <v>243</v>
      </c>
      <c r="B811" s="359">
        <v>100</v>
      </c>
      <c r="C811" s="504">
        <v>12000</v>
      </c>
      <c r="D811" s="359">
        <v>500</v>
      </c>
      <c r="E811" s="362">
        <f>D811*C811</f>
        <v>6000000</v>
      </c>
      <c r="F811" s="359">
        <v>100</v>
      </c>
      <c r="G811" s="362">
        <f>F811*C811</f>
        <v>1200000</v>
      </c>
      <c r="H811" s="359">
        <v>100</v>
      </c>
      <c r="I811" s="362">
        <f>H811*C811</f>
        <v>1200000</v>
      </c>
      <c r="J811" s="359">
        <v>100</v>
      </c>
      <c r="K811" s="362">
        <f>J811*C811</f>
        <v>1200000</v>
      </c>
      <c r="L811" s="359">
        <v>100</v>
      </c>
      <c r="M811" s="362">
        <f>L811*C811</f>
        <v>1200000</v>
      </c>
      <c r="N811" s="359">
        <v>100</v>
      </c>
      <c r="O811" s="362">
        <f>N811*C811</f>
        <v>1200000</v>
      </c>
      <c r="P811" s="492">
        <v>100</v>
      </c>
      <c r="Q811" s="362">
        <f>P811*C811</f>
        <v>1200000</v>
      </c>
      <c r="R811" s="492">
        <v>100</v>
      </c>
      <c r="S811" s="362">
        <f>R811*C811</f>
        <v>1200000</v>
      </c>
      <c r="T811" s="492">
        <v>100</v>
      </c>
      <c r="U811" s="362">
        <f>T811*C811</f>
        <v>1200000</v>
      </c>
      <c r="V811" s="492">
        <v>100</v>
      </c>
      <c r="W811" s="362">
        <f>V811*C811</f>
        <v>1200000</v>
      </c>
      <c r="X811" s="492">
        <v>100</v>
      </c>
      <c r="Y811" s="362">
        <f>X811*C811</f>
        <v>1200000</v>
      </c>
      <c r="Z811" s="492">
        <v>100</v>
      </c>
      <c r="AA811" s="362">
        <f>Z811*C811</f>
        <v>1200000</v>
      </c>
      <c r="AB811" s="361"/>
      <c r="AC811" s="342"/>
      <c r="AD811" s="348"/>
    </row>
    <row r="812" spans="1:30" s="349" customFormat="1">
      <c r="A812" s="359"/>
      <c r="B812" s="359"/>
      <c r="C812" s="504"/>
      <c r="D812" s="359"/>
      <c r="E812" s="362"/>
      <c r="F812" s="359"/>
      <c r="G812" s="362"/>
      <c r="H812" s="359"/>
      <c r="I812" s="362"/>
      <c r="J812" s="359"/>
      <c r="K812" s="362"/>
      <c r="L812" s="359"/>
      <c r="M812" s="362"/>
      <c r="N812" s="359"/>
      <c r="O812" s="362"/>
      <c r="P812" s="492"/>
      <c r="Q812" s="362"/>
      <c r="R812" s="492"/>
      <c r="S812" s="362"/>
      <c r="T812" s="492"/>
      <c r="U812" s="362"/>
      <c r="V812" s="492"/>
      <c r="W812" s="362"/>
      <c r="X812" s="492"/>
      <c r="Y812" s="362"/>
      <c r="Z812" s="492"/>
      <c r="AA812" s="362"/>
      <c r="AB812" s="360"/>
      <c r="AC812" s="342"/>
      <c r="AD812" s="348"/>
    </row>
    <row r="813" spans="1:30" s="479" customFormat="1">
      <c r="A813" s="474"/>
      <c r="B813" s="474"/>
      <c r="C813" s="505"/>
      <c r="D813" s="474">
        <v>7.0000000000000007E-2</v>
      </c>
      <c r="E813" s="475">
        <f>E811</f>
        <v>6000000</v>
      </c>
      <c r="F813" s="474">
        <v>7.0000000000000007E-2</v>
      </c>
      <c r="G813" s="475">
        <f>G811</f>
        <v>1200000</v>
      </c>
      <c r="H813" s="474">
        <v>7.0000000000000007E-2</v>
      </c>
      <c r="I813" s="475">
        <f>I811</f>
        <v>1200000</v>
      </c>
      <c r="J813" s="474">
        <v>7.0000000000000007E-2</v>
      </c>
      <c r="K813" s="475">
        <f>K811</f>
        <v>1200000</v>
      </c>
      <c r="L813" s="474">
        <v>7.0000000000000007E-2</v>
      </c>
      <c r="M813" s="475">
        <f>M811</f>
        <v>1200000</v>
      </c>
      <c r="N813" s="474">
        <v>7.0000000000000007E-2</v>
      </c>
      <c r="O813" s="475">
        <f>O811</f>
        <v>1200000</v>
      </c>
      <c r="P813" s="515">
        <v>7.0000000000000007E-2</v>
      </c>
      <c r="Q813" s="475">
        <f>Q811</f>
        <v>1200000</v>
      </c>
      <c r="R813" s="515">
        <v>7.0000000000000007E-2</v>
      </c>
      <c r="S813" s="475">
        <f>S811</f>
        <v>1200000</v>
      </c>
      <c r="T813" s="515">
        <v>7.0000000000000007E-2</v>
      </c>
      <c r="U813" s="475">
        <f>U811</f>
        <v>1200000</v>
      </c>
      <c r="V813" s="515">
        <v>7.0000000000000007E-2</v>
      </c>
      <c r="W813" s="475">
        <f>W811</f>
        <v>1200000</v>
      </c>
      <c r="X813" s="515">
        <v>7.0000000000000007E-2</v>
      </c>
      <c r="Y813" s="475">
        <f>Y811</f>
        <v>1200000</v>
      </c>
      <c r="Z813" s="515">
        <v>7.0000000000000007E-2</v>
      </c>
      <c r="AA813" s="475">
        <f>AA811</f>
        <v>1200000</v>
      </c>
      <c r="AB813" s="476"/>
      <c r="AC813" s="477"/>
      <c r="AD813" s="478"/>
    </row>
    <row r="814" spans="1:30" s="485" customFormat="1">
      <c r="A814" s="480"/>
      <c r="B814" s="480"/>
      <c r="C814" s="507"/>
      <c r="D814" s="480"/>
      <c r="E814" s="481">
        <f>E813*D813</f>
        <v>420000.00000000006</v>
      </c>
      <c r="F814" s="480"/>
      <c r="G814" s="482">
        <f>G813*F813</f>
        <v>84000.000000000015</v>
      </c>
      <c r="H814" s="480"/>
      <c r="I814" s="481">
        <f>I813*H813</f>
        <v>84000.000000000015</v>
      </c>
      <c r="J814" s="480"/>
      <c r="K814" s="481">
        <f>K813*J813</f>
        <v>84000.000000000015</v>
      </c>
      <c r="L814" s="480"/>
      <c r="M814" s="481">
        <f>M813*L813</f>
        <v>84000.000000000015</v>
      </c>
      <c r="N814" s="480"/>
      <c r="O814" s="481">
        <f>O813*N813</f>
        <v>84000.000000000015</v>
      </c>
      <c r="P814" s="516"/>
      <c r="Q814" s="481">
        <f>Q813*P813</f>
        <v>84000.000000000015</v>
      </c>
      <c r="R814" s="516"/>
      <c r="S814" s="481">
        <f>S813*R813</f>
        <v>84000.000000000015</v>
      </c>
      <c r="T814" s="516"/>
      <c r="U814" s="481">
        <f>U813*T813</f>
        <v>84000.000000000015</v>
      </c>
      <c r="V814" s="516"/>
      <c r="W814" s="481">
        <f>W813*V813</f>
        <v>84000.000000000015</v>
      </c>
      <c r="X814" s="516"/>
      <c r="Y814" s="481">
        <f>Y813*X813</f>
        <v>84000.000000000015</v>
      </c>
      <c r="Z814" s="516"/>
      <c r="AA814" s="481">
        <f>AA813*Z813</f>
        <v>84000.000000000015</v>
      </c>
      <c r="AB814" s="481">
        <f>SUM(AA814,Y814,W814,U814,S814,Q814,O814,M814,K814,I814,G814,E814)</f>
        <v>1344000.0000000002</v>
      </c>
      <c r="AC814" s="483"/>
      <c r="AD814" s="484"/>
    </row>
    <row r="815" spans="1:30" s="349" customFormat="1">
      <c r="A815" s="359"/>
      <c r="B815" s="359"/>
      <c r="C815" s="504"/>
      <c r="D815" s="359"/>
      <c r="E815" s="472"/>
      <c r="F815" s="359"/>
      <c r="G815" s="471"/>
      <c r="H815" s="359"/>
      <c r="I815" s="472"/>
      <c r="J815" s="359"/>
      <c r="K815" s="472"/>
      <c r="L815" s="359"/>
      <c r="M815" s="472"/>
      <c r="N815" s="359"/>
      <c r="O815" s="472"/>
      <c r="P815" s="492"/>
      <c r="Q815" s="472"/>
      <c r="R815" s="492"/>
      <c r="S815" s="472"/>
      <c r="T815" s="492"/>
      <c r="U815" s="472"/>
      <c r="V815" s="492"/>
      <c r="W815" s="472"/>
      <c r="X815" s="492"/>
      <c r="Y815" s="472"/>
      <c r="Z815" s="492"/>
      <c r="AA815" s="472"/>
      <c r="AB815" s="472"/>
      <c r="AC815" s="342"/>
      <c r="AD815" s="473"/>
    </row>
    <row r="816" spans="1:30" ht="14.6">
      <c r="A816" s="514" t="s">
        <v>244</v>
      </c>
      <c r="B816" s="359"/>
      <c r="C816" s="504"/>
      <c r="D816" s="359"/>
      <c r="E816" s="362"/>
      <c r="F816" s="359"/>
      <c r="G816" s="362"/>
      <c r="H816" s="359"/>
      <c r="I816" s="362"/>
      <c r="J816" s="359"/>
      <c r="K816" s="362"/>
      <c r="L816" s="359"/>
      <c r="M816" s="362"/>
      <c r="N816" s="359"/>
      <c r="O816" s="362"/>
      <c r="P816" s="492"/>
      <c r="Q816" s="362"/>
      <c r="R816" s="492"/>
      <c r="S816" s="362"/>
      <c r="T816" s="492"/>
      <c r="U816" s="362"/>
      <c r="V816" s="492"/>
      <c r="W816" s="362"/>
      <c r="X816" s="492"/>
      <c r="Y816" s="362"/>
      <c r="Z816" s="492"/>
      <c r="AA816" s="362"/>
      <c r="AB816" s="361"/>
      <c r="AD816" s="350"/>
    </row>
    <row r="817" spans="1:30" s="349" customFormat="1" ht="102.9">
      <c r="A817" s="469" t="s">
        <v>245</v>
      </c>
      <c r="B817" s="359"/>
      <c r="C817" s="504">
        <v>5000</v>
      </c>
      <c r="D817" s="359">
        <v>1000</v>
      </c>
      <c r="E817" s="362">
        <f>D817*C817</f>
        <v>5000000</v>
      </c>
      <c r="F817" s="359">
        <v>100</v>
      </c>
      <c r="G817" s="362">
        <f>F817*C817</f>
        <v>500000</v>
      </c>
      <c r="H817" s="359">
        <v>100</v>
      </c>
      <c r="I817" s="362">
        <f>H817*C817</f>
        <v>500000</v>
      </c>
      <c r="J817" s="359">
        <v>100</v>
      </c>
      <c r="K817" s="362">
        <f>J817*C817</f>
        <v>500000</v>
      </c>
      <c r="L817" s="359">
        <v>100</v>
      </c>
      <c r="M817" s="362">
        <f>L817*C817</f>
        <v>500000</v>
      </c>
      <c r="N817" s="359">
        <v>100</v>
      </c>
      <c r="O817" s="362">
        <f>N817*C817</f>
        <v>500000</v>
      </c>
      <c r="P817" s="492">
        <v>100</v>
      </c>
      <c r="Q817" s="362">
        <f>P817*C817</f>
        <v>500000</v>
      </c>
      <c r="R817" s="492">
        <v>100</v>
      </c>
      <c r="S817" s="362">
        <f>R817*C817</f>
        <v>500000</v>
      </c>
      <c r="T817" s="492">
        <v>100</v>
      </c>
      <c r="U817" s="362">
        <f>T817*C817</f>
        <v>500000</v>
      </c>
      <c r="V817" s="492">
        <v>100</v>
      </c>
      <c r="W817" s="362">
        <f>V817*C817</f>
        <v>500000</v>
      </c>
      <c r="X817" s="492">
        <v>100</v>
      </c>
      <c r="Y817" s="362">
        <f>X817*C817</f>
        <v>500000</v>
      </c>
      <c r="Z817" s="492">
        <v>100</v>
      </c>
      <c r="AA817" s="362">
        <f>Z817*C817</f>
        <v>500000</v>
      </c>
      <c r="AB817" s="361"/>
      <c r="AC817" s="342"/>
      <c r="AD817" s="348"/>
    </row>
    <row r="818" spans="1:30" s="349" customFormat="1">
      <c r="A818" s="359"/>
      <c r="B818" s="359"/>
      <c r="C818" s="504"/>
      <c r="D818" s="359"/>
      <c r="E818" s="362"/>
      <c r="F818" s="359"/>
      <c r="G818" s="362"/>
      <c r="H818" s="359"/>
      <c r="I818" s="362"/>
      <c r="J818" s="359"/>
      <c r="K818" s="362"/>
      <c r="L818" s="359"/>
      <c r="M818" s="362"/>
      <c r="N818" s="359"/>
      <c r="O818" s="362"/>
      <c r="P818" s="492"/>
      <c r="Q818" s="362"/>
      <c r="R818" s="492"/>
      <c r="S818" s="362"/>
      <c r="T818" s="492"/>
      <c r="U818" s="362"/>
      <c r="V818" s="492"/>
      <c r="W818" s="362"/>
      <c r="X818" s="492"/>
      <c r="Y818" s="362"/>
      <c r="Z818" s="492"/>
      <c r="AA818" s="362"/>
      <c r="AB818" s="360"/>
      <c r="AC818" s="342"/>
      <c r="AD818" s="348"/>
    </row>
    <row r="819" spans="1:30" s="479" customFormat="1">
      <c r="A819" s="474"/>
      <c r="B819" s="474"/>
      <c r="C819" s="505"/>
      <c r="D819" s="474">
        <v>7.0000000000000007E-2</v>
      </c>
      <c r="E819" s="475">
        <f>E817</f>
        <v>5000000</v>
      </c>
      <c r="F819" s="474">
        <v>7.0000000000000007E-2</v>
      </c>
      <c r="G819" s="475">
        <f>G817</f>
        <v>500000</v>
      </c>
      <c r="H819" s="474">
        <v>7.0000000000000007E-2</v>
      </c>
      <c r="I819" s="475">
        <f>I817</f>
        <v>500000</v>
      </c>
      <c r="J819" s="474">
        <v>7.0000000000000007E-2</v>
      </c>
      <c r="K819" s="475">
        <f>K817</f>
        <v>500000</v>
      </c>
      <c r="L819" s="474">
        <v>7.0000000000000007E-2</v>
      </c>
      <c r="M819" s="475">
        <f>M817</f>
        <v>500000</v>
      </c>
      <c r="N819" s="474">
        <v>7.0000000000000007E-2</v>
      </c>
      <c r="O819" s="475">
        <f>O817</f>
        <v>500000</v>
      </c>
      <c r="P819" s="515">
        <v>7.0000000000000007E-2</v>
      </c>
      <c r="Q819" s="475">
        <f>Q817</f>
        <v>500000</v>
      </c>
      <c r="R819" s="515">
        <v>7.0000000000000007E-2</v>
      </c>
      <c r="S819" s="475">
        <f>S817</f>
        <v>500000</v>
      </c>
      <c r="T819" s="515">
        <v>7.0000000000000007E-2</v>
      </c>
      <c r="U819" s="475">
        <f>U817</f>
        <v>500000</v>
      </c>
      <c r="V819" s="515">
        <v>7.0000000000000007E-2</v>
      </c>
      <c r="W819" s="475">
        <f>W817</f>
        <v>500000</v>
      </c>
      <c r="X819" s="515">
        <v>7.0000000000000007E-2</v>
      </c>
      <c r="Y819" s="475">
        <f>Y817</f>
        <v>500000</v>
      </c>
      <c r="Z819" s="515">
        <v>7.0000000000000007E-2</v>
      </c>
      <c r="AA819" s="475">
        <f>AA817</f>
        <v>500000</v>
      </c>
      <c r="AB819" s="476"/>
      <c r="AC819" s="477"/>
      <c r="AD819" s="478"/>
    </row>
    <row r="820" spans="1:30" s="485" customFormat="1">
      <c r="A820" s="480"/>
      <c r="B820" s="480"/>
      <c r="C820" s="507"/>
      <c r="D820" s="480"/>
      <c r="E820" s="481">
        <f>E819*D819</f>
        <v>350000.00000000006</v>
      </c>
      <c r="F820" s="480"/>
      <c r="G820" s="482">
        <f>G819*F819</f>
        <v>35000</v>
      </c>
      <c r="H820" s="480"/>
      <c r="I820" s="481">
        <f>I819*H819</f>
        <v>35000</v>
      </c>
      <c r="J820" s="480"/>
      <c r="K820" s="481">
        <f>K819*J819</f>
        <v>35000</v>
      </c>
      <c r="L820" s="480"/>
      <c r="M820" s="481">
        <f>M819*L819</f>
        <v>35000</v>
      </c>
      <c r="N820" s="480"/>
      <c r="O820" s="481">
        <f>O819*N819</f>
        <v>35000</v>
      </c>
      <c r="P820" s="516"/>
      <c r="Q820" s="481">
        <f>Q819*P819</f>
        <v>35000</v>
      </c>
      <c r="R820" s="516"/>
      <c r="S820" s="481">
        <f>S819*R819</f>
        <v>35000</v>
      </c>
      <c r="T820" s="516"/>
      <c r="U820" s="481">
        <f>U819*T819</f>
        <v>35000</v>
      </c>
      <c r="V820" s="516"/>
      <c r="W820" s="481">
        <f>W819*V819</f>
        <v>35000</v>
      </c>
      <c r="X820" s="516"/>
      <c r="Y820" s="481">
        <f>Y819*X819</f>
        <v>35000</v>
      </c>
      <c r="Z820" s="516"/>
      <c r="AA820" s="481">
        <f>AA819*Z819</f>
        <v>35000</v>
      </c>
      <c r="AB820" s="481">
        <f>SUM(AA820,Y820,W820,U820,S820,Q820,O820,M820,K820,I820,G820,E820)</f>
        <v>735000</v>
      </c>
      <c r="AC820" s="483"/>
      <c r="AD820" s="484"/>
    </row>
    <row r="821" spans="1:30" s="349" customFormat="1">
      <c r="A821" s="364"/>
      <c r="B821" s="359"/>
      <c r="C821" s="504"/>
      <c r="D821" s="359"/>
      <c r="E821" s="472"/>
      <c r="F821" s="359"/>
      <c r="G821" s="471"/>
      <c r="H821" s="359"/>
      <c r="I821" s="472"/>
      <c r="J821" s="359"/>
      <c r="K821" s="472"/>
      <c r="L821" s="359"/>
      <c r="M821" s="472"/>
      <c r="N821" s="359"/>
      <c r="O821" s="472"/>
      <c r="P821" s="492"/>
      <c r="Q821" s="472"/>
      <c r="R821" s="492"/>
      <c r="S821" s="472"/>
      <c r="T821" s="492"/>
      <c r="U821" s="472"/>
      <c r="V821" s="492"/>
      <c r="W821" s="472"/>
      <c r="X821" s="492"/>
      <c r="Y821" s="472"/>
      <c r="Z821" s="492"/>
      <c r="AA821" s="472"/>
      <c r="AB821" s="472"/>
      <c r="AC821" s="342"/>
      <c r="AD821" s="473"/>
    </row>
    <row r="822" spans="1:30" s="349" customFormat="1" ht="14.6">
      <c r="A822" s="470" t="s">
        <v>254</v>
      </c>
      <c r="B822" s="359"/>
      <c r="C822" s="504"/>
      <c r="D822" s="359"/>
      <c r="E822" s="362"/>
      <c r="F822" s="359"/>
      <c r="G822" s="362"/>
      <c r="H822" s="359"/>
      <c r="I822" s="362"/>
      <c r="J822" s="359"/>
      <c r="K822" s="362"/>
      <c r="L822" s="359"/>
      <c r="M822" s="362"/>
      <c r="N822" s="359"/>
      <c r="O822" s="362"/>
      <c r="P822" s="492"/>
      <c r="Q822" s="362"/>
      <c r="R822" s="492"/>
      <c r="S822" s="362"/>
      <c r="T822" s="492"/>
      <c r="U822" s="362"/>
      <c r="V822" s="492"/>
      <c r="W822" s="362"/>
      <c r="X822" s="492"/>
      <c r="Y822" s="362"/>
      <c r="Z822" s="492"/>
      <c r="AA822" s="362"/>
      <c r="AB822" s="361"/>
      <c r="AC822" s="342"/>
      <c r="AD822" s="348"/>
    </row>
    <row r="823" spans="1:30" s="349" customFormat="1" ht="180">
      <c r="A823" s="469" t="s">
        <v>255</v>
      </c>
      <c r="B823" s="359"/>
      <c r="C823" s="504">
        <v>15000</v>
      </c>
      <c r="D823" s="359">
        <v>500</v>
      </c>
      <c r="E823" s="362">
        <f>D823*C823</f>
        <v>7500000</v>
      </c>
      <c r="F823" s="359">
        <v>300</v>
      </c>
      <c r="G823" s="362">
        <f>F823*C823</f>
        <v>4500000</v>
      </c>
      <c r="H823" s="359">
        <v>300</v>
      </c>
      <c r="I823" s="362">
        <f>H823*C823</f>
        <v>4500000</v>
      </c>
      <c r="J823" s="359">
        <v>300</v>
      </c>
      <c r="K823" s="362">
        <f>J823*C823</f>
        <v>4500000</v>
      </c>
      <c r="L823" s="359">
        <v>300</v>
      </c>
      <c r="M823" s="362">
        <f>L823*C823</f>
        <v>4500000</v>
      </c>
      <c r="N823" s="359">
        <v>300</v>
      </c>
      <c r="O823" s="362">
        <f>N823*C823</f>
        <v>4500000</v>
      </c>
      <c r="P823" s="492">
        <v>300</v>
      </c>
      <c r="Q823" s="362">
        <f>P823*C823</f>
        <v>4500000</v>
      </c>
      <c r="R823" s="492">
        <v>300</v>
      </c>
      <c r="S823" s="362">
        <f>R823*C823</f>
        <v>4500000</v>
      </c>
      <c r="T823" s="492">
        <v>300</v>
      </c>
      <c r="U823" s="362">
        <f>T823*C823</f>
        <v>4500000</v>
      </c>
      <c r="V823" s="492">
        <v>300</v>
      </c>
      <c r="W823" s="362">
        <f>V823*C823</f>
        <v>4500000</v>
      </c>
      <c r="X823" s="492">
        <v>300</v>
      </c>
      <c r="Y823" s="362">
        <f>X823*C823</f>
        <v>4500000</v>
      </c>
      <c r="Z823" s="492">
        <v>300</v>
      </c>
      <c r="AA823" s="362">
        <f>Z823*C823</f>
        <v>4500000</v>
      </c>
      <c r="AB823" s="361"/>
      <c r="AC823" s="342"/>
      <c r="AD823" s="348"/>
    </row>
    <row r="824" spans="1:30" s="349" customFormat="1">
      <c r="A824" s="359"/>
      <c r="B824" s="359"/>
      <c r="C824" s="504"/>
      <c r="D824" s="359"/>
      <c r="E824" s="362"/>
      <c r="F824" s="359"/>
      <c r="G824" s="362"/>
      <c r="H824" s="359"/>
      <c r="I824" s="362"/>
      <c r="J824" s="359"/>
      <c r="K824" s="362"/>
      <c r="L824" s="359"/>
      <c r="M824" s="362"/>
      <c r="N824" s="359"/>
      <c r="O824" s="362"/>
      <c r="P824" s="492"/>
      <c r="Q824" s="362"/>
      <c r="R824" s="492"/>
      <c r="S824" s="362"/>
      <c r="T824" s="492"/>
      <c r="U824" s="362"/>
      <c r="V824" s="492"/>
      <c r="W824" s="362"/>
      <c r="X824" s="492"/>
      <c r="Y824" s="362"/>
      <c r="Z824" s="492"/>
      <c r="AA824" s="362"/>
      <c r="AB824" s="360"/>
      <c r="AC824" s="342"/>
      <c r="AD824" s="348"/>
    </row>
    <row r="825" spans="1:30" s="479" customFormat="1">
      <c r="A825" s="474"/>
      <c r="B825" s="474"/>
      <c r="C825" s="505"/>
      <c r="D825" s="474">
        <v>7.0000000000000007E-2</v>
      </c>
      <c r="E825" s="475">
        <f>E823</f>
        <v>7500000</v>
      </c>
      <c r="F825" s="474">
        <v>7.0000000000000007E-2</v>
      </c>
      <c r="G825" s="475">
        <f>G823</f>
        <v>4500000</v>
      </c>
      <c r="H825" s="474">
        <v>7.0000000000000007E-2</v>
      </c>
      <c r="I825" s="475">
        <f>I823</f>
        <v>4500000</v>
      </c>
      <c r="J825" s="474">
        <v>7.0000000000000007E-2</v>
      </c>
      <c r="K825" s="475">
        <f>K823</f>
        <v>4500000</v>
      </c>
      <c r="L825" s="474">
        <v>7.0000000000000007E-2</v>
      </c>
      <c r="M825" s="475">
        <f>M823</f>
        <v>4500000</v>
      </c>
      <c r="N825" s="474">
        <v>7.0000000000000007E-2</v>
      </c>
      <c r="O825" s="475">
        <f>O823</f>
        <v>4500000</v>
      </c>
      <c r="P825" s="515">
        <v>7.0000000000000007E-2</v>
      </c>
      <c r="Q825" s="475">
        <f>Q823</f>
        <v>4500000</v>
      </c>
      <c r="R825" s="515">
        <v>7.0000000000000007E-2</v>
      </c>
      <c r="S825" s="475">
        <f>S823</f>
        <v>4500000</v>
      </c>
      <c r="T825" s="515">
        <v>7.0000000000000007E-2</v>
      </c>
      <c r="U825" s="475">
        <f>U823</f>
        <v>4500000</v>
      </c>
      <c r="V825" s="515">
        <v>7.0000000000000007E-2</v>
      </c>
      <c r="W825" s="475">
        <f>W823</f>
        <v>4500000</v>
      </c>
      <c r="X825" s="515">
        <v>7.0000000000000007E-2</v>
      </c>
      <c r="Y825" s="475">
        <f>SUM(Y779:Y780)</f>
        <v>16050000</v>
      </c>
      <c r="Z825" s="515">
        <v>7.0000000000000007E-2</v>
      </c>
      <c r="AA825" s="475">
        <f>SUM(AA779:AA780)</f>
        <v>16050000</v>
      </c>
      <c r="AB825" s="476"/>
      <c r="AC825" s="477"/>
      <c r="AD825" s="478"/>
    </row>
    <row r="826" spans="1:30" s="485" customFormat="1">
      <c r="A826" s="480"/>
      <c r="B826" s="480"/>
      <c r="C826" s="507"/>
      <c r="D826" s="480"/>
      <c r="E826" s="481">
        <f>E825*D825</f>
        <v>525000</v>
      </c>
      <c r="F826" s="480"/>
      <c r="G826" s="482">
        <f>G825*F825</f>
        <v>315000.00000000006</v>
      </c>
      <c r="H826" s="480"/>
      <c r="I826" s="481">
        <f>I825*H825</f>
        <v>315000.00000000006</v>
      </c>
      <c r="J826" s="480"/>
      <c r="K826" s="481">
        <f>K825*J825</f>
        <v>315000.00000000006</v>
      </c>
      <c r="L826" s="480"/>
      <c r="M826" s="481">
        <f>M825*L825</f>
        <v>315000.00000000006</v>
      </c>
      <c r="N826" s="480"/>
      <c r="O826" s="481">
        <f>O825*N825</f>
        <v>315000.00000000006</v>
      </c>
      <c r="P826" s="480"/>
      <c r="Q826" s="481">
        <f>Q825*P825</f>
        <v>315000.00000000006</v>
      </c>
      <c r="R826" s="480"/>
      <c r="S826" s="481">
        <f>S825*R825</f>
        <v>315000.00000000006</v>
      </c>
      <c r="T826" s="480"/>
      <c r="U826" s="481">
        <f>U825*T825</f>
        <v>315000.00000000006</v>
      </c>
      <c r="V826" s="480"/>
      <c r="W826" s="481">
        <f>W825*V825</f>
        <v>315000.00000000006</v>
      </c>
      <c r="X826" s="480"/>
      <c r="Y826" s="481">
        <f>Y825*X825</f>
        <v>1123500</v>
      </c>
      <c r="Z826" s="480"/>
      <c r="AA826" s="481">
        <f>AA825*Z825</f>
        <v>1123500</v>
      </c>
      <c r="AB826" s="481">
        <f>SUM(AA826,Y826,W826,U826,S826,Q826,O826,M826,K826,I826,G826,E826)</f>
        <v>5607000</v>
      </c>
      <c r="AC826" s="483"/>
      <c r="AD826" s="484"/>
    </row>
    <row r="827" spans="1:30" s="396" customFormat="1">
      <c r="A827" s="397" t="s">
        <v>213</v>
      </c>
      <c r="B827" s="397"/>
      <c r="C827" s="502"/>
      <c r="D827" s="397"/>
      <c r="E827" s="399"/>
      <c r="F827" s="397"/>
      <c r="G827" s="399"/>
      <c r="H827" s="397"/>
      <c r="I827" s="399"/>
      <c r="J827" s="397"/>
      <c r="K827" s="399"/>
      <c r="L827" s="397"/>
      <c r="M827" s="399"/>
      <c r="N827" s="397"/>
      <c r="O827" s="399"/>
      <c r="P827" s="397"/>
      <c r="Q827" s="399"/>
      <c r="R827" s="397"/>
      <c r="S827" s="399"/>
      <c r="T827" s="397"/>
      <c r="U827" s="399"/>
      <c r="V827" s="397"/>
      <c r="W827" s="399"/>
      <c r="X827" s="397"/>
      <c r="Y827" s="399"/>
      <c r="Z827" s="397"/>
      <c r="AA827" s="399"/>
      <c r="AB827" s="399"/>
      <c r="AC827" s="395"/>
    </row>
    <row r="828" spans="1:30">
      <c r="A828" s="379" t="s">
        <v>208</v>
      </c>
      <c r="B828" s="379"/>
      <c r="C828" s="508"/>
      <c r="D828" s="379"/>
      <c r="E828" s="378"/>
      <c r="F828" s="379"/>
      <c r="G828" s="378"/>
      <c r="H828" s="379"/>
      <c r="I828" s="378"/>
      <c r="J828" s="379"/>
      <c r="K828" s="378"/>
      <c r="L828" s="379"/>
      <c r="M828" s="378"/>
      <c r="N828" s="379"/>
      <c r="O828" s="378"/>
      <c r="P828" s="379"/>
      <c r="Q828" s="378"/>
      <c r="R828" s="379"/>
      <c r="S828" s="378"/>
      <c r="T828" s="379"/>
      <c r="U828" s="378"/>
      <c r="V828" s="379"/>
      <c r="W828" s="378"/>
      <c r="X828" s="379"/>
      <c r="Y828" s="378"/>
      <c r="Z828" s="379"/>
      <c r="AA828" s="378"/>
      <c r="AB828" s="378"/>
      <c r="AD828" s="350"/>
    </row>
    <row r="829" spans="1:30" s="396" customFormat="1">
      <c r="A829" s="397" t="s">
        <v>209</v>
      </c>
      <c r="B829" s="397"/>
      <c r="C829" s="502"/>
      <c r="D829" s="397"/>
      <c r="E829" s="399"/>
      <c r="F829" s="397"/>
      <c r="G829" s="399"/>
      <c r="H829" s="397"/>
      <c r="I829" s="399"/>
      <c r="J829" s="397"/>
      <c r="K829" s="399"/>
      <c r="L829" s="397"/>
      <c r="M829" s="399"/>
      <c r="N829" s="397"/>
      <c r="O829" s="399"/>
      <c r="P829" s="397"/>
      <c r="Q829" s="399"/>
      <c r="R829" s="397"/>
      <c r="S829" s="399"/>
      <c r="T829" s="397"/>
      <c r="U829" s="399"/>
      <c r="V829" s="397"/>
      <c r="W829" s="399"/>
      <c r="X829" s="397"/>
      <c r="Y829" s="399"/>
      <c r="Z829" s="397"/>
      <c r="AA829" s="399"/>
      <c r="AB829" s="399"/>
      <c r="AC829" s="395"/>
    </row>
    <row r="830" spans="1:30">
      <c r="A830" s="349"/>
      <c r="B830" s="349"/>
      <c r="C830" s="509"/>
      <c r="D830" s="349"/>
      <c r="E830" s="349"/>
      <c r="F830" s="349"/>
      <c r="G830" s="340"/>
      <c r="H830" s="349"/>
      <c r="I830" s="346"/>
      <c r="J830" s="349"/>
      <c r="K830" s="346"/>
      <c r="L830" s="349"/>
      <c r="M830" s="346"/>
      <c r="N830" s="349"/>
      <c r="O830" s="346"/>
      <c r="P830" s="349"/>
      <c r="Q830" s="346"/>
      <c r="R830" s="349"/>
      <c r="S830" s="346"/>
      <c r="T830" s="349"/>
      <c r="U830" s="346"/>
      <c r="V830" s="349"/>
      <c r="W830" s="346"/>
      <c r="X830" s="349"/>
      <c r="Y830" s="346"/>
      <c r="Z830" s="349"/>
      <c r="AA830" s="346"/>
      <c r="AB830" s="347"/>
      <c r="AD830" s="350"/>
    </row>
    <row r="831" spans="1:30">
      <c r="A831" s="349"/>
      <c r="B831" s="349"/>
      <c r="C831" s="509"/>
      <c r="D831" s="349"/>
      <c r="E831" s="344"/>
      <c r="F831" s="349"/>
      <c r="G831" s="317"/>
      <c r="H831" s="349"/>
      <c r="I831" s="318"/>
      <c r="J831" s="349"/>
      <c r="K831" s="318"/>
      <c r="L831" s="349"/>
      <c r="M831" s="318"/>
      <c r="N831" s="349"/>
      <c r="O831" s="318"/>
      <c r="P831" s="349"/>
      <c r="Q831" s="318"/>
      <c r="R831" s="349"/>
      <c r="S831" s="318"/>
      <c r="T831" s="349"/>
      <c r="U831" s="318"/>
      <c r="V831" s="349"/>
      <c r="W831" s="318"/>
      <c r="X831" s="349"/>
      <c r="Y831" s="318"/>
      <c r="Z831" s="349"/>
      <c r="AA831" s="318"/>
      <c r="AB831" s="338"/>
      <c r="AD831" s="350"/>
    </row>
    <row r="832" spans="1:30">
      <c r="A832" s="349"/>
      <c r="B832" s="349"/>
      <c r="C832" s="509"/>
      <c r="D832" s="349"/>
      <c r="E832" s="317"/>
      <c r="F832" s="349"/>
      <c r="G832" s="317"/>
      <c r="H832" s="349"/>
      <c r="I832" s="318"/>
      <c r="J832" s="349"/>
      <c r="K832" s="318"/>
      <c r="L832" s="349"/>
      <c r="M832" s="318"/>
      <c r="N832" s="349"/>
      <c r="O832" s="318"/>
      <c r="P832" s="349"/>
      <c r="Q832" s="318"/>
      <c r="R832" s="349"/>
      <c r="S832" s="318"/>
      <c r="T832" s="349"/>
      <c r="U832" s="318"/>
      <c r="V832" s="349"/>
      <c r="W832" s="318"/>
      <c r="X832" s="349"/>
      <c r="Y832" s="318"/>
      <c r="Z832" s="349"/>
      <c r="AA832" s="318"/>
      <c r="AB832" s="333"/>
      <c r="AD832" s="350"/>
    </row>
    <row r="833" spans="1:30" s="349" customFormat="1">
      <c r="A833" s="343"/>
      <c r="B833" s="343"/>
      <c r="C833" s="510"/>
      <c r="D833" s="343"/>
      <c r="E833" s="344"/>
      <c r="F833" s="343"/>
      <c r="G833" s="340"/>
      <c r="H833" s="343"/>
      <c r="I833" s="345"/>
      <c r="J833" s="343"/>
      <c r="K833" s="345"/>
      <c r="L833" s="343"/>
      <c r="M833" s="345"/>
      <c r="N833" s="343"/>
      <c r="O833" s="345"/>
      <c r="P833" s="343"/>
      <c r="Q833" s="345"/>
      <c r="R833" s="343"/>
      <c r="S833" s="345"/>
      <c r="T833" s="343"/>
      <c r="U833" s="345"/>
      <c r="V833" s="343"/>
      <c r="W833" s="345"/>
      <c r="X833" s="343"/>
      <c r="Y833" s="345"/>
      <c r="Z833" s="343"/>
      <c r="AA833" s="345"/>
      <c r="AB833" s="347"/>
      <c r="AC833" s="342"/>
      <c r="AD833" s="348"/>
    </row>
    <row r="834" spans="1:30" s="349" customFormat="1">
      <c r="A834" s="343"/>
      <c r="B834" s="343"/>
      <c r="C834" s="510"/>
      <c r="D834" s="343"/>
      <c r="E834" s="343"/>
      <c r="F834" s="343"/>
      <c r="G834" s="340"/>
      <c r="H834" s="343"/>
      <c r="I834" s="345"/>
      <c r="J834" s="343"/>
      <c r="K834" s="345"/>
      <c r="L834" s="343"/>
      <c r="M834" s="345"/>
      <c r="N834" s="343"/>
      <c r="O834" s="345"/>
      <c r="P834" s="343"/>
      <c r="Q834" s="345"/>
      <c r="R834" s="343"/>
      <c r="S834" s="345"/>
      <c r="T834" s="343"/>
      <c r="U834" s="345"/>
      <c r="V834" s="343"/>
      <c r="W834" s="345"/>
      <c r="X834" s="343"/>
      <c r="Y834" s="345"/>
      <c r="Z834" s="343"/>
      <c r="AA834" s="345"/>
      <c r="AB834" s="347"/>
      <c r="AC834" s="342"/>
      <c r="AD834" s="348"/>
    </row>
    <row r="835" spans="1:30">
      <c r="A835" s="349"/>
      <c r="B835" s="349"/>
      <c r="C835" s="509"/>
      <c r="D835" s="349"/>
      <c r="E835" s="349"/>
      <c r="F835" s="349"/>
      <c r="G835" s="340"/>
      <c r="H835" s="349"/>
      <c r="I835" s="345"/>
      <c r="J835" s="349"/>
      <c r="K835" s="345"/>
      <c r="L835" s="349"/>
      <c r="M835" s="345"/>
      <c r="N835" s="349"/>
      <c r="O835" s="345"/>
      <c r="P835" s="349"/>
      <c r="Q835" s="345"/>
      <c r="R835" s="349"/>
      <c r="S835" s="345"/>
      <c r="T835" s="349"/>
      <c r="U835" s="345"/>
      <c r="V835" s="349"/>
      <c r="W835" s="345"/>
      <c r="X835" s="349"/>
      <c r="Y835" s="345"/>
      <c r="Z835" s="349"/>
      <c r="AA835" s="345"/>
      <c r="AB835" s="347"/>
      <c r="AD835" s="350"/>
    </row>
    <row r="836" spans="1:30">
      <c r="A836" s="349"/>
      <c r="B836" s="349"/>
      <c r="C836" s="509"/>
      <c r="D836" s="349"/>
      <c r="E836" s="344"/>
      <c r="F836" s="349"/>
      <c r="G836" s="317"/>
      <c r="H836" s="349"/>
      <c r="I836" s="318"/>
      <c r="J836" s="349"/>
      <c r="K836" s="318"/>
      <c r="L836" s="349"/>
      <c r="M836" s="318"/>
      <c r="N836" s="349"/>
      <c r="O836" s="318"/>
      <c r="P836" s="349"/>
      <c r="Q836" s="318"/>
      <c r="R836" s="349"/>
      <c r="S836" s="318"/>
      <c r="T836" s="349"/>
      <c r="U836" s="318"/>
      <c r="V836" s="349"/>
      <c r="W836" s="318"/>
      <c r="X836" s="349"/>
      <c r="Y836" s="318"/>
      <c r="Z836" s="349"/>
      <c r="AA836" s="318"/>
      <c r="AB836" s="333"/>
      <c r="AD836" s="350"/>
    </row>
    <row r="837" spans="1:30" s="495" customFormat="1">
      <c r="A837" s="490"/>
      <c r="B837" s="490"/>
      <c r="C837" s="511"/>
      <c r="D837" s="490"/>
      <c r="E837" s="493">
        <f>SUM(E826,E820,E814,E808,E803,E798,E791,E786,E780,E774,E755,E741,E716,E691,E666,E641,E616,E591)</f>
        <v>634824000</v>
      </c>
      <c r="F837" s="490"/>
      <c r="G837" s="493">
        <f>SUM(G826,G820,G814,G808,G803,G798,G791,G786,G780,G774,G755,G741,G716,G691,G666,G641,G616,G591)</f>
        <v>633487000</v>
      </c>
      <c r="H837" s="490"/>
      <c r="I837" s="517">
        <f>SUM(I826,I820,I814,I808,I803,I798,I791,I786,I780,I774,I755,I741,I716,I691,I666,I641,I616,I591)</f>
        <v>633487000</v>
      </c>
      <c r="J837" s="490"/>
      <c r="K837" s="517">
        <f>SUM(K826,K820,K814,K808,K803,K798,K791,K786,K780,K774,K755,K741,K716,K691,K666,K641,K616,K591)</f>
        <v>633487000</v>
      </c>
      <c r="L837" s="490"/>
      <c r="M837" s="517">
        <f>SUM(M826,M820,M814,M808,M803,M798,M791,M786,M780,M774,M755,M741,M716,M691,M666,M641,M616,M591)</f>
        <v>631815000</v>
      </c>
      <c r="N837" s="490"/>
      <c r="O837" s="517">
        <f>SUM(O826,O820,O814,O808,O803,O798,O791,O786,O780,O774,O755,O741,O716,O691,O666,O641,O616,O591)</f>
        <v>633487000</v>
      </c>
      <c r="P837" s="490"/>
      <c r="Q837" s="489"/>
      <c r="R837" s="490"/>
      <c r="S837" s="489"/>
      <c r="T837" s="490"/>
      <c r="U837" s="489"/>
      <c r="V837" s="490"/>
      <c r="W837" s="489"/>
      <c r="X837" s="490"/>
      <c r="Y837" s="489"/>
      <c r="Z837" s="490"/>
      <c r="AA837" s="489"/>
      <c r="AB837" s="498">
        <f>SUM(AB716,AB691,AB666,AB641,AB616,AB591)</f>
        <v>7134716000</v>
      </c>
      <c r="AC837" s="494"/>
    </row>
    <row r="838" spans="1:30" s="349" customFormat="1">
      <c r="A838" s="343"/>
      <c r="B838" s="343"/>
      <c r="C838" s="510"/>
      <c r="D838" s="343"/>
      <c r="E838" s="344"/>
      <c r="F838" s="343"/>
      <c r="G838" s="340"/>
      <c r="H838" s="343"/>
      <c r="I838" s="496"/>
      <c r="J838" s="343"/>
      <c r="K838" s="496"/>
      <c r="L838" s="343"/>
      <c r="M838" s="496"/>
      <c r="N838" s="343"/>
      <c r="O838" s="496"/>
      <c r="P838" s="343"/>
      <c r="Q838" s="496"/>
      <c r="R838" s="343"/>
      <c r="S838" s="496"/>
      <c r="T838" s="343"/>
      <c r="U838" s="496"/>
      <c r="V838" s="343"/>
      <c r="W838" s="496"/>
      <c r="X838" s="343"/>
      <c r="Y838" s="496"/>
      <c r="Z838" s="343"/>
      <c r="AA838" s="496"/>
      <c r="AB838" s="497"/>
      <c r="AC838" s="342"/>
      <c r="AD838" s="473"/>
    </row>
    <row r="839" spans="1:30" s="349" customFormat="1">
      <c r="A839" s="343"/>
      <c r="B839" s="343"/>
      <c r="C839" s="510"/>
      <c r="D839" s="343"/>
      <c r="E839" s="343"/>
      <c r="F839" s="343"/>
      <c r="G839" s="340"/>
      <c r="H839" s="343"/>
      <c r="I839" s="345"/>
      <c r="J839" s="343"/>
      <c r="K839" s="345"/>
      <c r="L839" s="343"/>
      <c r="M839" s="345"/>
      <c r="N839" s="343"/>
      <c r="O839" s="345"/>
      <c r="P839" s="343"/>
      <c r="Q839" s="345"/>
      <c r="R839" s="343"/>
      <c r="S839" s="345"/>
      <c r="T839" s="343"/>
      <c r="U839" s="345"/>
      <c r="V839" s="343"/>
      <c r="W839" s="345"/>
      <c r="X839" s="343"/>
      <c r="Y839" s="345"/>
      <c r="Z839" s="343"/>
      <c r="AA839" s="345"/>
      <c r="AB839" s="347"/>
      <c r="AC839" s="342"/>
      <c r="AD839" s="348"/>
    </row>
    <row r="840" spans="1:30">
      <c r="A840" s="349"/>
      <c r="B840" s="349"/>
      <c r="C840" s="509"/>
      <c r="D840" s="349"/>
      <c r="E840" s="344"/>
      <c r="F840" s="349"/>
      <c r="G840" s="318"/>
      <c r="H840" s="349"/>
      <c r="I840" s="318"/>
      <c r="J840" s="349"/>
      <c r="K840" s="318"/>
      <c r="L840" s="349"/>
      <c r="M840" s="318"/>
      <c r="N840" s="349"/>
      <c r="O840" s="318"/>
      <c r="P840" s="349"/>
      <c r="Q840" s="318"/>
      <c r="R840" s="349"/>
      <c r="S840" s="318"/>
      <c r="T840" s="349"/>
      <c r="U840" s="318"/>
      <c r="V840" s="349"/>
      <c r="W840" s="318"/>
      <c r="X840" s="349"/>
      <c r="Y840" s="318"/>
      <c r="Z840" s="349"/>
      <c r="AA840" s="318"/>
      <c r="AB840" s="333"/>
      <c r="AD840" s="350"/>
    </row>
    <row r="841" spans="1:30">
      <c r="A841" s="349"/>
      <c r="B841" s="349"/>
      <c r="C841" s="509"/>
      <c r="D841" s="349"/>
      <c r="E841" s="344"/>
      <c r="F841" s="349"/>
      <c r="G841" s="340"/>
      <c r="H841" s="349"/>
      <c r="I841" s="318"/>
      <c r="J841" s="349"/>
      <c r="K841" s="318"/>
      <c r="L841" s="349"/>
      <c r="M841" s="318"/>
      <c r="N841" s="349"/>
      <c r="O841" s="318"/>
      <c r="P841" s="349"/>
      <c r="Q841" s="318"/>
      <c r="R841" s="349"/>
      <c r="S841" s="318"/>
      <c r="T841" s="349"/>
      <c r="U841" s="318"/>
      <c r="V841" s="349"/>
      <c r="W841" s="318"/>
      <c r="X841" s="349"/>
      <c r="Y841" s="318"/>
      <c r="Z841" s="349"/>
      <c r="AA841" s="318"/>
      <c r="AB841" s="333"/>
      <c r="AD841" s="350"/>
    </row>
    <row r="842" spans="1:30" s="349" customFormat="1">
      <c r="A842" s="343"/>
      <c r="B842" s="343"/>
      <c r="C842" s="510"/>
      <c r="D842" s="343"/>
      <c r="E842" s="344"/>
      <c r="F842" s="343"/>
      <c r="G842" s="340"/>
      <c r="H842" s="343"/>
      <c r="I842" s="345"/>
      <c r="J842" s="343"/>
      <c r="K842" s="345"/>
      <c r="L842" s="343"/>
      <c r="M842" s="345"/>
      <c r="N842" s="343"/>
      <c r="O842" s="345"/>
      <c r="P842" s="343"/>
      <c r="Q842" s="345"/>
      <c r="R842" s="343"/>
      <c r="S842" s="345"/>
      <c r="T842" s="343"/>
      <c r="U842" s="345"/>
      <c r="V842" s="343"/>
      <c r="W842" s="345"/>
      <c r="X842" s="343"/>
      <c r="Y842" s="345"/>
      <c r="Z842" s="343"/>
      <c r="AA842" s="345"/>
      <c r="AB842" s="347"/>
      <c r="AC842" s="342"/>
      <c r="AD842" s="348"/>
    </row>
    <row r="843" spans="1:30">
      <c r="A843" s="349"/>
      <c r="B843" s="349"/>
      <c r="C843" s="509"/>
      <c r="D843" s="349"/>
      <c r="E843" s="344"/>
      <c r="F843" s="349"/>
      <c r="G843" s="353"/>
      <c r="H843" s="349"/>
      <c r="I843" s="318"/>
      <c r="J843" s="349"/>
      <c r="K843" s="318"/>
      <c r="L843" s="349"/>
      <c r="M843" s="318"/>
      <c r="N843" s="349"/>
      <c r="O843" s="318"/>
      <c r="P843" s="349"/>
      <c r="Q843" s="318"/>
      <c r="R843" s="349"/>
      <c r="S843" s="318"/>
      <c r="T843" s="349"/>
      <c r="U843" s="351"/>
      <c r="V843" s="349"/>
      <c r="W843" s="351"/>
      <c r="X843" s="349"/>
      <c r="Y843" s="351"/>
      <c r="Z843" s="349"/>
      <c r="AA843" s="351"/>
      <c r="AB843" s="333"/>
      <c r="AD843" s="350"/>
    </row>
    <row r="844" spans="1:30">
      <c r="AB844" s="352"/>
    </row>
    <row r="845" spans="1:30" s="349" customFormat="1">
      <c r="A845" s="343"/>
      <c r="B845" s="343"/>
      <c r="C845" s="510"/>
      <c r="D845" s="343"/>
      <c r="E845" s="343"/>
      <c r="F845" s="343"/>
      <c r="G845" s="340"/>
      <c r="H845" s="343"/>
      <c r="I845" s="354"/>
      <c r="J845" s="343"/>
      <c r="K845" s="354"/>
      <c r="L845" s="343"/>
      <c r="M845" s="354"/>
      <c r="N845" s="343"/>
      <c r="O845" s="354"/>
      <c r="P845" s="343"/>
      <c r="Q845" s="354"/>
      <c r="R845" s="343"/>
      <c r="S845" s="354"/>
      <c r="T845" s="343"/>
      <c r="U845" s="354"/>
      <c r="V845" s="343"/>
      <c r="W845" s="354"/>
      <c r="X845" s="343"/>
      <c r="Y845" s="354"/>
      <c r="Z845" s="343"/>
      <c r="AA845" s="354"/>
      <c r="AB845" s="354"/>
      <c r="AC845" s="342"/>
      <c r="AD845" s="348"/>
    </row>
    <row r="848" spans="1:30">
      <c r="A848" s="355"/>
      <c r="B848" s="355"/>
      <c r="C848" s="513"/>
      <c r="D848" s="355"/>
      <c r="E848" s="355"/>
      <c r="F848" s="355"/>
      <c r="G848" s="355"/>
      <c r="H848" s="355"/>
      <c r="I848" s="355"/>
      <c r="J848" s="355"/>
      <c r="K848" s="355"/>
      <c r="L848" s="355"/>
      <c r="M848" s="355"/>
      <c r="N848" s="355"/>
      <c r="O848" s="355"/>
      <c r="P848" s="355"/>
      <c r="Q848" s="355"/>
      <c r="R848" s="355"/>
      <c r="S848" s="355"/>
      <c r="T848" s="355"/>
      <c r="U848" s="355"/>
      <c r="V848" s="355"/>
      <c r="W848" s="355"/>
      <c r="X848" s="355"/>
      <c r="Y848" s="355"/>
      <c r="Z848" s="355"/>
      <c r="AA848" s="355"/>
      <c r="AB848" s="333"/>
    </row>
    <row r="849" spans="1:30">
      <c r="E849" s="336"/>
      <c r="G849" s="337"/>
      <c r="I849" s="338"/>
      <c r="K849" s="338"/>
      <c r="M849" s="338"/>
      <c r="O849" s="338"/>
      <c r="Q849" s="338"/>
      <c r="S849" s="338"/>
      <c r="U849" s="338"/>
      <c r="W849" s="338"/>
      <c r="Y849" s="338"/>
      <c r="AA849" s="338"/>
    </row>
    <row r="850" spans="1:30">
      <c r="E850" s="336"/>
      <c r="G850" s="337"/>
      <c r="I850" s="338"/>
      <c r="K850" s="338"/>
      <c r="M850" s="338"/>
      <c r="O850" s="338"/>
      <c r="Q850" s="338"/>
      <c r="S850" s="338"/>
      <c r="U850" s="338"/>
      <c r="W850" s="338"/>
      <c r="Y850" s="338"/>
      <c r="AA850" s="338"/>
    </row>
    <row r="851" spans="1:30">
      <c r="E851" s="336"/>
      <c r="G851" s="337"/>
      <c r="I851" s="338"/>
      <c r="K851" s="338"/>
      <c r="M851" s="338"/>
      <c r="O851" s="338"/>
      <c r="Q851" s="338"/>
      <c r="S851" s="338"/>
      <c r="U851" s="338"/>
      <c r="W851" s="338"/>
      <c r="Y851" s="338"/>
      <c r="AA851" s="338"/>
    </row>
    <row r="852" spans="1:30">
      <c r="E852" s="336"/>
      <c r="G852" s="337"/>
      <c r="I852" s="338"/>
      <c r="K852" s="338"/>
      <c r="M852" s="338"/>
      <c r="O852" s="338"/>
      <c r="Q852" s="338"/>
      <c r="S852" s="338"/>
      <c r="U852" s="338"/>
      <c r="W852" s="338"/>
      <c r="Y852" s="338"/>
      <c r="AA852" s="338"/>
    </row>
    <row r="853" spans="1:30">
      <c r="E853" s="336"/>
      <c r="G853" s="337"/>
      <c r="K853" s="338"/>
      <c r="AB853" s="337"/>
    </row>
    <row r="854" spans="1:30">
      <c r="E854" s="336"/>
      <c r="G854" s="337"/>
      <c r="K854" s="338"/>
      <c r="AB854" s="340"/>
    </row>
    <row r="855" spans="1:30">
      <c r="E855" s="336"/>
      <c r="G855" s="337"/>
      <c r="I855" s="349"/>
      <c r="K855" s="349"/>
      <c r="M855" s="349"/>
      <c r="O855" s="349"/>
      <c r="Q855" s="349"/>
      <c r="S855" s="349"/>
      <c r="U855" s="349"/>
      <c r="W855" s="349"/>
      <c r="Y855" s="349"/>
      <c r="AA855" s="349"/>
      <c r="AB855" s="340"/>
    </row>
    <row r="856" spans="1:30">
      <c r="G856" s="341"/>
      <c r="I856" s="342"/>
      <c r="K856" s="342"/>
      <c r="M856" s="342"/>
      <c r="O856" s="342"/>
      <c r="Q856" s="342"/>
      <c r="S856" s="342"/>
      <c r="U856" s="342"/>
      <c r="W856" s="342"/>
      <c r="Y856" s="342"/>
      <c r="AA856" s="342"/>
      <c r="AB856" s="340"/>
    </row>
    <row r="857" spans="1:30" s="349" customFormat="1">
      <c r="A857" s="343"/>
      <c r="B857" s="343"/>
      <c r="C857" s="510"/>
      <c r="D857" s="343"/>
      <c r="E857" s="344"/>
      <c r="F857" s="343"/>
      <c r="G857" s="340"/>
      <c r="H857" s="343"/>
      <c r="I857" s="345"/>
      <c r="J857" s="343"/>
      <c r="K857" s="345"/>
      <c r="L857" s="343"/>
      <c r="M857" s="345"/>
      <c r="N857" s="343"/>
      <c r="O857" s="345"/>
      <c r="P857" s="343"/>
      <c r="Q857" s="345"/>
      <c r="R857" s="343"/>
      <c r="S857" s="345"/>
      <c r="T857" s="343"/>
      <c r="U857" s="345"/>
      <c r="V857" s="343"/>
      <c r="W857" s="345"/>
      <c r="X857" s="343"/>
      <c r="Y857" s="345"/>
      <c r="Z857" s="343"/>
      <c r="AA857" s="345"/>
      <c r="AB857" s="347"/>
      <c r="AC857" s="342"/>
      <c r="AD857" s="348"/>
    </row>
    <row r="858" spans="1:30" s="349" customFormat="1">
      <c r="A858" s="343"/>
      <c r="B858" s="343"/>
      <c r="C858" s="510"/>
      <c r="D858" s="343"/>
      <c r="E858" s="343"/>
      <c r="F858" s="343"/>
      <c r="G858" s="340"/>
      <c r="H858" s="343"/>
      <c r="I858" s="345"/>
      <c r="J858" s="343"/>
      <c r="K858" s="345"/>
      <c r="L858" s="343"/>
      <c r="M858" s="345"/>
      <c r="N858" s="343"/>
      <c r="O858" s="345"/>
      <c r="P858" s="343"/>
      <c r="Q858" s="345"/>
      <c r="R858" s="343"/>
      <c r="S858" s="345"/>
      <c r="T858" s="343"/>
      <c r="U858" s="345"/>
      <c r="V858" s="343"/>
      <c r="W858" s="345"/>
      <c r="X858" s="343"/>
      <c r="Y858" s="345"/>
      <c r="Z858" s="343"/>
      <c r="AA858" s="345"/>
      <c r="AB858" s="347"/>
      <c r="AC858" s="317"/>
      <c r="AD858" s="348"/>
    </row>
    <row r="859" spans="1:30">
      <c r="A859" s="349"/>
      <c r="B859" s="349"/>
      <c r="C859" s="509"/>
      <c r="D859" s="349"/>
      <c r="E859" s="349"/>
      <c r="F859" s="349"/>
      <c r="G859" s="340"/>
      <c r="H859" s="349"/>
      <c r="I859" s="345"/>
      <c r="J859" s="349"/>
      <c r="K859" s="345"/>
      <c r="L859" s="349"/>
      <c r="M859" s="345"/>
      <c r="N859" s="349"/>
      <c r="O859" s="345"/>
      <c r="P859" s="349"/>
      <c r="Q859" s="345"/>
      <c r="R859" s="349"/>
      <c r="S859" s="345"/>
      <c r="T859" s="349"/>
      <c r="U859" s="345"/>
      <c r="V859" s="349"/>
      <c r="W859" s="345"/>
      <c r="X859" s="349"/>
      <c r="Y859" s="345"/>
      <c r="Z859" s="349"/>
      <c r="AA859" s="345"/>
      <c r="AB859" s="347"/>
      <c r="AC859" s="339"/>
      <c r="AD859" s="350"/>
    </row>
    <row r="860" spans="1:30">
      <c r="A860" s="349"/>
      <c r="B860" s="349"/>
      <c r="C860" s="509"/>
      <c r="D860" s="349"/>
      <c r="E860" s="349"/>
      <c r="F860" s="349"/>
      <c r="G860" s="340"/>
      <c r="H860" s="349"/>
      <c r="I860" s="345"/>
      <c r="J860" s="349"/>
      <c r="K860" s="345"/>
      <c r="L860" s="349"/>
      <c r="M860" s="345"/>
      <c r="N860" s="349"/>
      <c r="O860" s="345"/>
      <c r="P860" s="349"/>
      <c r="Q860" s="345"/>
      <c r="R860" s="349"/>
      <c r="S860" s="345"/>
      <c r="T860" s="349"/>
      <c r="U860" s="345"/>
      <c r="V860" s="349"/>
      <c r="W860" s="345"/>
      <c r="X860" s="349"/>
      <c r="Y860" s="345"/>
      <c r="Z860" s="349"/>
      <c r="AA860" s="345"/>
      <c r="AB860" s="347"/>
      <c r="AD860" s="350"/>
    </row>
    <row r="861" spans="1:30">
      <c r="A861" s="349"/>
      <c r="B861" s="349"/>
      <c r="C861" s="509"/>
      <c r="D861" s="349"/>
      <c r="E861" s="344"/>
      <c r="F861" s="349"/>
      <c r="G861" s="317"/>
      <c r="H861" s="349"/>
      <c r="I861" s="318"/>
      <c r="J861" s="349"/>
      <c r="K861" s="318"/>
      <c r="L861" s="349"/>
      <c r="M861" s="318"/>
      <c r="N861" s="349"/>
      <c r="O861" s="318"/>
      <c r="P861" s="349"/>
      <c r="Q861" s="318"/>
      <c r="R861" s="349"/>
      <c r="S861" s="318"/>
      <c r="T861" s="349"/>
      <c r="U861" s="318"/>
      <c r="V861" s="349"/>
      <c r="W861" s="318"/>
      <c r="X861" s="349"/>
      <c r="Y861" s="318"/>
      <c r="Z861" s="349"/>
      <c r="AA861" s="318"/>
      <c r="AB861" s="338"/>
      <c r="AD861" s="350"/>
    </row>
    <row r="862" spans="1:30">
      <c r="A862" s="349"/>
      <c r="B862" s="349"/>
      <c r="C862" s="509"/>
      <c r="D862" s="349"/>
      <c r="E862" s="317"/>
      <c r="F862" s="349"/>
      <c r="G862" s="317"/>
      <c r="H862" s="349"/>
      <c r="I862" s="318"/>
      <c r="J862" s="349"/>
      <c r="K862" s="318"/>
      <c r="L862" s="349"/>
      <c r="M862" s="318"/>
      <c r="N862" s="349"/>
      <c r="O862" s="318"/>
      <c r="P862" s="349"/>
      <c r="Q862" s="318"/>
      <c r="R862" s="349"/>
      <c r="S862" s="318"/>
      <c r="T862" s="349"/>
      <c r="U862" s="318"/>
      <c r="V862" s="349"/>
      <c r="W862" s="318"/>
      <c r="X862" s="349"/>
      <c r="Y862" s="318"/>
      <c r="Z862" s="349"/>
      <c r="AA862" s="318"/>
      <c r="AB862" s="333"/>
      <c r="AD862" s="350"/>
    </row>
    <row r="863" spans="1:30" s="349" customFormat="1">
      <c r="A863" s="343"/>
      <c r="B863" s="343"/>
      <c r="C863" s="510"/>
      <c r="D863" s="343"/>
      <c r="E863" s="344"/>
      <c r="F863" s="343"/>
      <c r="G863" s="340"/>
      <c r="H863" s="343"/>
      <c r="I863" s="345"/>
      <c r="J863" s="343"/>
      <c r="K863" s="345"/>
      <c r="L863" s="343"/>
      <c r="M863" s="345"/>
      <c r="N863" s="343"/>
      <c r="O863" s="345"/>
      <c r="P863" s="343"/>
      <c r="Q863" s="345"/>
      <c r="R863" s="343"/>
      <c r="S863" s="345"/>
      <c r="T863" s="343"/>
      <c r="U863" s="345"/>
      <c r="V863" s="343"/>
      <c r="W863" s="345"/>
      <c r="X863" s="343"/>
      <c r="Y863" s="345"/>
      <c r="Z863" s="343"/>
      <c r="AA863" s="345"/>
      <c r="AB863" s="347"/>
      <c r="AC863" s="342"/>
      <c r="AD863" s="348"/>
    </row>
    <row r="864" spans="1:30" s="349" customFormat="1">
      <c r="A864" s="343"/>
      <c r="B864" s="343"/>
      <c r="C864" s="510"/>
      <c r="D864" s="343"/>
      <c r="E864" s="343"/>
      <c r="F864" s="343"/>
      <c r="G864" s="340"/>
      <c r="H864" s="343"/>
      <c r="I864" s="345"/>
      <c r="J864" s="343"/>
      <c r="K864" s="345"/>
      <c r="L864" s="343"/>
      <c r="M864" s="345"/>
      <c r="N864" s="343"/>
      <c r="O864" s="345"/>
      <c r="P864" s="343"/>
      <c r="Q864" s="345"/>
      <c r="R864" s="343"/>
      <c r="S864" s="345"/>
      <c r="T864" s="343"/>
      <c r="U864" s="345"/>
      <c r="V864" s="343"/>
      <c r="W864" s="345"/>
      <c r="X864" s="343"/>
      <c r="Y864" s="345"/>
      <c r="Z864" s="343"/>
      <c r="AA864" s="345"/>
      <c r="AB864" s="347"/>
      <c r="AC864" s="342"/>
      <c r="AD864" s="348"/>
    </row>
    <row r="865" spans="1:30">
      <c r="A865" s="349"/>
      <c r="B865" s="349"/>
      <c r="C865" s="509"/>
      <c r="D865" s="349"/>
      <c r="E865" s="349"/>
      <c r="F865" s="349"/>
      <c r="G865" s="340"/>
      <c r="H865" s="349"/>
      <c r="I865" s="345"/>
      <c r="J865" s="349"/>
      <c r="K865" s="345"/>
      <c r="L865" s="349"/>
      <c r="M865" s="345"/>
      <c r="N865" s="349"/>
      <c r="O865" s="345"/>
      <c r="P865" s="349"/>
      <c r="Q865" s="345"/>
      <c r="R865" s="349"/>
      <c r="S865" s="345"/>
      <c r="T865" s="349"/>
      <c r="U865" s="345"/>
      <c r="V865" s="349"/>
      <c r="W865" s="345"/>
      <c r="X865" s="349"/>
      <c r="Y865" s="345"/>
      <c r="Z865" s="349"/>
      <c r="AA865" s="345"/>
      <c r="AB865" s="347"/>
      <c r="AD865" s="350"/>
    </row>
    <row r="866" spans="1:30">
      <c r="A866" s="349"/>
      <c r="B866" s="349"/>
      <c r="C866" s="509"/>
      <c r="D866" s="349"/>
      <c r="E866" s="344"/>
      <c r="F866" s="349"/>
      <c r="G866" s="317"/>
      <c r="H866" s="349"/>
      <c r="I866" s="318"/>
      <c r="J866" s="349"/>
      <c r="K866" s="318"/>
      <c r="L866" s="349"/>
      <c r="M866" s="318"/>
      <c r="N866" s="349"/>
      <c r="O866" s="318"/>
      <c r="P866" s="349"/>
      <c r="Q866" s="318"/>
      <c r="R866" s="349"/>
      <c r="S866" s="318"/>
      <c r="T866" s="349"/>
      <c r="U866" s="318"/>
      <c r="V866" s="349"/>
      <c r="W866" s="318"/>
      <c r="X866" s="349"/>
      <c r="Y866" s="318"/>
      <c r="Z866" s="349"/>
      <c r="AA866" s="318"/>
      <c r="AB866" s="333"/>
      <c r="AD866" s="350"/>
    </row>
    <row r="867" spans="1:30">
      <c r="A867" s="349"/>
      <c r="B867" s="349"/>
      <c r="C867" s="509"/>
      <c r="D867" s="349"/>
      <c r="E867" s="349"/>
      <c r="F867" s="349"/>
      <c r="G867" s="349"/>
      <c r="H867" s="349"/>
      <c r="I867" s="342"/>
      <c r="J867" s="349"/>
      <c r="K867" s="342"/>
      <c r="L867" s="349"/>
      <c r="M867" s="342"/>
      <c r="N867" s="349"/>
      <c r="O867" s="342"/>
      <c r="P867" s="349"/>
      <c r="Q867" s="342"/>
      <c r="R867" s="349"/>
      <c r="S867" s="342"/>
      <c r="T867" s="349"/>
      <c r="U867" s="342"/>
      <c r="V867" s="349"/>
      <c r="W867" s="342"/>
      <c r="X867" s="349"/>
      <c r="Y867" s="342"/>
      <c r="Z867" s="349"/>
      <c r="AA867" s="342"/>
      <c r="AB867" s="352"/>
    </row>
    <row r="868" spans="1:30" s="349" customFormat="1">
      <c r="A868" s="343"/>
      <c r="B868" s="343"/>
      <c r="C868" s="510"/>
      <c r="D868" s="343"/>
      <c r="E868" s="344"/>
      <c r="F868" s="343"/>
      <c r="G868" s="340"/>
      <c r="H868" s="343"/>
      <c r="I868" s="345"/>
      <c r="J868" s="343"/>
      <c r="K868" s="345"/>
      <c r="L868" s="343"/>
      <c r="M868" s="345"/>
      <c r="N868" s="343"/>
      <c r="O868" s="345"/>
      <c r="P868" s="343"/>
      <c r="Q868" s="345"/>
      <c r="R868" s="343"/>
      <c r="S868" s="345"/>
      <c r="T868" s="343"/>
      <c r="U868" s="345"/>
      <c r="V868" s="343"/>
      <c r="W868" s="345"/>
      <c r="X868" s="343"/>
      <c r="Y868" s="345"/>
      <c r="Z868" s="343"/>
      <c r="AA868" s="345"/>
      <c r="AB868" s="347"/>
      <c r="AC868" s="342"/>
      <c r="AD868" s="348"/>
    </row>
    <row r="869" spans="1:30" s="349" customFormat="1">
      <c r="A869" s="343"/>
      <c r="B869" s="343"/>
      <c r="C869" s="510"/>
      <c r="D869" s="343"/>
      <c r="E869" s="343"/>
      <c r="F869" s="343"/>
      <c r="G869" s="340"/>
      <c r="H869" s="343"/>
      <c r="I869" s="345"/>
      <c r="J869" s="343"/>
      <c r="K869" s="345"/>
      <c r="L869" s="343"/>
      <c r="M869" s="345"/>
      <c r="N869" s="343"/>
      <c r="O869" s="345"/>
      <c r="P869" s="343"/>
      <c r="Q869" s="345"/>
      <c r="R869" s="343"/>
      <c r="S869" s="345"/>
      <c r="T869" s="343"/>
      <c r="U869" s="345"/>
      <c r="V869" s="343"/>
      <c r="W869" s="345"/>
      <c r="X869" s="343"/>
      <c r="Y869" s="345"/>
      <c r="Z869" s="343"/>
      <c r="AA869" s="345"/>
      <c r="AB869" s="347"/>
      <c r="AC869" s="342"/>
      <c r="AD869" s="348"/>
    </row>
    <row r="870" spans="1:30">
      <c r="A870" s="349"/>
      <c r="B870" s="349"/>
      <c r="C870" s="509"/>
      <c r="D870" s="349"/>
      <c r="E870" s="344"/>
      <c r="F870" s="349"/>
      <c r="G870" s="318"/>
      <c r="H870" s="349"/>
      <c r="I870" s="318"/>
      <c r="J870" s="349"/>
      <c r="K870" s="318"/>
      <c r="L870" s="349"/>
      <c r="M870" s="318"/>
      <c r="N870" s="349"/>
      <c r="O870" s="318"/>
      <c r="P870" s="349"/>
      <c r="Q870" s="318"/>
      <c r="R870" s="349"/>
      <c r="S870" s="318"/>
      <c r="T870" s="349"/>
      <c r="U870" s="318"/>
      <c r="V870" s="349"/>
      <c r="W870" s="318"/>
      <c r="X870" s="349"/>
      <c r="Y870" s="318"/>
      <c r="Z870" s="349"/>
      <c r="AA870" s="318"/>
      <c r="AB870" s="333"/>
      <c r="AD870" s="350"/>
    </row>
    <row r="871" spans="1:30">
      <c r="A871" s="349"/>
      <c r="B871" s="349"/>
      <c r="C871" s="509"/>
      <c r="D871" s="349"/>
      <c r="E871" s="344"/>
      <c r="F871" s="349"/>
      <c r="G871" s="340"/>
      <c r="H871" s="349"/>
      <c r="I871" s="318"/>
      <c r="J871" s="349"/>
      <c r="K871" s="318"/>
      <c r="L871" s="349"/>
      <c r="M871" s="318"/>
      <c r="N871" s="349"/>
      <c r="O871" s="318"/>
      <c r="P871" s="349"/>
      <c r="Q871" s="318"/>
      <c r="R871" s="349"/>
      <c r="S871" s="318"/>
      <c r="T871" s="349"/>
      <c r="U871" s="318"/>
      <c r="V871" s="349"/>
      <c r="W871" s="318"/>
      <c r="X871" s="349"/>
      <c r="Y871" s="318"/>
      <c r="Z871" s="349"/>
      <c r="AA871" s="318"/>
      <c r="AB871" s="333"/>
      <c r="AD871" s="350"/>
    </row>
    <row r="872" spans="1:30" s="349" customFormat="1">
      <c r="A872" s="343"/>
      <c r="B872" s="343"/>
      <c r="C872" s="510"/>
      <c r="D872" s="343"/>
      <c r="E872" s="344"/>
      <c r="F872" s="343"/>
      <c r="G872" s="340"/>
      <c r="H872" s="343"/>
      <c r="I872" s="345"/>
      <c r="J872" s="343"/>
      <c r="K872" s="345"/>
      <c r="L872" s="343"/>
      <c r="M872" s="345"/>
      <c r="N872" s="343"/>
      <c r="O872" s="345"/>
      <c r="P872" s="343"/>
      <c r="Q872" s="345"/>
      <c r="R872" s="343"/>
      <c r="S872" s="345"/>
      <c r="T872" s="343"/>
      <c r="U872" s="345"/>
      <c r="V872" s="343"/>
      <c r="W872" s="345"/>
      <c r="X872" s="343"/>
      <c r="Y872" s="345"/>
      <c r="Z872" s="343"/>
      <c r="AA872" s="345"/>
      <c r="AB872" s="347"/>
      <c r="AC872" s="342"/>
      <c r="AD872" s="348"/>
    </row>
    <row r="873" spans="1:30">
      <c r="A873" s="349"/>
      <c r="B873" s="349"/>
      <c r="C873" s="509"/>
      <c r="D873" s="349"/>
      <c r="E873" s="344"/>
      <c r="F873" s="349"/>
      <c r="G873" s="353"/>
      <c r="H873" s="349"/>
      <c r="I873" s="351"/>
      <c r="J873" s="349"/>
      <c r="K873" s="351"/>
      <c r="L873" s="349"/>
      <c r="M873" s="351"/>
      <c r="N873" s="349"/>
      <c r="O873" s="351"/>
      <c r="P873" s="349"/>
      <c r="Q873" s="351"/>
      <c r="R873" s="349"/>
      <c r="S873" s="351"/>
      <c r="T873" s="349"/>
      <c r="U873" s="351"/>
      <c r="V873" s="349"/>
      <c r="W873" s="351"/>
      <c r="X873" s="349"/>
      <c r="Y873" s="351"/>
      <c r="Z873" s="349"/>
      <c r="AA873" s="351"/>
      <c r="AB873" s="333"/>
      <c r="AD873" s="350"/>
    </row>
    <row r="874" spans="1:30">
      <c r="AB874" s="352"/>
    </row>
    <row r="875" spans="1:30" s="349" customFormat="1">
      <c r="A875" s="343"/>
      <c r="B875" s="343"/>
      <c r="C875" s="510"/>
      <c r="D875" s="343"/>
      <c r="E875" s="343"/>
      <c r="F875" s="343"/>
      <c r="G875" s="340"/>
      <c r="H875" s="343"/>
      <c r="I875" s="354"/>
      <c r="J875" s="343"/>
      <c r="K875" s="354"/>
      <c r="L875" s="343"/>
      <c r="M875" s="354"/>
      <c r="N875" s="343"/>
      <c r="O875" s="354"/>
      <c r="P875" s="343"/>
      <c r="Q875" s="354"/>
      <c r="R875" s="343"/>
      <c r="S875" s="354"/>
      <c r="T875" s="343"/>
      <c r="U875" s="354"/>
      <c r="V875" s="343"/>
      <c r="W875" s="354"/>
      <c r="X875" s="343"/>
      <c r="Y875" s="354"/>
      <c r="Z875" s="343"/>
      <c r="AA875" s="354"/>
      <c r="AB875" s="354"/>
      <c r="AC875" s="342"/>
      <c r="AD875" s="348"/>
    </row>
  </sheetData>
  <mergeCells count="43">
    <mergeCell ref="A1:AA1"/>
    <mergeCell ref="A3:A4"/>
    <mergeCell ref="E3:E4"/>
    <mergeCell ref="G3:G4"/>
    <mergeCell ref="I3:I4"/>
    <mergeCell ref="K3:K4"/>
    <mergeCell ref="M3:M4"/>
    <mergeCell ref="O3:O4"/>
    <mergeCell ref="Q3:Q4"/>
    <mergeCell ref="S3:S4"/>
    <mergeCell ref="U3:U4"/>
    <mergeCell ref="W3:W4"/>
    <mergeCell ref="W284:W285"/>
    <mergeCell ref="Y284:Y285"/>
    <mergeCell ref="Y3:Y4"/>
    <mergeCell ref="AA3:AA4"/>
    <mergeCell ref="AB3:AB4"/>
    <mergeCell ref="AA284:AA285"/>
    <mergeCell ref="AB284:AB285"/>
    <mergeCell ref="M284:M285"/>
    <mergeCell ref="O284:O285"/>
    <mergeCell ref="Q284:Q285"/>
    <mergeCell ref="S284:S285"/>
    <mergeCell ref="U284:U285"/>
    <mergeCell ref="A284:A285"/>
    <mergeCell ref="E284:E285"/>
    <mergeCell ref="G284:G285"/>
    <mergeCell ref="I284:I285"/>
    <mergeCell ref="K284:K285"/>
    <mergeCell ref="A565:A566"/>
    <mergeCell ref="E565:E566"/>
    <mergeCell ref="G565:G566"/>
    <mergeCell ref="I565:I566"/>
    <mergeCell ref="K565:K566"/>
    <mergeCell ref="W565:W566"/>
    <mergeCell ref="Y565:Y566"/>
    <mergeCell ref="AA565:AA566"/>
    <mergeCell ref="AB565:AB566"/>
    <mergeCell ref="M565:M566"/>
    <mergeCell ref="O565:O566"/>
    <mergeCell ref="Q565:Q566"/>
    <mergeCell ref="S565:S566"/>
    <mergeCell ref="U565:U566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P44"/>
  <sheetViews>
    <sheetView workbookViewId="0">
      <selection activeCell="A5" sqref="A5"/>
    </sheetView>
  </sheetViews>
  <sheetFormatPr defaultColWidth="10.4609375" defaultRowHeight="12.9"/>
  <cols>
    <col min="1" max="1" width="27" style="319" bestFit="1" customWidth="1"/>
    <col min="2" max="3" width="14.84375" style="319" bestFit="1" customWidth="1"/>
    <col min="4" max="4" width="16" style="319" bestFit="1" customWidth="1"/>
    <col min="5" max="13" width="11.4609375" style="319" bestFit="1" customWidth="1"/>
    <col min="14" max="14" width="14.3046875" style="319" bestFit="1" customWidth="1"/>
    <col min="15" max="15" width="10.4609375" style="319"/>
    <col min="16" max="16" width="14.15234375" style="319" bestFit="1" customWidth="1"/>
    <col min="17" max="17" width="14.84375" style="319" bestFit="1" customWidth="1"/>
    <col min="18" max="16384" width="10.4609375" style="319"/>
  </cols>
  <sheetData>
    <row r="1" spans="1:16" ht="26.15">
      <c r="A1" s="611" t="s">
        <v>171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</row>
    <row r="2" spans="1:16" s="335" customFormat="1" ht="24.75" customHeight="1">
      <c r="A2" s="381" t="s">
        <v>168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34"/>
    </row>
    <row r="3" spans="1:16" s="335" customFormat="1">
      <c r="A3" s="610" t="s">
        <v>115</v>
      </c>
      <c r="B3" s="613">
        <v>43586</v>
      </c>
      <c r="C3" s="612">
        <v>43617</v>
      </c>
      <c r="D3" s="613">
        <v>43647</v>
      </c>
      <c r="E3" s="605">
        <v>43678</v>
      </c>
      <c r="F3" s="609">
        <v>43709</v>
      </c>
      <c r="G3" s="605">
        <v>43739</v>
      </c>
      <c r="H3" s="609">
        <v>43770</v>
      </c>
      <c r="I3" s="605">
        <v>43800</v>
      </c>
      <c r="J3" s="609">
        <v>43831</v>
      </c>
      <c r="K3" s="605">
        <v>43862</v>
      </c>
      <c r="L3" s="609">
        <v>43891</v>
      </c>
      <c r="M3" s="605">
        <v>43922</v>
      </c>
      <c r="N3" s="608" t="s">
        <v>112</v>
      </c>
      <c r="O3" s="339"/>
    </row>
    <row r="4" spans="1:16" s="335" customFormat="1">
      <c r="A4" s="610"/>
      <c r="B4" s="613"/>
      <c r="C4" s="612"/>
      <c r="D4" s="613"/>
      <c r="E4" s="605"/>
      <c r="F4" s="609"/>
      <c r="G4" s="605"/>
      <c r="H4" s="609"/>
      <c r="I4" s="605"/>
      <c r="J4" s="609"/>
      <c r="K4" s="605"/>
      <c r="L4" s="609"/>
      <c r="M4" s="605"/>
      <c r="N4" s="608"/>
      <c r="O4" s="339"/>
    </row>
    <row r="5" spans="1:16" s="335" customFormat="1">
      <c r="A5" s="374"/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34"/>
    </row>
    <row r="6" spans="1:16" s="335" customFormat="1">
      <c r="A6" s="359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34"/>
    </row>
    <row r="7" spans="1:16" s="335" customFormat="1">
      <c r="A7" s="359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34"/>
    </row>
    <row r="8" spans="1:16" s="335" customFormat="1">
      <c r="A8" s="359"/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34"/>
    </row>
    <row r="9" spans="1:16" s="335" customFormat="1">
      <c r="A9" s="359"/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34"/>
    </row>
    <row r="10" spans="1:16" s="396" customFormat="1">
      <c r="A10" s="397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5"/>
    </row>
    <row r="11" spans="1:16" s="335" customFormat="1" ht="24.75" customHeight="1">
      <c r="A11" s="381" t="s">
        <v>169</v>
      </c>
      <c r="B11" s="376"/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34"/>
    </row>
    <row r="12" spans="1:16" s="335" customFormat="1">
      <c r="A12" s="610" t="s">
        <v>115</v>
      </c>
      <c r="B12" s="613">
        <v>43952</v>
      </c>
      <c r="C12" s="612">
        <v>43983</v>
      </c>
      <c r="D12" s="613">
        <v>44013</v>
      </c>
      <c r="E12" s="612">
        <v>44044</v>
      </c>
      <c r="F12" s="613">
        <v>44075</v>
      </c>
      <c r="G12" s="612">
        <v>44105</v>
      </c>
      <c r="H12" s="613">
        <v>44136</v>
      </c>
      <c r="I12" s="612">
        <v>44166</v>
      </c>
      <c r="J12" s="613">
        <v>44197</v>
      </c>
      <c r="K12" s="612">
        <v>44228</v>
      </c>
      <c r="L12" s="613">
        <v>44256</v>
      </c>
      <c r="M12" s="605">
        <v>44287</v>
      </c>
      <c r="N12" s="608" t="s">
        <v>112</v>
      </c>
      <c r="O12" s="334"/>
    </row>
    <row r="13" spans="1:16" s="335" customFormat="1">
      <c r="A13" s="610"/>
      <c r="B13" s="613"/>
      <c r="C13" s="612"/>
      <c r="D13" s="613"/>
      <c r="E13" s="612"/>
      <c r="F13" s="613"/>
      <c r="G13" s="612"/>
      <c r="H13" s="613"/>
      <c r="I13" s="612"/>
      <c r="J13" s="613"/>
      <c r="K13" s="612"/>
      <c r="L13" s="613"/>
      <c r="M13" s="605"/>
      <c r="N13" s="608"/>
      <c r="O13" s="334"/>
    </row>
    <row r="14" spans="1:16" s="335" customFormat="1" ht="13.5" customHeight="1">
      <c r="A14" s="374"/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34"/>
    </row>
    <row r="15" spans="1:16" s="349" customFormat="1">
      <c r="A15" s="359"/>
      <c r="B15" s="360"/>
      <c r="C15" s="360"/>
      <c r="D15" s="360"/>
      <c r="E15" s="360"/>
      <c r="F15" s="360"/>
      <c r="G15" s="360"/>
      <c r="H15" s="360"/>
      <c r="I15" s="360"/>
      <c r="J15" s="360"/>
      <c r="K15" s="360"/>
      <c r="L15" s="360"/>
      <c r="M15" s="360"/>
      <c r="N15" s="361"/>
      <c r="O15" s="342"/>
      <c r="P15" s="348"/>
    </row>
    <row r="16" spans="1:16" s="349" customFormat="1">
      <c r="A16" s="359"/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  <c r="O16" s="342"/>
      <c r="P16" s="348"/>
    </row>
    <row r="17" spans="1:16" s="349" customFormat="1">
      <c r="A17" s="359"/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42"/>
      <c r="P17" s="348"/>
    </row>
    <row r="18" spans="1:16" s="349" customFormat="1">
      <c r="A18" s="359"/>
      <c r="B18" s="362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0"/>
      <c r="O18" s="342"/>
      <c r="P18" s="348"/>
    </row>
    <row r="19" spans="1:16" s="396" customFormat="1">
      <c r="A19" s="397"/>
      <c r="B19" s="399"/>
      <c r="C19" s="399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5"/>
    </row>
    <row r="20" spans="1:16" s="335" customFormat="1" ht="24.75" customHeight="1">
      <c r="A20" s="381" t="s">
        <v>170</v>
      </c>
      <c r="B20" s="376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34"/>
    </row>
    <row r="21" spans="1:16" s="335" customFormat="1">
      <c r="A21" s="610" t="s">
        <v>115</v>
      </c>
      <c r="B21" s="613">
        <v>44317</v>
      </c>
      <c r="C21" s="612">
        <v>44348</v>
      </c>
      <c r="D21" s="613">
        <v>44378</v>
      </c>
      <c r="E21" s="612">
        <v>44409</v>
      </c>
      <c r="F21" s="613">
        <v>44440</v>
      </c>
      <c r="G21" s="612">
        <v>44470</v>
      </c>
      <c r="H21" s="613">
        <v>44501</v>
      </c>
      <c r="I21" s="612">
        <v>44531</v>
      </c>
      <c r="J21" s="613">
        <v>44562</v>
      </c>
      <c r="K21" s="612">
        <v>44593</v>
      </c>
      <c r="L21" s="613">
        <v>44621</v>
      </c>
      <c r="M21" s="612">
        <v>44652</v>
      </c>
      <c r="N21" s="608" t="s">
        <v>112</v>
      </c>
      <c r="O21" s="334"/>
      <c r="P21" s="350"/>
    </row>
    <row r="22" spans="1:16" s="335" customFormat="1">
      <c r="A22" s="610"/>
      <c r="B22" s="613"/>
      <c r="C22" s="612"/>
      <c r="D22" s="613"/>
      <c r="E22" s="612"/>
      <c r="F22" s="613"/>
      <c r="G22" s="612"/>
      <c r="H22" s="613"/>
      <c r="I22" s="612"/>
      <c r="J22" s="613"/>
      <c r="K22" s="612"/>
      <c r="L22" s="613"/>
      <c r="M22" s="612"/>
      <c r="N22" s="608"/>
      <c r="O22" s="334"/>
      <c r="P22" s="350"/>
    </row>
    <row r="23" spans="1:16" s="335" customFormat="1">
      <c r="A23" s="374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34"/>
      <c r="P23" s="350"/>
    </row>
    <row r="24" spans="1:16" s="349" customFormat="1">
      <c r="A24" s="359"/>
      <c r="B24" s="362"/>
      <c r="C24" s="362"/>
      <c r="D24" s="362"/>
      <c r="E24" s="362"/>
      <c r="F24" s="362"/>
      <c r="G24" s="362"/>
      <c r="H24" s="362"/>
      <c r="I24" s="362"/>
      <c r="J24" s="362"/>
      <c r="K24" s="362"/>
      <c r="L24" s="362"/>
      <c r="M24" s="362"/>
      <c r="N24" s="361"/>
      <c r="O24" s="342"/>
      <c r="P24" s="348"/>
    </row>
    <row r="25" spans="1:16" s="335" customFormat="1">
      <c r="A25" s="359"/>
      <c r="B25" s="360"/>
      <c r="C25" s="360"/>
      <c r="D25" s="360"/>
      <c r="E25" s="360"/>
      <c r="F25" s="360"/>
      <c r="G25" s="360"/>
      <c r="H25" s="360"/>
      <c r="I25" s="360"/>
      <c r="J25" s="360"/>
      <c r="K25" s="360"/>
      <c r="L25" s="360"/>
      <c r="M25" s="360"/>
      <c r="N25" s="361"/>
      <c r="O25" s="334"/>
      <c r="P25" s="350"/>
    </row>
    <row r="26" spans="1:16" s="349" customFormat="1">
      <c r="A26" s="359"/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0"/>
      <c r="O26" s="342"/>
      <c r="P26" s="348"/>
    </row>
    <row r="27" spans="1:16" s="349" customFormat="1">
      <c r="A27" s="359"/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42"/>
      <c r="P27" s="348"/>
    </row>
    <row r="28" spans="1:16" s="335" customFormat="1">
      <c r="A28" s="379"/>
      <c r="B28" s="378"/>
      <c r="C28" s="378"/>
      <c r="D28" s="378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34"/>
      <c r="P28" s="350"/>
    </row>
    <row r="29" spans="1:16" s="335" customFormat="1">
      <c r="A29" s="379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78"/>
      <c r="O29" s="334"/>
      <c r="P29" s="350"/>
    </row>
    <row r="30" spans="1:16" s="335" customFormat="1">
      <c r="A30" s="349"/>
      <c r="B30" s="349"/>
      <c r="C30" s="340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7"/>
      <c r="O30" s="334"/>
      <c r="P30" s="350"/>
    </row>
    <row r="31" spans="1:16" ht="17.25" customHeight="1">
      <c r="A31" s="364" t="s">
        <v>168</v>
      </c>
      <c r="B31" s="386">
        <f>SUM(B5:B10)</f>
        <v>0</v>
      </c>
      <c r="C31" s="386">
        <f>SUM(C5:C10)</f>
        <v>0</v>
      </c>
      <c r="D31" s="386">
        <f>SUM(D5:D10)</f>
        <v>0</v>
      </c>
      <c r="E31" s="386">
        <f t="shared" ref="E31:M31" si="0">SUM(E5:E10)</f>
        <v>0</v>
      </c>
      <c r="F31" s="386">
        <f t="shared" si="0"/>
        <v>0</v>
      </c>
      <c r="G31" s="386">
        <f t="shared" si="0"/>
        <v>0</v>
      </c>
      <c r="H31" s="386">
        <f t="shared" si="0"/>
        <v>0</v>
      </c>
      <c r="I31" s="386">
        <f t="shared" si="0"/>
        <v>0</v>
      </c>
      <c r="J31" s="386">
        <f t="shared" si="0"/>
        <v>0</v>
      </c>
      <c r="K31" s="386">
        <f t="shared" si="0"/>
        <v>0</v>
      </c>
      <c r="L31" s="386">
        <f t="shared" si="0"/>
        <v>0</v>
      </c>
      <c r="M31" s="386">
        <f t="shared" si="0"/>
        <v>0</v>
      </c>
      <c r="N31" s="382"/>
      <c r="O31" s="372"/>
    </row>
    <row r="32" spans="1:16">
      <c r="A32" s="364" t="s">
        <v>169</v>
      </c>
      <c r="B32" s="320">
        <f>SUM(B14:B19)</f>
        <v>0</v>
      </c>
      <c r="C32" s="320">
        <f t="shared" ref="C32:M32" si="1">SUM(C14:C19)</f>
        <v>0</v>
      </c>
      <c r="D32" s="320">
        <f t="shared" si="1"/>
        <v>0</v>
      </c>
      <c r="E32" s="320">
        <f t="shared" si="1"/>
        <v>0</v>
      </c>
      <c r="F32" s="320">
        <f t="shared" si="1"/>
        <v>0</v>
      </c>
      <c r="G32" s="320">
        <f t="shared" si="1"/>
        <v>0</v>
      </c>
      <c r="H32" s="320">
        <f t="shared" si="1"/>
        <v>0</v>
      </c>
      <c r="I32" s="320">
        <f t="shared" si="1"/>
        <v>0</v>
      </c>
      <c r="J32" s="320">
        <f t="shared" si="1"/>
        <v>0</v>
      </c>
      <c r="K32" s="320">
        <f t="shared" si="1"/>
        <v>0</v>
      </c>
      <c r="L32" s="320">
        <f t="shared" si="1"/>
        <v>0</v>
      </c>
      <c r="M32" s="320">
        <f t="shared" si="1"/>
        <v>0</v>
      </c>
      <c r="N32" s="382"/>
      <c r="O32" s="358"/>
    </row>
    <row r="33" spans="1:15">
      <c r="A33" s="364" t="s">
        <v>170</v>
      </c>
      <c r="B33" s="320">
        <f>SUM(B23:B29)</f>
        <v>0</v>
      </c>
      <c r="C33" s="320">
        <f t="shared" ref="C33:M33" si="2">SUM(C23:C29)</f>
        <v>0</v>
      </c>
      <c r="D33" s="320">
        <f t="shared" si="2"/>
        <v>0</v>
      </c>
      <c r="E33" s="320">
        <f t="shared" si="2"/>
        <v>0</v>
      </c>
      <c r="F33" s="320">
        <f t="shared" si="2"/>
        <v>0</v>
      </c>
      <c r="G33" s="320">
        <f t="shared" si="2"/>
        <v>0</v>
      </c>
      <c r="H33" s="320">
        <f t="shared" si="2"/>
        <v>0</v>
      </c>
      <c r="I33" s="320">
        <f t="shared" si="2"/>
        <v>0</v>
      </c>
      <c r="J33" s="320">
        <f t="shared" si="2"/>
        <v>0</v>
      </c>
      <c r="K33" s="320">
        <f t="shared" si="2"/>
        <v>0</v>
      </c>
      <c r="L33" s="320">
        <f t="shared" si="2"/>
        <v>0</v>
      </c>
      <c r="M33" s="320">
        <f t="shared" si="2"/>
        <v>0</v>
      </c>
      <c r="N33" s="382"/>
      <c r="O33" s="358"/>
    </row>
    <row r="34" spans="1:15">
      <c r="A34" s="383"/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2"/>
      <c r="O34" s="356"/>
    </row>
    <row r="35" spans="1:15">
      <c r="A35" s="383"/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4"/>
      <c r="N35" s="382"/>
      <c r="O35" s="320"/>
    </row>
    <row r="36" spans="1:15">
      <c r="A36" s="385"/>
      <c r="B36" s="386"/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</row>
    <row r="37" spans="1:15">
      <c r="A37" s="433" t="s">
        <v>148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20"/>
      <c r="O37" s="320"/>
    </row>
    <row r="38" spans="1:15">
      <c r="A38" s="364"/>
      <c r="B38" s="365"/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20"/>
      <c r="O38" s="320"/>
    </row>
    <row r="39" spans="1:15">
      <c r="A39" s="366"/>
      <c r="B39" s="367"/>
      <c r="C39" s="367"/>
      <c r="D39" s="367"/>
      <c r="E39" s="365"/>
      <c r="F39" s="365"/>
      <c r="G39" s="365"/>
      <c r="H39" s="365"/>
      <c r="I39" s="365"/>
      <c r="J39" s="365"/>
      <c r="K39" s="365"/>
      <c r="L39" s="365"/>
      <c r="M39" s="365"/>
      <c r="N39" s="320"/>
      <c r="O39" s="320"/>
    </row>
    <row r="40" spans="1:15">
      <c r="A40" s="366"/>
      <c r="B40" s="367"/>
      <c r="C40" s="367"/>
      <c r="D40" s="367"/>
      <c r="E40" s="365"/>
      <c r="F40" s="365"/>
      <c r="G40" s="365"/>
      <c r="H40" s="365"/>
      <c r="I40" s="365"/>
      <c r="J40" s="365"/>
      <c r="K40" s="365"/>
      <c r="L40" s="365"/>
      <c r="M40" s="365"/>
      <c r="N40" s="320"/>
      <c r="O40" s="320"/>
    </row>
    <row r="41" spans="1:15">
      <c r="A41" s="368"/>
      <c r="B41" s="367"/>
      <c r="C41" s="367"/>
      <c r="D41" s="367"/>
      <c r="E41" s="365"/>
      <c r="F41" s="365"/>
      <c r="G41" s="365"/>
      <c r="H41" s="365"/>
      <c r="I41" s="365"/>
      <c r="J41" s="365"/>
      <c r="K41" s="365"/>
      <c r="L41" s="365"/>
      <c r="M41" s="365"/>
      <c r="N41" s="320"/>
      <c r="O41" s="320"/>
    </row>
    <row r="42" spans="1:15">
      <c r="A42" s="368"/>
      <c r="B42" s="367"/>
      <c r="C42" s="367"/>
      <c r="D42" s="367"/>
      <c r="E42" s="365"/>
      <c r="F42" s="365"/>
      <c r="G42" s="365"/>
      <c r="H42" s="365"/>
      <c r="I42" s="365"/>
      <c r="J42" s="365"/>
      <c r="K42" s="365"/>
      <c r="L42" s="365"/>
      <c r="M42" s="365"/>
      <c r="N42" s="320"/>
      <c r="O42" s="320"/>
    </row>
    <row r="43" spans="1:15">
      <c r="A43" s="366"/>
      <c r="B43" s="369"/>
      <c r="C43" s="369"/>
      <c r="D43" s="369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</row>
    <row r="44" spans="1:15">
      <c r="A44" s="370"/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20"/>
      <c r="O44" s="320"/>
    </row>
  </sheetData>
  <mergeCells count="43">
    <mergeCell ref="A1:O1"/>
    <mergeCell ref="A3:A4"/>
    <mergeCell ref="B3:B4"/>
    <mergeCell ref="C3:C4"/>
    <mergeCell ref="A21:A22"/>
    <mergeCell ref="B21:B22"/>
    <mergeCell ref="C21:C22"/>
    <mergeCell ref="J3:J4"/>
    <mergeCell ref="K3:K4"/>
    <mergeCell ref="L3:L4"/>
    <mergeCell ref="M3:M4"/>
    <mergeCell ref="D3:D4"/>
    <mergeCell ref="E3:E4"/>
    <mergeCell ref="F3:F4"/>
    <mergeCell ref="G3:G4"/>
    <mergeCell ref="H3:H4"/>
    <mergeCell ref="N3:N4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I3:I4"/>
    <mergeCell ref="D21:D22"/>
    <mergeCell ref="E21:E22"/>
    <mergeCell ref="F21:F22"/>
    <mergeCell ref="G21:G22"/>
    <mergeCell ref="H21:H22"/>
    <mergeCell ref="N21:N22"/>
    <mergeCell ref="I21:I22"/>
    <mergeCell ref="J21:J22"/>
    <mergeCell ref="K21:K22"/>
    <mergeCell ref="L21:L22"/>
    <mergeCell ref="M21:M22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Q33"/>
  <sheetViews>
    <sheetView workbookViewId="0">
      <selection activeCell="C8" sqref="C8"/>
    </sheetView>
  </sheetViews>
  <sheetFormatPr defaultColWidth="10.4609375" defaultRowHeight="12.9"/>
  <cols>
    <col min="1" max="1" width="25.4609375" style="319" bestFit="1" customWidth="1"/>
    <col min="2" max="2" width="17.3046875" style="319" customWidth="1"/>
    <col min="3" max="14" width="10.4609375" style="319"/>
    <col min="15" max="15" width="11.4609375" style="319" bestFit="1" customWidth="1"/>
    <col min="16" max="16384" width="10.4609375" style="319"/>
  </cols>
  <sheetData>
    <row r="1" spans="1:17" ht="26.15">
      <c r="A1" s="611" t="s">
        <v>133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</row>
    <row r="2" spans="1:17" s="335" customFormat="1" ht="24.75" customHeight="1">
      <c r="A2" s="381" t="s">
        <v>168</v>
      </c>
      <c r="B2" s="381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34"/>
    </row>
    <row r="3" spans="1:17" s="335" customFormat="1">
      <c r="A3" s="614"/>
      <c r="B3" s="614" t="s">
        <v>147</v>
      </c>
      <c r="C3" s="613">
        <v>43586</v>
      </c>
      <c r="D3" s="612">
        <v>43617</v>
      </c>
      <c r="E3" s="613">
        <v>43647</v>
      </c>
      <c r="F3" s="605">
        <v>43678</v>
      </c>
      <c r="G3" s="609">
        <v>43709</v>
      </c>
      <c r="H3" s="605">
        <v>43739</v>
      </c>
      <c r="I3" s="609">
        <v>43770</v>
      </c>
      <c r="J3" s="605">
        <v>43800</v>
      </c>
      <c r="K3" s="609">
        <v>43831</v>
      </c>
      <c r="L3" s="605">
        <v>43862</v>
      </c>
      <c r="M3" s="609">
        <v>43891</v>
      </c>
      <c r="N3" s="605">
        <v>43922</v>
      </c>
      <c r="O3" s="608" t="s">
        <v>112</v>
      </c>
      <c r="P3" s="339"/>
    </row>
    <row r="4" spans="1:17" s="335" customFormat="1">
      <c r="A4" s="615"/>
      <c r="B4" s="615"/>
      <c r="C4" s="613"/>
      <c r="D4" s="612"/>
      <c r="E4" s="613"/>
      <c r="F4" s="605"/>
      <c r="G4" s="609"/>
      <c r="H4" s="605"/>
      <c r="I4" s="609"/>
      <c r="J4" s="605"/>
      <c r="K4" s="609"/>
      <c r="L4" s="605"/>
      <c r="M4" s="609"/>
      <c r="N4" s="605"/>
      <c r="O4" s="608"/>
      <c r="P4" s="339"/>
    </row>
    <row r="5" spans="1:17" s="335" customFormat="1">
      <c r="A5" s="374"/>
      <c r="B5" s="374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34"/>
    </row>
    <row r="6" spans="1:17" s="335" customFormat="1">
      <c r="A6" s="374"/>
      <c r="B6" s="359"/>
      <c r="C6" s="363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34"/>
    </row>
    <row r="7" spans="1:17" s="335" customFormat="1">
      <c r="A7" s="374"/>
      <c r="B7" s="359"/>
      <c r="C7" s="363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34"/>
    </row>
    <row r="8" spans="1:17" s="335" customFormat="1">
      <c r="A8" s="374"/>
      <c r="B8" s="359"/>
      <c r="C8" s="363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34"/>
    </row>
    <row r="9" spans="1:17" s="335" customFormat="1">
      <c r="A9" s="359"/>
      <c r="B9" s="359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34"/>
    </row>
    <row r="10" spans="1:17" s="335" customFormat="1">
      <c r="A10" s="379"/>
      <c r="B10" s="379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34"/>
    </row>
    <row r="11" spans="1:17" s="335" customFormat="1" ht="24.75" customHeight="1">
      <c r="A11" s="381" t="s">
        <v>169</v>
      </c>
      <c r="B11" s="381"/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76"/>
      <c r="P11" s="334"/>
    </row>
    <row r="12" spans="1:17" s="335" customFormat="1">
      <c r="A12" s="610" t="s">
        <v>115</v>
      </c>
      <c r="B12" s="610" t="s">
        <v>147</v>
      </c>
      <c r="C12" s="613">
        <v>43952</v>
      </c>
      <c r="D12" s="612">
        <v>43983</v>
      </c>
      <c r="E12" s="613">
        <v>44013</v>
      </c>
      <c r="F12" s="612">
        <v>44044</v>
      </c>
      <c r="G12" s="613">
        <v>44075</v>
      </c>
      <c r="H12" s="612">
        <v>44105</v>
      </c>
      <c r="I12" s="613">
        <v>44136</v>
      </c>
      <c r="J12" s="612">
        <v>44166</v>
      </c>
      <c r="K12" s="613">
        <v>44197</v>
      </c>
      <c r="L12" s="612">
        <v>44228</v>
      </c>
      <c r="M12" s="613">
        <v>44256</v>
      </c>
      <c r="N12" s="605">
        <v>44287</v>
      </c>
      <c r="O12" s="608" t="s">
        <v>112</v>
      </c>
      <c r="P12" s="334"/>
    </row>
    <row r="13" spans="1:17" s="335" customFormat="1">
      <c r="A13" s="610"/>
      <c r="B13" s="610"/>
      <c r="C13" s="613"/>
      <c r="D13" s="612"/>
      <c r="E13" s="613"/>
      <c r="F13" s="612"/>
      <c r="G13" s="613"/>
      <c r="H13" s="612"/>
      <c r="I13" s="613"/>
      <c r="J13" s="612"/>
      <c r="K13" s="613"/>
      <c r="L13" s="612"/>
      <c r="M13" s="613"/>
      <c r="N13" s="605"/>
      <c r="O13" s="608"/>
      <c r="P13" s="334"/>
    </row>
    <row r="14" spans="1:17" s="335" customFormat="1" ht="13.5" customHeight="1">
      <c r="A14" s="374"/>
      <c r="B14" s="374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34"/>
    </row>
    <row r="15" spans="1:17" s="349" customFormat="1">
      <c r="A15" s="359"/>
      <c r="B15" s="359"/>
      <c r="C15" s="360"/>
      <c r="D15" s="360"/>
      <c r="E15" s="360"/>
      <c r="F15" s="360"/>
      <c r="G15" s="360"/>
      <c r="H15" s="360"/>
      <c r="I15" s="360"/>
      <c r="J15" s="360"/>
      <c r="K15" s="360"/>
      <c r="L15" s="360"/>
      <c r="M15" s="360"/>
      <c r="N15" s="360"/>
      <c r="O15" s="361"/>
      <c r="P15" s="342"/>
      <c r="Q15" s="348"/>
    </row>
    <row r="16" spans="1:17" s="349" customFormat="1">
      <c r="A16" s="359"/>
      <c r="B16" s="359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1"/>
      <c r="P16" s="342"/>
      <c r="Q16" s="348"/>
    </row>
    <row r="17" spans="1:17" s="349" customFormat="1">
      <c r="A17" s="359"/>
      <c r="B17" s="359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42"/>
      <c r="Q17" s="348"/>
    </row>
    <row r="18" spans="1:17" s="349" customFormat="1">
      <c r="A18" s="359"/>
      <c r="B18" s="359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0"/>
      <c r="P18" s="342"/>
      <c r="Q18" s="348"/>
    </row>
    <row r="19" spans="1:17" s="335" customFormat="1" ht="12" customHeight="1">
      <c r="A19" s="379"/>
      <c r="B19" s="379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34"/>
      <c r="Q19" s="350"/>
    </row>
    <row r="20" spans="1:17" s="335" customFormat="1" ht="24.75" customHeight="1">
      <c r="A20" s="381" t="s">
        <v>170</v>
      </c>
      <c r="B20" s="381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76"/>
      <c r="P20" s="334"/>
    </row>
    <row r="21" spans="1:17" s="335" customFormat="1">
      <c r="A21" s="610" t="s">
        <v>115</v>
      </c>
      <c r="B21" s="610" t="s">
        <v>147</v>
      </c>
      <c r="C21" s="613">
        <v>44317</v>
      </c>
      <c r="D21" s="612">
        <v>44348</v>
      </c>
      <c r="E21" s="613">
        <v>44378</v>
      </c>
      <c r="F21" s="612">
        <v>44409</v>
      </c>
      <c r="G21" s="613">
        <v>44440</v>
      </c>
      <c r="H21" s="612">
        <v>44470</v>
      </c>
      <c r="I21" s="613">
        <v>44501</v>
      </c>
      <c r="J21" s="612">
        <v>44531</v>
      </c>
      <c r="K21" s="613">
        <v>44562</v>
      </c>
      <c r="L21" s="612">
        <v>44593</v>
      </c>
      <c r="M21" s="613">
        <v>44621</v>
      </c>
      <c r="N21" s="612">
        <v>44652</v>
      </c>
      <c r="O21" s="608" t="s">
        <v>112</v>
      </c>
      <c r="P21" s="334"/>
      <c r="Q21" s="350"/>
    </row>
    <row r="22" spans="1:17" s="335" customFormat="1">
      <c r="A22" s="610"/>
      <c r="B22" s="610"/>
      <c r="C22" s="613"/>
      <c r="D22" s="612"/>
      <c r="E22" s="613"/>
      <c r="F22" s="612"/>
      <c r="G22" s="613"/>
      <c r="H22" s="612"/>
      <c r="I22" s="613"/>
      <c r="J22" s="612"/>
      <c r="K22" s="613"/>
      <c r="L22" s="612"/>
      <c r="M22" s="613"/>
      <c r="N22" s="612"/>
      <c r="O22" s="608"/>
      <c r="P22" s="334"/>
      <c r="Q22" s="350"/>
    </row>
    <row r="23" spans="1:17" s="335" customFormat="1">
      <c r="A23" s="374"/>
      <c r="B23" s="374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63"/>
      <c r="P23" s="334"/>
      <c r="Q23" s="350"/>
    </row>
    <row r="24" spans="1:17" s="349" customFormat="1">
      <c r="A24" s="359"/>
      <c r="B24" s="359"/>
      <c r="C24" s="362"/>
      <c r="D24" s="362"/>
      <c r="E24" s="362"/>
      <c r="F24" s="362"/>
      <c r="G24" s="362"/>
      <c r="H24" s="362"/>
      <c r="I24" s="362"/>
      <c r="J24" s="362"/>
      <c r="K24" s="362"/>
      <c r="L24" s="362"/>
      <c r="M24" s="362"/>
      <c r="N24" s="362"/>
      <c r="O24" s="361"/>
      <c r="P24" s="342"/>
      <c r="Q24" s="348"/>
    </row>
    <row r="25" spans="1:17" s="335" customFormat="1">
      <c r="A25" s="359"/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0"/>
      <c r="M25" s="360"/>
      <c r="N25" s="360"/>
      <c r="O25" s="361"/>
      <c r="P25" s="334"/>
      <c r="Q25" s="350"/>
    </row>
    <row r="26" spans="1:17" s="349" customFormat="1">
      <c r="A26" s="359"/>
      <c r="B26" s="359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0"/>
      <c r="P26" s="342"/>
      <c r="Q26" s="348"/>
    </row>
    <row r="27" spans="1:17" s="349" customFormat="1">
      <c r="A27" s="359"/>
      <c r="B27" s="359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42"/>
      <c r="Q27" s="348"/>
    </row>
    <row r="28" spans="1:17" s="335" customFormat="1">
      <c r="A28" s="379"/>
      <c r="B28" s="379"/>
      <c r="C28" s="378"/>
      <c r="D28" s="378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78"/>
      <c r="P28" s="334"/>
      <c r="Q28" s="350"/>
    </row>
    <row r="29" spans="1:17" s="335" customFormat="1">
      <c r="A29" s="379"/>
      <c r="B29" s="379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78"/>
      <c r="P29" s="334"/>
      <c r="Q29" s="350"/>
    </row>
    <row r="31" spans="1:17">
      <c r="A31" s="364" t="s">
        <v>168</v>
      </c>
      <c r="B31" s="364"/>
      <c r="C31" s="386">
        <f>SUM(C5:C10)</f>
        <v>0</v>
      </c>
      <c r="D31" s="386">
        <f t="shared" ref="D31:N31" si="0">SUM(D5:D10)</f>
        <v>0</v>
      </c>
      <c r="E31" s="386">
        <f t="shared" si="0"/>
        <v>0</v>
      </c>
      <c r="F31" s="386">
        <f t="shared" si="0"/>
        <v>0</v>
      </c>
      <c r="G31" s="386">
        <f t="shared" si="0"/>
        <v>0</v>
      </c>
      <c r="H31" s="386">
        <f t="shared" si="0"/>
        <v>0</v>
      </c>
      <c r="I31" s="386">
        <f t="shared" si="0"/>
        <v>0</v>
      </c>
      <c r="J31" s="386">
        <f t="shared" si="0"/>
        <v>0</v>
      </c>
      <c r="K31" s="386">
        <f t="shared" si="0"/>
        <v>0</v>
      </c>
      <c r="L31" s="386">
        <f t="shared" si="0"/>
        <v>0</v>
      </c>
      <c r="M31" s="386">
        <f t="shared" si="0"/>
        <v>0</v>
      </c>
      <c r="N31" s="386">
        <f t="shared" si="0"/>
        <v>0</v>
      </c>
    </row>
    <row r="32" spans="1:17">
      <c r="A32" s="364" t="s">
        <v>169</v>
      </c>
      <c r="B32" s="364"/>
      <c r="C32" s="320">
        <f>SUM(C14:C19)</f>
        <v>0</v>
      </c>
      <c r="D32" s="320">
        <f t="shared" ref="D32:N32" si="1">SUM(D14:D19)</f>
        <v>0</v>
      </c>
      <c r="E32" s="320">
        <f t="shared" si="1"/>
        <v>0</v>
      </c>
      <c r="F32" s="320">
        <f t="shared" si="1"/>
        <v>0</v>
      </c>
      <c r="G32" s="320">
        <f t="shared" si="1"/>
        <v>0</v>
      </c>
      <c r="H32" s="320">
        <f t="shared" si="1"/>
        <v>0</v>
      </c>
      <c r="I32" s="320">
        <f t="shared" si="1"/>
        <v>0</v>
      </c>
      <c r="J32" s="320">
        <f t="shared" si="1"/>
        <v>0</v>
      </c>
      <c r="K32" s="320">
        <f t="shared" si="1"/>
        <v>0</v>
      </c>
      <c r="L32" s="320">
        <f t="shared" si="1"/>
        <v>0</v>
      </c>
      <c r="M32" s="320">
        <f t="shared" si="1"/>
        <v>0</v>
      </c>
      <c r="N32" s="320">
        <f t="shared" si="1"/>
        <v>0</v>
      </c>
    </row>
    <row r="33" spans="1:14">
      <c r="A33" s="364" t="s">
        <v>170</v>
      </c>
      <c r="B33" s="364"/>
      <c r="C33" s="320">
        <f>SUM(C23:C29)</f>
        <v>0</v>
      </c>
      <c r="D33" s="320">
        <f t="shared" ref="D33:N33" si="2">SUM(D23:D29)</f>
        <v>0</v>
      </c>
      <c r="E33" s="320">
        <f t="shared" si="2"/>
        <v>0</v>
      </c>
      <c r="F33" s="320">
        <f t="shared" si="2"/>
        <v>0</v>
      </c>
      <c r="G33" s="320">
        <f t="shared" si="2"/>
        <v>0</v>
      </c>
      <c r="H33" s="320">
        <f t="shared" si="2"/>
        <v>0</v>
      </c>
      <c r="I33" s="320">
        <f t="shared" si="2"/>
        <v>0</v>
      </c>
      <c r="J33" s="320">
        <f t="shared" si="2"/>
        <v>0</v>
      </c>
      <c r="K33" s="320">
        <f t="shared" si="2"/>
        <v>0</v>
      </c>
      <c r="L33" s="320">
        <f t="shared" si="2"/>
        <v>0</v>
      </c>
      <c r="M33" s="320">
        <f t="shared" si="2"/>
        <v>0</v>
      </c>
      <c r="N33" s="320">
        <f t="shared" si="2"/>
        <v>0</v>
      </c>
    </row>
  </sheetData>
  <mergeCells count="46">
    <mergeCell ref="A1:P1"/>
    <mergeCell ref="A3:A4"/>
    <mergeCell ref="C3:C4"/>
    <mergeCell ref="D3:D4"/>
    <mergeCell ref="O3:O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B3:B4"/>
    <mergeCell ref="A12:A13"/>
    <mergeCell ref="C12:C13"/>
    <mergeCell ref="D12:D13"/>
    <mergeCell ref="E12:E13"/>
    <mergeCell ref="F12:F13"/>
    <mergeCell ref="B12:B13"/>
    <mergeCell ref="G12:G13"/>
    <mergeCell ref="H12:H13"/>
    <mergeCell ref="I12:I13"/>
    <mergeCell ref="J12:J13"/>
    <mergeCell ref="K12:K13"/>
    <mergeCell ref="G21:G22"/>
    <mergeCell ref="H21:H22"/>
    <mergeCell ref="I21:I22"/>
    <mergeCell ref="J21:J22"/>
    <mergeCell ref="K21:K22"/>
    <mergeCell ref="A21:A22"/>
    <mergeCell ref="C21:C22"/>
    <mergeCell ref="D21:D22"/>
    <mergeCell ref="E21:E22"/>
    <mergeCell ref="F21:F22"/>
    <mergeCell ref="B21:B22"/>
    <mergeCell ref="N21:N22"/>
    <mergeCell ref="O21:O22"/>
    <mergeCell ref="L12:L13"/>
    <mergeCell ref="M12:M13"/>
    <mergeCell ref="N12:N13"/>
    <mergeCell ref="O12:O13"/>
    <mergeCell ref="L21:L22"/>
    <mergeCell ref="M21:M2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C75"/>
  <sheetViews>
    <sheetView topLeftCell="Q1" zoomScaleNormal="90" workbookViewId="0">
      <selection activeCell="AD10" sqref="AD10"/>
    </sheetView>
  </sheetViews>
  <sheetFormatPr defaultColWidth="10.4609375" defaultRowHeight="12.9"/>
  <cols>
    <col min="1" max="1" width="22.4609375" style="319" customWidth="1"/>
    <col min="2" max="28" width="20.84375" style="319" customWidth="1"/>
    <col min="29" max="16384" width="10.4609375" style="319"/>
  </cols>
  <sheetData>
    <row r="1" spans="1:29" ht="25" customHeight="1">
      <c r="A1" s="611" t="s">
        <v>116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</row>
    <row r="2" spans="1:29" s="335" customFormat="1" ht="24.75" customHeight="1">
      <c r="A2" s="381" t="s">
        <v>120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34"/>
    </row>
    <row r="3" spans="1:29" s="335" customFormat="1">
      <c r="A3" s="610" t="s">
        <v>115</v>
      </c>
      <c r="B3" s="466"/>
      <c r="C3" s="500"/>
      <c r="D3" s="466"/>
      <c r="E3" s="609">
        <v>43831</v>
      </c>
      <c r="F3" s="466"/>
      <c r="G3" s="605">
        <v>43862</v>
      </c>
      <c r="H3" s="466"/>
      <c r="I3" s="609">
        <v>43891</v>
      </c>
      <c r="J3" s="466"/>
      <c r="K3" s="605">
        <v>43922</v>
      </c>
      <c r="L3" s="466"/>
      <c r="M3" s="609">
        <v>43952</v>
      </c>
      <c r="N3" s="466"/>
      <c r="O3" s="605">
        <v>43983</v>
      </c>
      <c r="P3" s="466"/>
      <c r="Q3" s="609">
        <v>44013</v>
      </c>
      <c r="R3" s="466"/>
      <c r="S3" s="605">
        <v>44044</v>
      </c>
      <c r="T3" s="466"/>
      <c r="U3" s="609">
        <v>44075</v>
      </c>
      <c r="V3" s="466"/>
      <c r="W3" s="605">
        <v>44105</v>
      </c>
      <c r="X3" s="466"/>
      <c r="Y3" s="606">
        <v>44136</v>
      </c>
      <c r="Z3" s="466"/>
      <c r="AA3" s="605">
        <v>44166</v>
      </c>
      <c r="AB3" s="608" t="s">
        <v>112</v>
      </c>
      <c r="AC3" s="339"/>
    </row>
    <row r="4" spans="1:29" s="335" customFormat="1">
      <c r="A4" s="610"/>
      <c r="B4" s="466"/>
      <c r="C4" s="500"/>
      <c r="D4" s="466"/>
      <c r="E4" s="609"/>
      <c r="F4" s="466"/>
      <c r="G4" s="605"/>
      <c r="H4" s="466"/>
      <c r="I4" s="609"/>
      <c r="J4" s="466"/>
      <c r="K4" s="605"/>
      <c r="L4" s="466"/>
      <c r="M4" s="609"/>
      <c r="N4" s="466"/>
      <c r="O4" s="605"/>
      <c r="P4" s="466"/>
      <c r="Q4" s="609"/>
      <c r="R4" s="466"/>
      <c r="S4" s="605"/>
      <c r="T4" s="466"/>
      <c r="U4" s="609"/>
      <c r="V4" s="466"/>
      <c r="W4" s="605"/>
      <c r="X4" s="466"/>
      <c r="Y4" s="607"/>
      <c r="Z4" s="466"/>
      <c r="AA4" s="605"/>
      <c r="AB4" s="608"/>
      <c r="AC4" s="339"/>
    </row>
    <row r="5" spans="1:29" s="335" customFormat="1">
      <c r="A5" s="374" t="s">
        <v>258</v>
      </c>
      <c r="B5" s="363"/>
      <c r="C5" s="361"/>
      <c r="D5" s="361"/>
      <c r="E5" s="546"/>
      <c r="F5" s="361"/>
      <c r="G5" s="546">
        <v>100000</v>
      </c>
      <c r="H5" s="361"/>
      <c r="I5" s="546">
        <v>100000</v>
      </c>
      <c r="J5" s="361"/>
      <c r="K5" s="546">
        <v>100000</v>
      </c>
      <c r="L5" s="361"/>
      <c r="M5" s="546">
        <v>100000</v>
      </c>
      <c r="N5" s="361"/>
      <c r="O5" s="546">
        <v>100000</v>
      </c>
      <c r="P5" s="545"/>
      <c r="Q5" s="546">
        <v>100000</v>
      </c>
      <c r="R5" s="545"/>
      <c r="S5" s="546">
        <v>600000</v>
      </c>
      <c r="T5" s="545"/>
      <c r="U5" s="546">
        <v>600000</v>
      </c>
      <c r="V5" s="545"/>
      <c r="W5" s="546">
        <v>600000</v>
      </c>
      <c r="X5" s="545"/>
      <c r="Y5" s="546">
        <v>600000</v>
      </c>
      <c r="Z5" s="545"/>
      <c r="AA5" s="546">
        <v>600000</v>
      </c>
      <c r="AB5" s="545"/>
    </row>
    <row r="6" spans="1:29" s="335" customFormat="1">
      <c r="A6" s="374" t="s">
        <v>259</v>
      </c>
      <c r="B6" s="363"/>
      <c r="C6" s="361"/>
      <c r="D6" s="361"/>
      <c r="E6" s="547"/>
      <c r="F6" s="361"/>
      <c r="G6" s="547">
        <v>600000</v>
      </c>
      <c r="H6" s="361"/>
      <c r="I6" s="547">
        <v>600000</v>
      </c>
      <c r="J6" s="361"/>
      <c r="K6" s="547">
        <v>600000</v>
      </c>
      <c r="L6" s="361"/>
      <c r="M6" s="547">
        <v>600000</v>
      </c>
      <c r="N6" s="361"/>
      <c r="O6" s="547">
        <v>600000</v>
      </c>
      <c r="P6" s="545"/>
      <c r="Q6" s="547">
        <v>600000</v>
      </c>
      <c r="R6" s="545"/>
      <c r="S6" s="547">
        <v>2500000</v>
      </c>
      <c r="T6" s="545"/>
      <c r="U6" s="547">
        <v>2500000</v>
      </c>
      <c r="V6" s="545"/>
      <c r="W6" s="547">
        <v>2500000</v>
      </c>
      <c r="X6" s="545"/>
      <c r="Y6" s="547">
        <v>2500000</v>
      </c>
      <c r="Z6" s="545"/>
      <c r="AA6" s="547">
        <v>2500000</v>
      </c>
      <c r="AB6" s="545"/>
    </row>
    <row r="7" spans="1:29" s="335" customFormat="1">
      <c r="A7" s="359" t="s">
        <v>260</v>
      </c>
      <c r="B7" s="360"/>
      <c r="C7" s="360"/>
      <c r="D7" s="360"/>
      <c r="E7" s="548"/>
      <c r="F7" s="360"/>
      <c r="G7" s="548">
        <v>200000</v>
      </c>
      <c r="H7" s="360"/>
      <c r="I7" s="548">
        <v>200000</v>
      </c>
      <c r="J7" s="360"/>
      <c r="K7" s="548">
        <v>200000</v>
      </c>
      <c r="L7" s="360"/>
      <c r="M7" s="548">
        <v>200000</v>
      </c>
      <c r="N7" s="360"/>
      <c r="O7" s="548">
        <v>200000</v>
      </c>
      <c r="P7" s="545"/>
      <c r="Q7" s="548">
        <v>200000</v>
      </c>
      <c r="R7" s="545"/>
      <c r="S7" s="548">
        <v>600000</v>
      </c>
      <c r="T7" s="545"/>
      <c r="U7" s="548">
        <v>600000</v>
      </c>
      <c r="V7" s="545"/>
      <c r="W7" s="548">
        <v>600000</v>
      </c>
      <c r="X7" s="545"/>
      <c r="Y7" s="548">
        <v>600000</v>
      </c>
      <c r="Z7" s="545"/>
      <c r="AA7" s="548">
        <v>600000</v>
      </c>
      <c r="AB7" s="545"/>
    </row>
    <row r="8" spans="1:29" s="335" customFormat="1">
      <c r="A8" s="359" t="s">
        <v>261</v>
      </c>
      <c r="B8" s="360"/>
      <c r="C8" s="360"/>
      <c r="D8" s="360"/>
      <c r="E8" s="549"/>
      <c r="F8" s="360"/>
      <c r="G8" s="549"/>
      <c r="H8" s="360"/>
      <c r="I8" s="549"/>
      <c r="J8" s="360"/>
      <c r="K8" s="549"/>
      <c r="L8" s="360"/>
      <c r="M8" s="549"/>
      <c r="N8" s="360"/>
      <c r="O8" s="549"/>
      <c r="P8" s="545"/>
      <c r="Q8" s="549"/>
      <c r="R8" s="545"/>
      <c r="S8" s="549">
        <v>2000000</v>
      </c>
      <c r="T8" s="545"/>
      <c r="U8" s="549">
        <v>2000000</v>
      </c>
      <c r="V8" s="545"/>
      <c r="W8" s="549">
        <v>2000000</v>
      </c>
      <c r="X8" s="545"/>
      <c r="Y8" s="549">
        <v>2000000</v>
      </c>
      <c r="Z8" s="545"/>
      <c r="AA8" s="549">
        <v>2000000</v>
      </c>
      <c r="AB8" s="545"/>
    </row>
    <row r="9" spans="1:29" s="335" customFormat="1">
      <c r="A9" s="379"/>
      <c r="B9" s="378"/>
      <c r="C9" s="378"/>
      <c r="D9" s="378"/>
      <c r="E9" s="552"/>
      <c r="F9" s="378"/>
      <c r="G9" s="552"/>
      <c r="H9" s="378"/>
      <c r="I9" s="552"/>
      <c r="J9" s="378"/>
      <c r="K9" s="552"/>
      <c r="L9" s="378"/>
      <c r="M9" s="552"/>
      <c r="N9" s="378"/>
      <c r="O9" s="552"/>
      <c r="P9" s="545"/>
      <c r="Q9" s="552"/>
      <c r="R9" s="545"/>
      <c r="S9" s="545"/>
      <c r="T9" s="545"/>
      <c r="U9" s="560"/>
      <c r="V9" s="545"/>
      <c r="W9" s="560"/>
      <c r="X9" s="545"/>
      <c r="Y9" s="560"/>
      <c r="Z9" s="545"/>
      <c r="AA9" s="560"/>
      <c r="AB9" s="545"/>
    </row>
    <row r="10" spans="1:29" s="572" customFormat="1">
      <c r="A10" s="566" t="s">
        <v>263</v>
      </c>
      <c r="B10" s="567"/>
      <c r="C10" s="568"/>
      <c r="D10" s="568"/>
      <c r="E10" s="569"/>
      <c r="F10" s="568"/>
      <c r="G10" s="569"/>
      <c r="H10" s="568"/>
      <c r="I10" s="569">
        <v>2500000</v>
      </c>
      <c r="J10" s="568"/>
      <c r="K10" s="569"/>
      <c r="L10" s="568"/>
      <c r="M10" s="569"/>
      <c r="N10" s="568"/>
      <c r="O10" s="569"/>
      <c r="P10" s="570"/>
      <c r="Q10" s="569"/>
      <c r="R10" s="570"/>
      <c r="S10" s="570"/>
      <c r="T10" s="570"/>
      <c r="U10" s="571"/>
      <c r="V10" s="570"/>
      <c r="W10" s="571"/>
      <c r="X10" s="570"/>
      <c r="Y10" s="571"/>
      <c r="Z10" s="570"/>
      <c r="AA10" s="571"/>
      <c r="AB10" s="570"/>
    </row>
    <row r="11" spans="1:29" s="495" customFormat="1">
      <c r="A11" s="573" t="s">
        <v>264</v>
      </c>
      <c r="B11" s="574"/>
      <c r="C11" s="488"/>
      <c r="D11" s="488"/>
      <c r="E11" s="575"/>
      <c r="F11" s="488"/>
      <c r="G11" s="575">
        <v>500000</v>
      </c>
      <c r="H11" s="488"/>
      <c r="I11" s="575"/>
      <c r="J11" s="488"/>
      <c r="K11" s="575"/>
      <c r="L11" s="488"/>
      <c r="M11" s="575"/>
      <c r="N11" s="488"/>
      <c r="O11" s="575"/>
      <c r="P11" s="576"/>
      <c r="Q11" s="575"/>
      <c r="R11" s="576"/>
      <c r="S11" s="577">
        <v>500000</v>
      </c>
      <c r="T11" s="576"/>
      <c r="U11" s="578"/>
      <c r="V11" s="576"/>
      <c r="W11" s="579">
        <v>500000</v>
      </c>
      <c r="X11" s="576"/>
      <c r="Y11" s="578"/>
      <c r="Z11" s="576"/>
      <c r="AA11" s="578"/>
      <c r="AB11" s="576"/>
    </row>
    <row r="12" spans="1:29" s="599" customFormat="1">
      <c r="A12" s="594" t="s">
        <v>262</v>
      </c>
      <c r="B12" s="595"/>
      <c r="C12" s="595"/>
      <c r="D12" s="595"/>
      <c r="E12" s="596"/>
      <c r="F12" s="595"/>
      <c r="G12" s="596"/>
      <c r="H12" s="595"/>
      <c r="I12" s="596"/>
      <c r="J12" s="595"/>
      <c r="K12" s="596"/>
      <c r="L12" s="595"/>
      <c r="M12" s="596"/>
      <c r="N12" s="595"/>
      <c r="O12" s="596"/>
      <c r="P12" s="597"/>
      <c r="Q12" s="596"/>
      <c r="R12" s="597"/>
      <c r="S12" s="597"/>
      <c r="T12" s="597"/>
      <c r="U12" s="598"/>
      <c r="V12" s="597"/>
      <c r="W12" s="598"/>
      <c r="X12" s="597"/>
      <c r="Y12" s="600"/>
      <c r="Z12" s="597"/>
      <c r="AA12" s="600"/>
      <c r="AB12" s="601">
        <f>SUM(E12:AA12)</f>
        <v>0</v>
      </c>
    </row>
    <row r="13" spans="1:29" s="585" customFormat="1">
      <c r="A13" s="580" t="s">
        <v>266</v>
      </c>
      <c r="B13" s="581"/>
      <c r="C13" s="581"/>
      <c r="D13" s="581"/>
      <c r="E13" s="582"/>
      <c r="F13" s="581"/>
      <c r="G13" s="582">
        <v>125000</v>
      </c>
      <c r="H13" s="581"/>
      <c r="I13" s="582">
        <v>125000</v>
      </c>
      <c r="J13" s="581"/>
      <c r="K13" s="582">
        <v>125000</v>
      </c>
      <c r="L13" s="581"/>
      <c r="M13" s="582">
        <v>125000</v>
      </c>
      <c r="N13" s="581"/>
      <c r="O13" s="582">
        <v>125000</v>
      </c>
      <c r="P13" s="581"/>
      <c r="Q13" s="582">
        <v>125000</v>
      </c>
      <c r="R13" s="583"/>
      <c r="S13" s="581">
        <v>125000</v>
      </c>
      <c r="T13" s="581"/>
      <c r="U13" s="582">
        <v>125000</v>
      </c>
      <c r="V13" s="581"/>
      <c r="W13" s="582">
        <v>125000</v>
      </c>
      <c r="X13" s="583"/>
      <c r="Y13" s="582">
        <v>125000</v>
      </c>
      <c r="Z13" s="581"/>
      <c r="AA13" s="582">
        <v>125000</v>
      </c>
      <c r="AB13" s="581">
        <f>SUM(AA13,Y13,W13,U13,S13,Q13,O13,M13,K13,I13,G13,E13)</f>
        <v>1375000</v>
      </c>
      <c r="AC13" s="584"/>
    </row>
    <row r="14" spans="1:29" s="593" customFormat="1">
      <c r="A14" s="586" t="s">
        <v>267</v>
      </c>
      <c r="B14" s="587"/>
      <c r="C14" s="588"/>
      <c r="D14" s="588"/>
      <c r="E14" s="589"/>
      <c r="F14" s="588"/>
      <c r="G14" s="589">
        <v>125000</v>
      </c>
      <c r="H14" s="588"/>
      <c r="I14" s="589">
        <v>125000</v>
      </c>
      <c r="J14" s="588"/>
      <c r="K14" s="589">
        <v>125000</v>
      </c>
      <c r="L14" s="588"/>
      <c r="M14" s="589">
        <v>125000</v>
      </c>
      <c r="N14" s="588"/>
      <c r="O14" s="589">
        <v>125000</v>
      </c>
      <c r="P14" s="588"/>
      <c r="Q14" s="589">
        <v>125000</v>
      </c>
      <c r="R14" s="590"/>
      <c r="S14" s="591">
        <v>125000</v>
      </c>
      <c r="T14" s="588"/>
      <c r="U14" s="589">
        <v>125000</v>
      </c>
      <c r="V14" s="588"/>
      <c r="W14" s="589">
        <v>125000</v>
      </c>
      <c r="X14" s="590"/>
      <c r="Y14" s="589">
        <v>125000</v>
      </c>
      <c r="Z14" s="588"/>
      <c r="AA14" s="589">
        <v>125000</v>
      </c>
      <c r="AB14" s="588">
        <f>SUM(AA14,Y14,W14,U14,S14,Q14,O14,M14,K14,I14,G14,E14)</f>
        <v>1375000</v>
      </c>
      <c r="AC14" s="592"/>
    </row>
    <row r="15" spans="1:29" s="335" customFormat="1">
      <c r="A15" s="374" t="s">
        <v>268</v>
      </c>
      <c r="B15" s="363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544"/>
      <c r="P15" s="545"/>
      <c r="Q15" s="545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</row>
    <row r="16" spans="1:29" s="335" customFormat="1">
      <c r="A16" s="359" t="s">
        <v>269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544"/>
      <c r="P16" s="545"/>
      <c r="Q16" s="545"/>
      <c r="R16" s="545"/>
      <c r="S16" s="545"/>
      <c r="T16" s="545"/>
      <c r="U16" s="545"/>
      <c r="V16" s="545"/>
      <c r="W16" s="545"/>
      <c r="X16" s="545"/>
      <c r="Y16" s="545"/>
      <c r="Z16" s="545"/>
      <c r="AA16" s="545"/>
      <c r="AB16" s="545"/>
    </row>
    <row r="17" spans="1:29" s="335" customFormat="1">
      <c r="A17" s="359" t="s">
        <v>270</v>
      </c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544"/>
      <c r="P17" s="545"/>
      <c r="Q17" s="545"/>
      <c r="R17" s="545"/>
      <c r="S17" s="554"/>
      <c r="T17" s="545"/>
      <c r="U17" s="545"/>
      <c r="V17" s="545"/>
      <c r="W17" s="545"/>
      <c r="X17" s="545"/>
      <c r="Y17" s="545"/>
      <c r="Z17" s="545"/>
      <c r="AA17" s="545"/>
      <c r="AB17" s="545"/>
    </row>
    <row r="18" spans="1:29" s="543" customFormat="1">
      <c r="A18" s="555"/>
      <c r="B18" s="556"/>
      <c r="C18" s="556"/>
      <c r="D18" s="556"/>
      <c r="E18" s="556">
        <f>SUM(E5:E17)</f>
        <v>0</v>
      </c>
      <c r="F18" s="556"/>
      <c r="G18" s="556">
        <f>SUM(G5:G17)</f>
        <v>1650000</v>
      </c>
      <c r="H18" s="556"/>
      <c r="I18" s="556">
        <f>SUM(I5:I17)</f>
        <v>3650000</v>
      </c>
      <c r="J18" s="556"/>
      <c r="K18" s="556">
        <f>SUM(K5:K17)</f>
        <v>1150000</v>
      </c>
      <c r="L18" s="556"/>
      <c r="M18" s="556">
        <f>SUM(M5:M17)</f>
        <v>1150000</v>
      </c>
      <c r="N18" s="556"/>
      <c r="O18" s="559">
        <f>SUM(O5:O17)</f>
        <v>1150000</v>
      </c>
      <c r="P18" s="557"/>
      <c r="Q18" s="558">
        <f>SUM(Q5:Q17)</f>
        <v>1150000</v>
      </c>
      <c r="R18" s="557"/>
      <c r="S18" s="558">
        <f>SUM(S5:S17)</f>
        <v>6450000</v>
      </c>
      <c r="T18" s="557"/>
      <c r="U18" s="558">
        <f>SUM(U5:U17)</f>
        <v>5950000</v>
      </c>
      <c r="V18" s="557"/>
      <c r="W18" s="558">
        <f>SUM(W5:W17)</f>
        <v>6450000</v>
      </c>
      <c r="X18" s="557"/>
      <c r="Y18" s="558">
        <f>SUM(Y5:Y17)</f>
        <v>5950000</v>
      </c>
      <c r="Z18" s="557"/>
      <c r="AA18" s="558">
        <f>SUM(AA5:AA17)</f>
        <v>5950000</v>
      </c>
      <c r="AB18" s="558">
        <f>SUM(AA18,Y18,W18,U18,S18,Q18,O18,M18,K18,I18,G18,E18)</f>
        <v>40650000</v>
      </c>
    </row>
    <row r="19" spans="1:29" s="335" customFormat="1">
      <c r="A19" s="379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544"/>
      <c r="P19" s="545"/>
      <c r="Q19" s="545"/>
      <c r="R19" s="545"/>
      <c r="S19" s="545"/>
      <c r="T19" s="545"/>
      <c r="U19" s="545"/>
      <c r="V19" s="545"/>
      <c r="W19" s="545"/>
      <c r="X19" s="545"/>
      <c r="Y19" s="545"/>
      <c r="Z19" s="545"/>
      <c r="AA19" s="545"/>
      <c r="AB19" s="545"/>
    </row>
    <row r="20" spans="1:29" s="335" customFormat="1" ht="24.75" customHeight="1">
      <c r="A20" s="381" t="s">
        <v>121</v>
      </c>
      <c r="B20" s="376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34"/>
    </row>
    <row r="21" spans="1:29" s="335" customFormat="1">
      <c r="A21" s="610" t="s">
        <v>115</v>
      </c>
      <c r="B21" s="466"/>
      <c r="C21" s="500"/>
      <c r="D21" s="466"/>
      <c r="E21" s="609">
        <v>43831</v>
      </c>
      <c r="F21" s="466"/>
      <c r="G21" s="605">
        <v>43862</v>
      </c>
      <c r="H21" s="466"/>
      <c r="I21" s="609">
        <v>43891</v>
      </c>
      <c r="J21" s="466"/>
      <c r="K21" s="605">
        <v>43922</v>
      </c>
      <c r="L21" s="466"/>
      <c r="M21" s="609">
        <v>43952</v>
      </c>
      <c r="N21" s="466"/>
      <c r="O21" s="605">
        <v>43983</v>
      </c>
      <c r="P21" s="466"/>
      <c r="Q21" s="609">
        <v>44013</v>
      </c>
      <c r="R21" s="466"/>
      <c r="S21" s="605">
        <v>44044</v>
      </c>
      <c r="T21" s="466"/>
      <c r="U21" s="609">
        <v>44075</v>
      </c>
      <c r="V21" s="466"/>
      <c r="W21" s="605">
        <v>44105</v>
      </c>
      <c r="X21" s="466"/>
      <c r="Y21" s="606">
        <v>44136</v>
      </c>
      <c r="Z21" s="466"/>
      <c r="AA21" s="605">
        <v>44166</v>
      </c>
      <c r="AB21" s="608" t="s">
        <v>112</v>
      </c>
      <c r="AC21" s="339"/>
    </row>
    <row r="22" spans="1:29" s="335" customFormat="1">
      <c r="A22" s="610"/>
      <c r="B22" s="466"/>
      <c r="C22" s="500"/>
      <c r="D22" s="466"/>
      <c r="E22" s="609"/>
      <c r="F22" s="466"/>
      <c r="G22" s="605"/>
      <c r="H22" s="466"/>
      <c r="I22" s="609"/>
      <c r="J22" s="466"/>
      <c r="K22" s="605"/>
      <c r="L22" s="466"/>
      <c r="M22" s="609"/>
      <c r="N22" s="466"/>
      <c r="O22" s="605"/>
      <c r="P22" s="466"/>
      <c r="Q22" s="609"/>
      <c r="R22" s="466"/>
      <c r="S22" s="605"/>
      <c r="T22" s="466"/>
      <c r="U22" s="609"/>
      <c r="V22" s="466"/>
      <c r="W22" s="605"/>
      <c r="X22" s="466"/>
      <c r="Y22" s="607"/>
      <c r="Z22" s="466"/>
      <c r="AA22" s="605"/>
      <c r="AB22" s="608"/>
      <c r="AC22" s="339"/>
    </row>
    <row r="23" spans="1:29" s="335" customFormat="1">
      <c r="A23" s="374" t="s">
        <v>258</v>
      </c>
      <c r="B23" s="363"/>
      <c r="C23" s="361"/>
      <c r="D23" s="361"/>
      <c r="E23" s="546">
        <v>600000</v>
      </c>
      <c r="F23" s="361"/>
      <c r="G23" s="546">
        <v>600000</v>
      </c>
      <c r="H23" s="361"/>
      <c r="I23" s="546">
        <v>600000</v>
      </c>
      <c r="J23" s="361"/>
      <c r="K23" s="546">
        <v>600000</v>
      </c>
      <c r="L23" s="361"/>
      <c r="M23" s="546">
        <v>600000</v>
      </c>
      <c r="N23" s="361"/>
      <c r="O23" s="546">
        <v>600000</v>
      </c>
      <c r="P23" s="545"/>
      <c r="Q23" s="546">
        <v>1000000</v>
      </c>
      <c r="R23" s="545"/>
      <c r="S23" s="546">
        <v>1000000</v>
      </c>
      <c r="T23" s="545"/>
      <c r="U23" s="546">
        <v>1000000</v>
      </c>
      <c r="V23" s="545"/>
      <c r="W23" s="546">
        <v>1000000</v>
      </c>
      <c r="X23" s="545"/>
      <c r="Y23" s="546">
        <v>1000000</v>
      </c>
      <c r="Z23" s="545"/>
      <c r="AA23" s="546">
        <v>1000000</v>
      </c>
      <c r="AB23" s="545"/>
    </row>
    <row r="24" spans="1:29" s="335" customFormat="1">
      <c r="A24" s="374" t="s">
        <v>259</v>
      </c>
      <c r="B24" s="363"/>
      <c r="C24" s="361"/>
      <c r="D24" s="361"/>
      <c r="E24" s="547">
        <v>8000000</v>
      </c>
      <c r="F24" s="361"/>
      <c r="G24" s="547">
        <v>8000000</v>
      </c>
      <c r="H24" s="361"/>
      <c r="I24" s="547">
        <v>8000000</v>
      </c>
      <c r="J24" s="361"/>
      <c r="K24" s="547">
        <v>8000000</v>
      </c>
      <c r="L24" s="361"/>
      <c r="M24" s="547">
        <v>8000000</v>
      </c>
      <c r="N24" s="361"/>
      <c r="O24" s="547">
        <v>8000000</v>
      </c>
      <c r="P24" s="545"/>
      <c r="Q24" s="547">
        <v>16000000</v>
      </c>
      <c r="R24" s="545"/>
      <c r="S24" s="547">
        <v>16000000</v>
      </c>
      <c r="T24" s="545"/>
      <c r="U24" s="547">
        <v>16000000</v>
      </c>
      <c r="V24" s="545"/>
      <c r="W24" s="547">
        <v>16000000</v>
      </c>
      <c r="X24" s="545"/>
      <c r="Y24" s="547">
        <v>16000000</v>
      </c>
      <c r="Z24" s="545"/>
      <c r="AA24" s="547">
        <v>16000000</v>
      </c>
      <c r="AB24" s="545"/>
    </row>
    <row r="25" spans="1:29" s="335" customFormat="1">
      <c r="A25" s="359" t="s">
        <v>260</v>
      </c>
      <c r="B25" s="360"/>
      <c r="C25" s="360"/>
      <c r="D25" s="360"/>
      <c r="E25" s="548">
        <v>1000000</v>
      </c>
      <c r="F25" s="360"/>
      <c r="G25" s="548">
        <v>1000000</v>
      </c>
      <c r="H25" s="360"/>
      <c r="I25" s="548">
        <v>1000000</v>
      </c>
      <c r="J25" s="360"/>
      <c r="K25" s="548">
        <v>1000000</v>
      </c>
      <c r="L25" s="360"/>
      <c r="M25" s="548">
        <v>1000000</v>
      </c>
      <c r="N25" s="360"/>
      <c r="O25" s="548">
        <v>1000000</v>
      </c>
      <c r="P25" s="545"/>
      <c r="Q25" s="548">
        <v>3000000</v>
      </c>
      <c r="R25" s="545"/>
      <c r="S25" s="548">
        <v>3000000</v>
      </c>
      <c r="T25" s="545"/>
      <c r="U25" s="548">
        <v>3000000</v>
      </c>
      <c r="V25" s="545"/>
      <c r="W25" s="548">
        <v>3000000</v>
      </c>
      <c r="X25" s="545"/>
      <c r="Y25" s="548">
        <v>3000000</v>
      </c>
      <c r="Z25" s="545"/>
      <c r="AA25" s="548">
        <v>3000000</v>
      </c>
      <c r="AB25" s="545"/>
    </row>
    <row r="26" spans="1:29" s="335" customFormat="1">
      <c r="A26" s="359" t="s">
        <v>261</v>
      </c>
      <c r="B26" s="360"/>
      <c r="C26" s="360"/>
      <c r="D26" s="360"/>
      <c r="E26" s="549">
        <v>6000000</v>
      </c>
      <c r="F26" s="360"/>
      <c r="G26" s="549">
        <v>6000000</v>
      </c>
      <c r="H26" s="360"/>
      <c r="I26" s="549">
        <v>6000000</v>
      </c>
      <c r="J26" s="360"/>
      <c r="K26" s="549">
        <v>6000000</v>
      </c>
      <c r="L26" s="360"/>
      <c r="M26" s="549">
        <v>6000000</v>
      </c>
      <c r="N26" s="360"/>
      <c r="O26" s="549">
        <v>6000000</v>
      </c>
      <c r="P26" s="545"/>
      <c r="Q26" s="549">
        <v>12000000</v>
      </c>
      <c r="R26" s="545"/>
      <c r="S26" s="549">
        <v>12000000</v>
      </c>
      <c r="T26" s="545"/>
      <c r="U26" s="549">
        <v>12000000</v>
      </c>
      <c r="V26" s="545"/>
      <c r="W26" s="549">
        <v>12000000</v>
      </c>
      <c r="X26" s="545"/>
      <c r="Y26" s="549">
        <v>12000000</v>
      </c>
      <c r="Z26" s="545"/>
      <c r="AA26" s="549">
        <v>12000000</v>
      </c>
      <c r="AB26" s="545"/>
    </row>
    <row r="27" spans="1:29" s="335" customFormat="1">
      <c r="A27" s="379"/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545"/>
      <c r="Q27" s="378"/>
      <c r="R27" s="545"/>
      <c r="S27" s="378"/>
      <c r="T27" s="545"/>
      <c r="U27" s="378"/>
      <c r="V27" s="545"/>
      <c r="W27" s="378"/>
      <c r="X27" s="545"/>
      <c r="Y27" s="378"/>
      <c r="Z27" s="545"/>
      <c r="AA27" s="378"/>
      <c r="AB27" s="545"/>
    </row>
    <row r="28" spans="1:29" s="335" customFormat="1">
      <c r="A28" s="566" t="s">
        <v>263</v>
      </c>
      <c r="B28" s="567"/>
      <c r="C28" s="568"/>
      <c r="D28" s="568"/>
      <c r="E28" s="569"/>
      <c r="F28" s="568"/>
      <c r="G28" s="569"/>
      <c r="H28" s="568"/>
      <c r="I28" s="569">
        <v>3500000</v>
      </c>
      <c r="J28" s="568"/>
      <c r="K28" s="569"/>
      <c r="L28" s="568"/>
      <c r="M28" s="569"/>
      <c r="N28" s="568"/>
      <c r="O28" s="569"/>
      <c r="P28" s="570"/>
      <c r="Q28" s="569"/>
      <c r="R28" s="570"/>
      <c r="S28" s="570"/>
      <c r="T28" s="570"/>
      <c r="U28" s="571"/>
      <c r="V28" s="570"/>
      <c r="W28" s="571"/>
      <c r="X28" s="570"/>
      <c r="Y28" s="571"/>
      <c r="Z28" s="570"/>
      <c r="AA28" s="571"/>
      <c r="AB28" s="570"/>
    </row>
    <row r="29" spans="1:29" s="335" customFormat="1">
      <c r="A29" s="573" t="s">
        <v>264</v>
      </c>
      <c r="B29" s="574"/>
      <c r="C29" s="488"/>
      <c r="D29" s="488"/>
      <c r="E29" s="575"/>
      <c r="F29" s="488"/>
      <c r="G29" s="575">
        <v>1000000</v>
      </c>
      <c r="H29" s="488"/>
      <c r="I29" s="575"/>
      <c r="J29" s="488"/>
      <c r="K29" s="575"/>
      <c r="L29" s="488"/>
      <c r="M29" s="575"/>
      <c r="N29" s="488"/>
      <c r="O29" s="575"/>
      <c r="P29" s="576"/>
      <c r="Q29" s="575"/>
      <c r="R29" s="576"/>
      <c r="S29" s="577">
        <v>1000000</v>
      </c>
      <c r="T29" s="576"/>
      <c r="U29" s="578"/>
      <c r="V29" s="576"/>
      <c r="W29" s="579">
        <v>1000000</v>
      </c>
      <c r="X29" s="576"/>
      <c r="Y29" s="578"/>
      <c r="Z29" s="576"/>
      <c r="AA29" s="578"/>
      <c r="AB29" s="576"/>
    </row>
    <row r="30" spans="1:29" s="599" customFormat="1">
      <c r="A30" s="594" t="s">
        <v>262</v>
      </c>
      <c r="B30" s="595"/>
      <c r="C30" s="595"/>
      <c r="D30" s="595"/>
      <c r="E30" s="596"/>
      <c r="F30" s="595"/>
      <c r="G30" s="596"/>
      <c r="H30" s="595"/>
      <c r="I30" s="596"/>
      <c r="J30" s="595"/>
      <c r="K30" s="596">
        <v>1500000</v>
      </c>
      <c r="L30" s="595"/>
      <c r="M30" s="596"/>
      <c r="N30" s="595"/>
      <c r="O30" s="596"/>
      <c r="P30" s="597"/>
      <c r="Q30" s="596"/>
      <c r="R30" s="597"/>
      <c r="S30" s="597"/>
      <c r="T30" s="597"/>
      <c r="U30" s="598">
        <v>1500000</v>
      </c>
      <c r="V30" s="597"/>
      <c r="W30" s="598"/>
      <c r="X30" s="597"/>
      <c r="Y30" s="600"/>
      <c r="Z30" s="597"/>
      <c r="AA30" s="600">
        <v>5000000</v>
      </c>
      <c r="AB30" s="601">
        <f>SUM(E30:AA30)</f>
        <v>8000000</v>
      </c>
    </row>
    <row r="31" spans="1:29" s="335" customFormat="1">
      <c r="A31" s="580" t="s">
        <v>266</v>
      </c>
      <c r="B31" s="581"/>
      <c r="C31" s="581"/>
      <c r="D31" s="581"/>
      <c r="E31" s="582"/>
      <c r="F31" s="581"/>
      <c r="G31" s="582">
        <v>125000</v>
      </c>
      <c r="H31" s="581"/>
      <c r="I31" s="582">
        <v>125000</v>
      </c>
      <c r="J31" s="581"/>
      <c r="K31" s="582">
        <v>125000</v>
      </c>
      <c r="L31" s="581"/>
      <c r="M31" s="582">
        <v>125000</v>
      </c>
      <c r="N31" s="581"/>
      <c r="O31" s="582">
        <v>125000</v>
      </c>
      <c r="P31" s="581"/>
      <c r="Q31" s="582">
        <v>125000</v>
      </c>
      <c r="R31" s="583"/>
      <c r="S31" s="581">
        <v>125000</v>
      </c>
      <c r="T31" s="581"/>
      <c r="U31" s="582">
        <v>125000</v>
      </c>
      <c r="V31" s="581"/>
      <c r="W31" s="582">
        <v>125000</v>
      </c>
      <c r="X31" s="583"/>
      <c r="Y31" s="582">
        <v>125000</v>
      </c>
      <c r="Z31" s="581"/>
      <c r="AA31" s="582">
        <v>125000</v>
      </c>
      <c r="AB31" s="581">
        <f>SUM(AA31,Y31,W31,U31,S31,Q31,O31,M31,K31,I31,G31,E31)</f>
        <v>1375000</v>
      </c>
      <c r="AC31" s="551"/>
    </row>
    <row r="32" spans="1:29" s="335" customFormat="1">
      <c r="A32" s="586" t="s">
        <v>267</v>
      </c>
      <c r="B32" s="587"/>
      <c r="C32" s="588"/>
      <c r="D32" s="588"/>
      <c r="E32" s="589"/>
      <c r="F32" s="588"/>
      <c r="G32" s="589">
        <v>125000</v>
      </c>
      <c r="H32" s="588"/>
      <c r="I32" s="589">
        <v>125000</v>
      </c>
      <c r="J32" s="588"/>
      <c r="K32" s="589">
        <v>125000</v>
      </c>
      <c r="L32" s="588"/>
      <c r="M32" s="589">
        <v>125000</v>
      </c>
      <c r="N32" s="588"/>
      <c r="O32" s="589">
        <v>125000</v>
      </c>
      <c r="P32" s="588"/>
      <c r="Q32" s="589">
        <v>125000</v>
      </c>
      <c r="R32" s="590"/>
      <c r="S32" s="591">
        <v>125000</v>
      </c>
      <c r="T32" s="588"/>
      <c r="U32" s="589">
        <v>125000</v>
      </c>
      <c r="V32" s="588"/>
      <c r="W32" s="589">
        <v>125000</v>
      </c>
      <c r="X32" s="590"/>
      <c r="Y32" s="589">
        <v>125000</v>
      </c>
      <c r="Z32" s="588"/>
      <c r="AA32" s="589">
        <v>125000</v>
      </c>
      <c r="AB32" s="588">
        <f>SUM(AA32,Y32,W32,U32,S32,Q32,O32,M32,K32,I32,G32,E32)</f>
        <v>1375000</v>
      </c>
      <c r="AC32" s="551"/>
    </row>
    <row r="33" spans="1:29" s="335" customFormat="1">
      <c r="A33" s="374" t="s">
        <v>268</v>
      </c>
      <c r="B33" s="363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544"/>
      <c r="P33" s="545"/>
      <c r="Q33" s="550">
        <v>1000000</v>
      </c>
      <c r="R33" s="545"/>
      <c r="S33" s="550">
        <v>1000000</v>
      </c>
      <c r="T33" s="545"/>
      <c r="U33" s="550">
        <v>1000000</v>
      </c>
      <c r="V33" s="545"/>
      <c r="W33" s="550">
        <v>1000000</v>
      </c>
      <c r="X33" s="545"/>
      <c r="Y33" s="550">
        <v>1000000</v>
      </c>
      <c r="Z33" s="545"/>
      <c r="AA33" s="550">
        <v>1000000</v>
      </c>
      <c r="AB33" s="545"/>
    </row>
    <row r="34" spans="1:29" s="335" customFormat="1">
      <c r="A34" s="359" t="s">
        <v>129</v>
      </c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544"/>
      <c r="P34" s="545"/>
      <c r="Q34" s="545"/>
      <c r="R34" s="545"/>
      <c r="S34" s="545"/>
      <c r="T34" s="545"/>
      <c r="U34" s="545"/>
      <c r="V34" s="545"/>
      <c r="W34" s="545"/>
      <c r="X34" s="545"/>
      <c r="Y34" s="545"/>
      <c r="Z34" s="545"/>
      <c r="AA34" s="545"/>
      <c r="AB34" s="545"/>
    </row>
    <row r="35" spans="1:29" s="335" customFormat="1">
      <c r="A35" s="359" t="s">
        <v>270</v>
      </c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544"/>
      <c r="P35" s="545"/>
      <c r="Q35" s="545"/>
      <c r="R35" s="545"/>
      <c r="S35" s="554"/>
      <c r="T35" s="545"/>
      <c r="U35" s="545"/>
      <c r="V35" s="545"/>
      <c r="W35" s="545"/>
      <c r="X35" s="545"/>
      <c r="Y35" s="545"/>
      <c r="Z35" s="545"/>
      <c r="AA35" s="545"/>
      <c r="AB35" s="545"/>
    </row>
    <row r="36" spans="1:29" s="543" customFormat="1">
      <c r="A36" s="555"/>
      <c r="B36" s="556"/>
      <c r="C36" s="556"/>
      <c r="D36" s="556"/>
      <c r="E36" s="556">
        <f>SUM(E23:E35)</f>
        <v>15600000</v>
      </c>
      <c r="F36" s="556"/>
      <c r="G36" s="556">
        <f>SUM(G23:G35)</f>
        <v>16850000</v>
      </c>
      <c r="H36" s="556"/>
      <c r="I36" s="556">
        <f>SUM(I23:I35)</f>
        <v>19350000</v>
      </c>
      <c r="J36" s="556"/>
      <c r="K36" s="556">
        <f>SUM(K23:K35)</f>
        <v>17350000</v>
      </c>
      <c r="L36" s="556"/>
      <c r="M36" s="556">
        <f>SUM(M23:M35)</f>
        <v>15850000</v>
      </c>
      <c r="N36" s="556"/>
      <c r="O36" s="559">
        <f>SUM(O23:O35)</f>
        <v>15850000</v>
      </c>
      <c r="P36" s="557"/>
      <c r="Q36" s="558">
        <f>SUM(Q23:Q35)</f>
        <v>33250000</v>
      </c>
      <c r="R36" s="557"/>
      <c r="S36" s="558">
        <f>SUM(S23:S35)</f>
        <v>34250000</v>
      </c>
      <c r="T36" s="557"/>
      <c r="U36" s="558">
        <f>SUM(U23:U35)</f>
        <v>34750000</v>
      </c>
      <c r="V36" s="557"/>
      <c r="W36" s="558">
        <f>SUM(W23:W35)</f>
        <v>34250000</v>
      </c>
      <c r="X36" s="557"/>
      <c r="Y36" s="558">
        <f>SUM(Y23:Y35)</f>
        <v>33250000</v>
      </c>
      <c r="Z36" s="557"/>
      <c r="AA36" s="558">
        <f>SUM(AA23:AA35)</f>
        <v>38250000</v>
      </c>
      <c r="AB36" s="558">
        <f>SUM(AA36,Y36,W36,U36,S36,Q36,O36,M36,K36,I36,G36,E36)</f>
        <v>308850000</v>
      </c>
    </row>
    <row r="37" spans="1:29" s="335" customFormat="1" ht="24.75" customHeight="1">
      <c r="A37" s="381" t="s">
        <v>271</v>
      </c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34"/>
    </row>
    <row r="38" spans="1:29" s="335" customFormat="1">
      <c r="A38" s="610" t="s">
        <v>115</v>
      </c>
      <c r="B38" s="466"/>
      <c r="C38" s="500"/>
      <c r="D38" s="466"/>
      <c r="E38" s="609">
        <v>43831</v>
      </c>
      <c r="F38" s="466"/>
      <c r="G38" s="605">
        <v>43862</v>
      </c>
      <c r="H38" s="466"/>
      <c r="I38" s="609">
        <v>43891</v>
      </c>
      <c r="J38" s="466"/>
      <c r="K38" s="605">
        <v>43922</v>
      </c>
      <c r="L38" s="466"/>
      <c r="M38" s="609">
        <v>43952</v>
      </c>
      <c r="N38" s="466"/>
      <c r="O38" s="605">
        <v>43983</v>
      </c>
      <c r="P38" s="466"/>
      <c r="Q38" s="609">
        <v>44013</v>
      </c>
      <c r="R38" s="466"/>
      <c r="S38" s="605">
        <v>44044</v>
      </c>
      <c r="T38" s="466"/>
      <c r="U38" s="609">
        <v>44075</v>
      </c>
      <c r="V38" s="466"/>
      <c r="W38" s="605">
        <v>44105</v>
      </c>
      <c r="X38" s="466"/>
      <c r="Y38" s="606">
        <v>44136</v>
      </c>
      <c r="Z38" s="466"/>
      <c r="AA38" s="605">
        <v>44166</v>
      </c>
      <c r="AB38" s="608" t="s">
        <v>112</v>
      </c>
      <c r="AC38" s="339"/>
    </row>
    <row r="39" spans="1:29" s="335" customFormat="1">
      <c r="A39" s="610"/>
      <c r="B39" s="466"/>
      <c r="C39" s="500"/>
      <c r="D39" s="466"/>
      <c r="E39" s="609"/>
      <c r="F39" s="466"/>
      <c r="G39" s="605"/>
      <c r="H39" s="466"/>
      <c r="I39" s="609"/>
      <c r="J39" s="466"/>
      <c r="K39" s="605"/>
      <c r="L39" s="466"/>
      <c r="M39" s="609"/>
      <c r="N39" s="466"/>
      <c r="O39" s="605"/>
      <c r="P39" s="466"/>
      <c r="Q39" s="609"/>
      <c r="R39" s="466"/>
      <c r="S39" s="605"/>
      <c r="T39" s="466"/>
      <c r="U39" s="609"/>
      <c r="V39" s="466"/>
      <c r="W39" s="605"/>
      <c r="X39" s="466"/>
      <c r="Y39" s="607"/>
      <c r="Z39" s="466"/>
      <c r="AA39" s="605"/>
      <c r="AB39" s="608"/>
      <c r="AC39" s="339"/>
    </row>
    <row r="40" spans="1:29" s="335" customFormat="1">
      <c r="A40" s="374" t="s">
        <v>258</v>
      </c>
      <c r="B40" s="363"/>
      <c r="C40" s="361"/>
      <c r="D40" s="361"/>
      <c r="E40" s="546">
        <v>1000000</v>
      </c>
      <c r="F40" s="361"/>
      <c r="G40" s="546">
        <v>1000000</v>
      </c>
      <c r="H40" s="361"/>
      <c r="I40" s="546">
        <v>1000000</v>
      </c>
      <c r="J40" s="361"/>
      <c r="K40" s="546">
        <v>1000000</v>
      </c>
      <c r="L40" s="361"/>
      <c r="M40" s="546">
        <v>1000000</v>
      </c>
      <c r="N40" s="361"/>
      <c r="O40" s="546">
        <v>1000000</v>
      </c>
      <c r="P40" s="545"/>
      <c r="Q40" s="546">
        <v>1000000</v>
      </c>
      <c r="R40" s="545"/>
      <c r="S40" s="546">
        <v>1000000</v>
      </c>
      <c r="T40" s="545"/>
      <c r="U40" s="546">
        <v>1000000</v>
      </c>
      <c r="V40" s="545"/>
      <c r="W40" s="546">
        <v>1000000</v>
      </c>
      <c r="X40" s="545"/>
      <c r="Y40" s="546">
        <v>1000000</v>
      </c>
      <c r="Z40" s="545"/>
      <c r="AA40" s="546">
        <v>1000000</v>
      </c>
      <c r="AB40" s="545"/>
    </row>
    <row r="41" spans="1:29" s="335" customFormat="1">
      <c r="A41" s="374" t="s">
        <v>259</v>
      </c>
      <c r="B41" s="363"/>
      <c r="C41" s="361"/>
      <c r="D41" s="361"/>
      <c r="E41" s="547">
        <v>30000000</v>
      </c>
      <c r="F41" s="361"/>
      <c r="G41" s="547">
        <v>30000000</v>
      </c>
      <c r="H41" s="361"/>
      <c r="I41" s="547">
        <v>30000000</v>
      </c>
      <c r="J41" s="361"/>
      <c r="K41" s="547">
        <v>30000000</v>
      </c>
      <c r="L41" s="361"/>
      <c r="M41" s="547">
        <v>30000000</v>
      </c>
      <c r="N41" s="361"/>
      <c r="O41" s="547">
        <v>30000000</v>
      </c>
      <c r="P41" s="545"/>
      <c r="Q41" s="547">
        <v>30000000</v>
      </c>
      <c r="R41" s="545"/>
      <c r="S41" s="547">
        <v>30000000</v>
      </c>
      <c r="T41" s="545"/>
      <c r="U41" s="547">
        <v>30000000</v>
      </c>
      <c r="V41" s="545"/>
      <c r="W41" s="547">
        <v>30000000</v>
      </c>
      <c r="X41" s="545"/>
      <c r="Y41" s="547">
        <v>30000000</v>
      </c>
      <c r="Z41" s="545"/>
      <c r="AA41" s="547">
        <v>30000000</v>
      </c>
      <c r="AB41" s="545"/>
    </row>
    <row r="42" spans="1:29" s="335" customFormat="1">
      <c r="A42" s="359" t="s">
        <v>260</v>
      </c>
      <c r="B42" s="360"/>
      <c r="C42" s="360"/>
      <c r="D42" s="360"/>
      <c r="E42" s="548">
        <v>3000000</v>
      </c>
      <c r="F42" s="360"/>
      <c r="G42" s="548">
        <v>3000000</v>
      </c>
      <c r="H42" s="360"/>
      <c r="I42" s="548">
        <v>3000000</v>
      </c>
      <c r="J42" s="360"/>
      <c r="K42" s="548">
        <v>3000000</v>
      </c>
      <c r="L42" s="360"/>
      <c r="M42" s="548">
        <v>3000000</v>
      </c>
      <c r="N42" s="360"/>
      <c r="O42" s="548">
        <v>3000000</v>
      </c>
      <c r="P42" s="545"/>
      <c r="Q42" s="548">
        <v>3000000</v>
      </c>
      <c r="R42" s="545"/>
      <c r="S42" s="548">
        <v>3000000</v>
      </c>
      <c r="T42" s="545"/>
      <c r="U42" s="548">
        <v>3000000</v>
      </c>
      <c r="V42" s="545"/>
      <c r="W42" s="548">
        <v>3000000</v>
      </c>
      <c r="X42" s="545"/>
      <c r="Y42" s="548">
        <v>3000000</v>
      </c>
      <c r="Z42" s="545"/>
      <c r="AA42" s="548">
        <v>3000000</v>
      </c>
      <c r="AB42" s="545"/>
    </row>
    <row r="43" spans="1:29" s="335" customFormat="1">
      <c r="A43" s="359" t="s">
        <v>261</v>
      </c>
      <c r="B43" s="360"/>
      <c r="C43" s="360"/>
      <c r="D43" s="360"/>
      <c r="E43" s="549">
        <v>24000000</v>
      </c>
      <c r="F43" s="360"/>
      <c r="G43" s="549">
        <v>24000000</v>
      </c>
      <c r="H43" s="360"/>
      <c r="I43" s="549">
        <v>24000000</v>
      </c>
      <c r="J43" s="360"/>
      <c r="K43" s="549">
        <v>24000000</v>
      </c>
      <c r="L43" s="360"/>
      <c r="M43" s="549">
        <v>24000000</v>
      </c>
      <c r="N43" s="360"/>
      <c r="O43" s="549">
        <v>24000000</v>
      </c>
      <c r="P43" s="545"/>
      <c r="Q43" s="549">
        <v>24000000</v>
      </c>
      <c r="R43" s="545"/>
      <c r="S43" s="549">
        <v>24000000</v>
      </c>
      <c r="T43" s="545"/>
      <c r="U43" s="549">
        <v>24000000</v>
      </c>
      <c r="V43" s="545"/>
      <c r="W43" s="549">
        <v>24000000</v>
      </c>
      <c r="X43" s="545"/>
      <c r="Y43" s="549">
        <v>24000000</v>
      </c>
      <c r="Z43" s="545"/>
      <c r="AA43" s="549">
        <v>24000000</v>
      </c>
      <c r="AB43" s="545"/>
    </row>
    <row r="44" spans="1:29" s="335" customFormat="1">
      <c r="A44" s="379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8"/>
      <c r="P44" s="545"/>
      <c r="Q44" s="378"/>
      <c r="R44" s="545"/>
      <c r="S44" s="378"/>
      <c r="T44" s="545"/>
      <c r="U44" s="378"/>
      <c r="V44" s="545"/>
      <c r="W44" s="378"/>
      <c r="X44" s="545"/>
      <c r="Y44" s="378"/>
      <c r="Z44" s="545"/>
      <c r="AA44" s="378"/>
      <c r="AB44" s="545"/>
    </row>
    <row r="45" spans="1:29" s="335" customFormat="1">
      <c r="A45" s="566" t="s">
        <v>263</v>
      </c>
      <c r="B45" s="567"/>
      <c r="C45" s="568"/>
      <c r="D45" s="568"/>
      <c r="E45" s="569"/>
      <c r="F45" s="568"/>
      <c r="G45" s="569"/>
      <c r="H45" s="568"/>
      <c r="I45" s="569">
        <v>2500000</v>
      </c>
      <c r="J45" s="568"/>
      <c r="K45" s="569"/>
      <c r="L45" s="568"/>
      <c r="M45" s="569"/>
      <c r="N45" s="568"/>
      <c r="O45" s="569"/>
      <c r="P45" s="570"/>
      <c r="Q45" s="569"/>
      <c r="R45" s="570"/>
      <c r="S45" s="570"/>
      <c r="T45" s="570"/>
      <c r="U45" s="571"/>
      <c r="V45" s="570"/>
      <c r="W45" s="571"/>
      <c r="X45" s="570"/>
      <c r="Y45" s="571"/>
      <c r="Z45" s="570"/>
      <c r="AA45" s="571"/>
      <c r="AB45" s="570"/>
    </row>
    <row r="46" spans="1:29" s="335" customFormat="1">
      <c r="A46" s="573" t="s">
        <v>264</v>
      </c>
      <c r="B46" s="574"/>
      <c r="C46" s="488"/>
      <c r="D46" s="488"/>
      <c r="E46" s="575"/>
      <c r="F46" s="488"/>
      <c r="G46" s="575">
        <v>500000</v>
      </c>
      <c r="H46" s="488"/>
      <c r="I46" s="575"/>
      <c r="J46" s="488"/>
      <c r="K46" s="575"/>
      <c r="L46" s="488"/>
      <c r="M46" s="575"/>
      <c r="N46" s="488"/>
      <c r="O46" s="575"/>
      <c r="P46" s="576"/>
      <c r="Q46" s="575"/>
      <c r="R46" s="576"/>
      <c r="S46" s="577">
        <v>500000</v>
      </c>
      <c r="T46" s="576"/>
      <c r="U46" s="578"/>
      <c r="V46" s="576"/>
      <c r="W46" s="579">
        <v>500000</v>
      </c>
      <c r="X46" s="576"/>
      <c r="Y46" s="578"/>
      <c r="Z46" s="576"/>
      <c r="AA46" s="578"/>
      <c r="AB46" s="576"/>
    </row>
    <row r="47" spans="1:29" s="599" customFormat="1">
      <c r="A47" s="594" t="s">
        <v>262</v>
      </c>
      <c r="B47" s="595"/>
      <c r="C47" s="595"/>
      <c r="D47" s="595"/>
      <c r="E47" s="596"/>
      <c r="F47" s="595"/>
      <c r="G47" s="596"/>
      <c r="H47" s="595"/>
      <c r="I47" s="596"/>
      <c r="J47" s="595"/>
      <c r="K47" s="596">
        <v>1500000</v>
      </c>
      <c r="L47" s="595"/>
      <c r="M47" s="596"/>
      <c r="N47" s="595"/>
      <c r="O47" s="596"/>
      <c r="P47" s="597"/>
      <c r="Q47" s="596"/>
      <c r="R47" s="597"/>
      <c r="S47" s="597"/>
      <c r="T47" s="597"/>
      <c r="U47" s="598">
        <v>1500000</v>
      </c>
      <c r="V47" s="597"/>
      <c r="W47" s="598"/>
      <c r="X47" s="597"/>
      <c r="Y47" s="600"/>
      <c r="Z47" s="597"/>
      <c r="AA47" s="600">
        <v>10000000</v>
      </c>
      <c r="AB47" s="601">
        <f>SUM(E47:AA47)</f>
        <v>13000000</v>
      </c>
    </row>
    <row r="48" spans="1:29" s="335" customFormat="1">
      <c r="A48" s="580" t="s">
        <v>266</v>
      </c>
      <c r="B48" s="581"/>
      <c r="C48" s="581"/>
      <c r="D48" s="581"/>
      <c r="E48" s="582"/>
      <c r="F48" s="581"/>
      <c r="G48" s="582">
        <v>125000</v>
      </c>
      <c r="H48" s="581"/>
      <c r="I48" s="582">
        <v>125000</v>
      </c>
      <c r="J48" s="581"/>
      <c r="K48" s="582">
        <v>125000</v>
      </c>
      <c r="L48" s="581"/>
      <c r="M48" s="582">
        <v>125000</v>
      </c>
      <c r="N48" s="581"/>
      <c r="O48" s="582">
        <v>125000</v>
      </c>
      <c r="P48" s="581"/>
      <c r="Q48" s="582">
        <v>125000</v>
      </c>
      <c r="R48" s="583"/>
      <c r="S48" s="581">
        <v>125000</v>
      </c>
      <c r="T48" s="581"/>
      <c r="U48" s="582">
        <v>125000</v>
      </c>
      <c r="V48" s="581"/>
      <c r="W48" s="582">
        <v>125000</v>
      </c>
      <c r="X48" s="583"/>
      <c r="Y48" s="582">
        <v>125000</v>
      </c>
      <c r="Z48" s="581"/>
      <c r="AA48" s="582">
        <v>125000</v>
      </c>
      <c r="AB48" s="581">
        <f>SUM(AA48,Y48,W48,U48,S48,Q48,O48,M48,K48,I48,G48,E48)</f>
        <v>1375000</v>
      </c>
      <c r="AC48" s="551"/>
    </row>
    <row r="49" spans="1:29" s="335" customFormat="1">
      <c r="A49" s="586" t="s">
        <v>267</v>
      </c>
      <c r="B49" s="587"/>
      <c r="C49" s="588"/>
      <c r="D49" s="588"/>
      <c r="E49" s="589"/>
      <c r="F49" s="588"/>
      <c r="G49" s="589">
        <v>125000</v>
      </c>
      <c r="H49" s="588"/>
      <c r="I49" s="589">
        <v>125000</v>
      </c>
      <c r="J49" s="588"/>
      <c r="K49" s="589">
        <v>125000</v>
      </c>
      <c r="L49" s="588"/>
      <c r="M49" s="589">
        <v>125000</v>
      </c>
      <c r="N49" s="588"/>
      <c r="O49" s="589">
        <v>125000</v>
      </c>
      <c r="P49" s="588"/>
      <c r="Q49" s="589">
        <v>125000</v>
      </c>
      <c r="R49" s="590"/>
      <c r="S49" s="591">
        <v>125000</v>
      </c>
      <c r="T49" s="588"/>
      <c r="U49" s="589">
        <v>125000</v>
      </c>
      <c r="V49" s="588"/>
      <c r="W49" s="589">
        <v>125000</v>
      </c>
      <c r="X49" s="590"/>
      <c r="Y49" s="589">
        <v>125000</v>
      </c>
      <c r="Z49" s="588"/>
      <c r="AA49" s="589">
        <v>125000</v>
      </c>
      <c r="AB49" s="588">
        <f>SUM(AA49,Y49,W49,U49,S49,Q49,O49,M49,K49,I49,G49,E49)</f>
        <v>1375000</v>
      </c>
      <c r="AC49" s="551"/>
    </row>
    <row r="50" spans="1:29" s="335" customFormat="1">
      <c r="A50" s="374" t="s">
        <v>268</v>
      </c>
      <c r="B50" s="363"/>
      <c r="C50" s="361"/>
      <c r="D50" s="361"/>
      <c r="E50" s="361">
        <v>2000000</v>
      </c>
      <c r="F50" s="361"/>
      <c r="G50" s="361">
        <v>2000000</v>
      </c>
      <c r="H50" s="361"/>
      <c r="I50" s="361">
        <v>2000000</v>
      </c>
      <c r="J50" s="361"/>
      <c r="K50" s="361">
        <v>2000000</v>
      </c>
      <c r="L50" s="361"/>
      <c r="M50" s="361">
        <v>2000000</v>
      </c>
      <c r="N50" s="361"/>
      <c r="O50" s="361">
        <v>2000000</v>
      </c>
      <c r="P50" s="545"/>
      <c r="Q50" s="361">
        <v>2000000</v>
      </c>
      <c r="R50" s="545"/>
      <c r="S50" s="361">
        <v>2000000</v>
      </c>
      <c r="T50" s="545"/>
      <c r="U50" s="361">
        <v>2000000</v>
      </c>
      <c r="V50" s="545"/>
      <c r="W50" s="361">
        <v>2000000</v>
      </c>
      <c r="X50" s="545"/>
      <c r="Y50" s="361">
        <v>2000000</v>
      </c>
      <c r="Z50" s="545"/>
      <c r="AA50" s="361">
        <v>2000000</v>
      </c>
      <c r="AB50" s="545"/>
    </row>
    <row r="51" spans="1:29" s="335" customFormat="1">
      <c r="A51" s="359" t="s">
        <v>269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544"/>
      <c r="P51" s="545"/>
      <c r="Q51" s="545"/>
      <c r="R51" s="545"/>
      <c r="S51" s="545"/>
      <c r="T51" s="545"/>
      <c r="U51" s="545"/>
      <c r="V51" s="545"/>
      <c r="W51" s="545"/>
      <c r="X51" s="545"/>
      <c r="Y51" s="545"/>
      <c r="Z51" s="545"/>
      <c r="AA51" s="545"/>
      <c r="AB51" s="545"/>
    </row>
    <row r="52" spans="1:29" s="335" customFormat="1">
      <c r="A52" s="359" t="s">
        <v>270</v>
      </c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544"/>
      <c r="P52" s="545"/>
      <c r="Q52" s="545"/>
      <c r="R52" s="545"/>
      <c r="S52" s="554"/>
      <c r="T52" s="545"/>
      <c r="U52" s="545"/>
      <c r="V52" s="545"/>
      <c r="W52" s="545"/>
      <c r="X52" s="545"/>
      <c r="Y52" s="545"/>
      <c r="Z52" s="545"/>
      <c r="AA52" s="545"/>
      <c r="AB52" s="545"/>
    </row>
    <row r="53" spans="1:29" s="543" customFormat="1">
      <c r="A53" s="555"/>
      <c r="B53" s="556"/>
      <c r="C53" s="556"/>
      <c r="D53" s="556"/>
      <c r="E53" s="556">
        <f>SUM(E40:E52)</f>
        <v>60000000</v>
      </c>
      <c r="F53" s="556"/>
      <c r="G53" s="556">
        <f>SUM(G40:G52)</f>
        <v>60750000</v>
      </c>
      <c r="H53" s="556"/>
      <c r="I53" s="556">
        <f>SUM(I40:I52)</f>
        <v>62750000</v>
      </c>
      <c r="J53" s="556"/>
      <c r="K53" s="556">
        <f>SUM(K40:K52)</f>
        <v>61750000</v>
      </c>
      <c r="L53" s="556"/>
      <c r="M53" s="556">
        <f>SUM(M40:M52)</f>
        <v>60250000</v>
      </c>
      <c r="N53" s="556"/>
      <c r="O53" s="559">
        <f>SUM(O40:O52)</f>
        <v>60250000</v>
      </c>
      <c r="P53" s="557"/>
      <c r="Q53" s="558">
        <f>SUM(Q40:Q52)</f>
        <v>60250000</v>
      </c>
      <c r="R53" s="557"/>
      <c r="S53" s="558">
        <f>SUM(S40:S52)</f>
        <v>60750000</v>
      </c>
      <c r="T53" s="557"/>
      <c r="U53" s="558">
        <f>SUM(U40:U52)</f>
        <v>61750000</v>
      </c>
      <c r="V53" s="557"/>
      <c r="W53" s="558">
        <f>SUM(W40:W52)</f>
        <v>60750000</v>
      </c>
      <c r="X53" s="557"/>
      <c r="Y53" s="558">
        <f>SUM(Y40:Y52)</f>
        <v>60250000</v>
      </c>
      <c r="Z53" s="557"/>
      <c r="AA53" s="558">
        <f>SUM(AA40:AA52)</f>
        <v>70250000</v>
      </c>
      <c r="AB53" s="558">
        <f>SUM(AA53,Y53,W53,U53,S53,Q53,O53,M53,K53,I53,G53,E53)</f>
        <v>739750000</v>
      </c>
    </row>
    <row r="54" spans="1:29" s="335" customFormat="1">
      <c r="A54" s="433"/>
      <c r="B54" s="561"/>
      <c r="C54" s="561"/>
      <c r="D54" s="561"/>
      <c r="E54" s="561"/>
      <c r="F54" s="561"/>
      <c r="G54" s="561"/>
      <c r="H54" s="561"/>
      <c r="I54" s="561"/>
      <c r="J54" s="561"/>
      <c r="K54" s="561"/>
      <c r="L54" s="561"/>
      <c r="M54" s="561"/>
      <c r="N54" s="561"/>
      <c r="O54" s="562"/>
      <c r="Q54" s="563"/>
      <c r="S54" s="563"/>
      <c r="U54" s="563"/>
      <c r="W54" s="563"/>
      <c r="Y54" s="563"/>
      <c r="AA54" s="563"/>
      <c r="AB54" s="563"/>
    </row>
    <row r="55" spans="1:29">
      <c r="A55" s="373"/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</row>
    <row r="56" spans="1:29">
      <c r="A56" s="364" t="s">
        <v>168</v>
      </c>
      <c r="B56" s="375" t="e">
        <f>SUM(#REF!)</f>
        <v>#REF!</v>
      </c>
      <c r="C56" s="375" t="e">
        <f>SUM(#REF!)</f>
        <v>#REF!</v>
      </c>
      <c r="D56" s="375" t="e">
        <f>SUM(#REF!)</f>
        <v>#REF!</v>
      </c>
      <c r="E56" s="375" t="e">
        <f>SUM(#REF!)</f>
        <v>#REF!</v>
      </c>
      <c r="F56" s="375" t="e">
        <f>SUM(#REF!)</f>
        <v>#REF!</v>
      </c>
      <c r="G56" s="375" t="e">
        <f>SUM(#REF!)</f>
        <v>#REF!</v>
      </c>
      <c r="H56" s="375" t="e">
        <f>SUM(#REF!)</f>
        <v>#REF!</v>
      </c>
      <c r="I56" s="375" t="e">
        <f>SUM(#REF!)</f>
        <v>#REF!</v>
      </c>
      <c r="J56" s="375" t="e">
        <f>SUM(#REF!)</f>
        <v>#REF!</v>
      </c>
      <c r="K56" s="375" t="e">
        <f>SUM(#REF!)</f>
        <v>#REF!</v>
      </c>
      <c r="L56" s="375" t="e">
        <f>SUM(#REF!)</f>
        <v>#REF!</v>
      </c>
      <c r="M56" s="375" t="e">
        <f>SUM(#REF!)</f>
        <v>#REF!</v>
      </c>
    </row>
    <row r="57" spans="1:29">
      <c r="A57" s="364" t="s">
        <v>169</v>
      </c>
      <c r="B57" s="375" t="e">
        <f>SUM(#REF!)</f>
        <v>#REF!</v>
      </c>
      <c r="C57" s="375" t="e">
        <f>SUM(#REF!)</f>
        <v>#REF!</v>
      </c>
      <c r="D57" s="375" t="e">
        <f>SUM(#REF!)</f>
        <v>#REF!</v>
      </c>
      <c r="E57" s="375" t="e">
        <f>SUM(#REF!)</f>
        <v>#REF!</v>
      </c>
      <c r="F57" s="375" t="e">
        <f>SUM(#REF!)</f>
        <v>#REF!</v>
      </c>
      <c r="G57" s="375" t="e">
        <f>SUM(#REF!)</f>
        <v>#REF!</v>
      </c>
      <c r="H57" s="375" t="e">
        <f>SUM(#REF!)</f>
        <v>#REF!</v>
      </c>
      <c r="I57" s="375" t="e">
        <f>SUM(#REF!)</f>
        <v>#REF!</v>
      </c>
      <c r="J57" s="375" t="e">
        <f>SUM(#REF!)</f>
        <v>#REF!</v>
      </c>
      <c r="K57" s="375" t="e">
        <f>SUM(#REF!)</f>
        <v>#REF!</v>
      </c>
      <c r="L57" s="375" t="e">
        <f>SUM(#REF!)</f>
        <v>#REF!</v>
      </c>
      <c r="M57" s="375" t="e">
        <f>SUM(#REF!)</f>
        <v>#REF!</v>
      </c>
    </row>
    <row r="58" spans="1:29">
      <c r="A58" s="364" t="s">
        <v>170</v>
      </c>
      <c r="B58" s="375" t="e">
        <f>SUM(#REF!)</f>
        <v>#REF!</v>
      </c>
      <c r="C58" s="375" t="e">
        <f>SUM(#REF!)</f>
        <v>#REF!</v>
      </c>
      <c r="D58" s="375" t="e">
        <f>SUM(#REF!)</f>
        <v>#REF!</v>
      </c>
      <c r="E58" s="375" t="e">
        <f>SUM(#REF!)</f>
        <v>#REF!</v>
      </c>
      <c r="F58" s="375" t="e">
        <f>SUM(#REF!)</f>
        <v>#REF!</v>
      </c>
      <c r="G58" s="375" t="e">
        <f>SUM(#REF!)</f>
        <v>#REF!</v>
      </c>
      <c r="H58" s="375" t="e">
        <f>SUM(#REF!)</f>
        <v>#REF!</v>
      </c>
      <c r="I58" s="375" t="e">
        <f>SUM(#REF!)</f>
        <v>#REF!</v>
      </c>
      <c r="J58" s="375" t="e">
        <f>SUM(#REF!)</f>
        <v>#REF!</v>
      </c>
      <c r="K58" s="375" t="e">
        <f>SUM(#REF!)</f>
        <v>#REF!</v>
      </c>
      <c r="L58" s="375" t="e">
        <f>SUM(#REF!)</f>
        <v>#REF!</v>
      </c>
      <c r="M58" s="375" t="e">
        <f>SUM(#REF!)</f>
        <v>#REF!</v>
      </c>
    </row>
    <row r="63" spans="1:29">
      <c r="C63" s="374" t="s">
        <v>258</v>
      </c>
    </row>
    <row r="64" spans="1:29">
      <c r="C64" s="374" t="s">
        <v>259</v>
      </c>
    </row>
    <row r="65" spans="3:3">
      <c r="C65" s="359" t="s">
        <v>260</v>
      </c>
    </row>
    <row r="66" spans="3:3">
      <c r="C66" s="359" t="s">
        <v>261</v>
      </c>
    </row>
    <row r="67" spans="3:3">
      <c r="C67" s="379"/>
    </row>
    <row r="68" spans="3:3">
      <c r="C68" s="374" t="s">
        <v>263</v>
      </c>
    </row>
    <row r="69" spans="3:3">
      <c r="C69" s="374" t="s">
        <v>264</v>
      </c>
    </row>
    <row r="70" spans="3:3">
      <c r="C70" s="359" t="s">
        <v>265</v>
      </c>
    </row>
    <row r="71" spans="3:3">
      <c r="C71" s="359" t="s">
        <v>266</v>
      </c>
    </row>
    <row r="72" spans="3:3">
      <c r="C72" s="374" t="s">
        <v>267</v>
      </c>
    </row>
    <row r="73" spans="3:3">
      <c r="C73" s="374" t="s">
        <v>268</v>
      </c>
    </row>
    <row r="74" spans="3:3">
      <c r="C74" s="359" t="s">
        <v>269</v>
      </c>
    </row>
    <row r="75" spans="3:3">
      <c r="C75" s="359" t="s">
        <v>270</v>
      </c>
    </row>
  </sheetData>
  <mergeCells count="43">
    <mergeCell ref="Y38:Y39"/>
    <mergeCell ref="AA38:AA39"/>
    <mergeCell ref="AB38:AB39"/>
    <mergeCell ref="A3:A4"/>
    <mergeCell ref="E3:E4"/>
    <mergeCell ref="G3:G4"/>
    <mergeCell ref="I3:I4"/>
    <mergeCell ref="K3:K4"/>
    <mergeCell ref="M3:M4"/>
    <mergeCell ref="O3:O4"/>
    <mergeCell ref="Q3:Q4"/>
    <mergeCell ref="S3:S4"/>
    <mergeCell ref="U3:U4"/>
    <mergeCell ref="W3:W4"/>
    <mergeCell ref="Y3:Y4"/>
    <mergeCell ref="Q21:Q22"/>
    <mergeCell ref="S21:S22"/>
    <mergeCell ref="U21:U22"/>
    <mergeCell ref="W21:W22"/>
    <mergeCell ref="A38:A39"/>
    <mergeCell ref="E38:E39"/>
    <mergeCell ref="G38:G39"/>
    <mergeCell ref="I38:I39"/>
    <mergeCell ref="K38:K39"/>
    <mergeCell ref="M38:M39"/>
    <mergeCell ref="O38:O39"/>
    <mergeCell ref="Q38:Q39"/>
    <mergeCell ref="S38:S39"/>
    <mergeCell ref="U38:U39"/>
    <mergeCell ref="W38:W39"/>
    <mergeCell ref="Y21:Y22"/>
    <mergeCell ref="AA21:AA22"/>
    <mergeCell ref="AB21:AB22"/>
    <mergeCell ref="AA3:AA4"/>
    <mergeCell ref="AB3:AB4"/>
    <mergeCell ref="A1:O1"/>
    <mergeCell ref="A21:A22"/>
    <mergeCell ref="E21:E22"/>
    <mergeCell ref="G21:G22"/>
    <mergeCell ref="I21:I22"/>
    <mergeCell ref="K21:K22"/>
    <mergeCell ref="M21:M22"/>
    <mergeCell ref="O21:O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U197"/>
  <sheetViews>
    <sheetView zoomScale="68" zoomScaleNormal="130" workbookViewId="0">
      <selection activeCell="F48" sqref="F48"/>
    </sheetView>
  </sheetViews>
  <sheetFormatPr defaultColWidth="10.4609375" defaultRowHeight="12.9"/>
  <cols>
    <col min="1" max="4" width="36.84375" style="319" customWidth="1"/>
    <col min="5" max="18" width="30.84375" style="319" customWidth="1"/>
    <col min="19" max="21" width="10.4609375" style="319" customWidth="1"/>
    <col min="22" max="16384" width="10.4609375" style="319"/>
  </cols>
  <sheetData>
    <row r="1" spans="1:19" ht="26.15">
      <c r="C1" s="611" t="s">
        <v>131</v>
      </c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</row>
    <row r="2" spans="1:19" s="335" customFormat="1" ht="24.75" customHeight="1">
      <c r="A2" s="381" t="s">
        <v>168</v>
      </c>
      <c r="B2" s="381" t="s">
        <v>168</v>
      </c>
      <c r="C2" s="381" t="s">
        <v>168</v>
      </c>
      <c r="D2" s="381"/>
      <c r="E2" s="381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34"/>
    </row>
    <row r="3" spans="1:19" s="335" customFormat="1">
      <c r="A3" s="614"/>
      <c r="B3" s="614"/>
      <c r="C3" s="614"/>
      <c r="D3" s="467"/>
      <c r="E3" s="614" t="s">
        <v>147</v>
      </c>
      <c r="F3" s="609">
        <v>43831</v>
      </c>
      <c r="G3" s="605">
        <v>43862</v>
      </c>
      <c r="H3" s="609">
        <v>43891</v>
      </c>
      <c r="I3" s="605">
        <v>43922</v>
      </c>
      <c r="J3" s="609">
        <v>43952</v>
      </c>
      <c r="K3" s="605">
        <v>43983</v>
      </c>
      <c r="L3" s="609">
        <v>44013</v>
      </c>
      <c r="M3" s="605">
        <v>44044</v>
      </c>
      <c r="N3" s="609">
        <v>44075</v>
      </c>
      <c r="O3" s="605">
        <v>44105</v>
      </c>
      <c r="P3" s="606">
        <v>44136</v>
      </c>
      <c r="Q3" s="605">
        <v>44166</v>
      </c>
      <c r="R3" s="608" t="s">
        <v>112</v>
      </c>
    </row>
    <row r="4" spans="1:19" s="335" customFormat="1" ht="12" customHeight="1">
      <c r="A4" s="615"/>
      <c r="B4" s="615"/>
      <c r="C4" s="615"/>
      <c r="D4" s="468"/>
      <c r="E4" s="615"/>
      <c r="F4" s="609"/>
      <c r="G4" s="605"/>
      <c r="H4" s="609"/>
      <c r="I4" s="605"/>
      <c r="J4" s="609"/>
      <c r="K4" s="605"/>
      <c r="L4" s="609"/>
      <c r="M4" s="605"/>
      <c r="N4" s="609"/>
      <c r="O4" s="605"/>
      <c r="P4" s="607"/>
      <c r="Q4" s="605"/>
      <c r="R4" s="608"/>
    </row>
    <row r="5" spans="1:19" s="335" customFormat="1">
      <c r="A5" s="359"/>
      <c r="B5" s="359"/>
      <c r="C5" s="359"/>
      <c r="D5" s="359"/>
      <c r="E5" s="359"/>
      <c r="F5" s="360"/>
      <c r="G5" s="360"/>
      <c r="H5" s="564"/>
      <c r="I5" s="564"/>
      <c r="J5" s="564"/>
      <c r="K5" s="564"/>
      <c r="L5" s="564"/>
      <c r="M5" s="564"/>
      <c r="N5" s="564"/>
      <c r="O5" s="564"/>
      <c r="P5" s="564"/>
      <c r="Q5" s="564"/>
      <c r="R5" s="360"/>
      <c r="S5" s="334"/>
    </row>
    <row r="6" spans="1:19" s="335" customFormat="1">
      <c r="A6" s="379"/>
      <c r="B6" s="379" t="s">
        <v>134</v>
      </c>
      <c r="C6" s="530" t="s">
        <v>134</v>
      </c>
      <c r="D6" s="530">
        <v>1</v>
      </c>
      <c r="E6" s="379"/>
      <c r="F6" s="378"/>
      <c r="G6" s="378"/>
      <c r="H6" s="552"/>
      <c r="I6" s="552"/>
      <c r="J6" s="552"/>
      <c r="K6" s="552"/>
      <c r="L6" s="552"/>
      <c r="M6" s="552"/>
      <c r="N6" s="552"/>
      <c r="O6" s="552"/>
      <c r="P6" s="552"/>
      <c r="Q6" s="552"/>
      <c r="R6" s="378"/>
      <c r="S6" s="334"/>
    </row>
    <row r="7" spans="1:19" s="335" customFormat="1">
      <c r="A7" s="359"/>
      <c r="B7" s="377" t="s">
        <v>159</v>
      </c>
      <c r="C7" s="531" t="s">
        <v>159</v>
      </c>
      <c r="D7" s="531">
        <v>1</v>
      </c>
      <c r="E7" s="359"/>
      <c r="F7" s="360"/>
      <c r="G7" s="360"/>
      <c r="H7" s="553"/>
      <c r="I7" s="553"/>
      <c r="J7" s="553"/>
      <c r="K7" s="553"/>
      <c r="L7" s="553"/>
      <c r="M7" s="553"/>
      <c r="N7" s="553"/>
      <c r="O7" s="553"/>
      <c r="P7" s="553"/>
      <c r="Q7" s="553"/>
      <c r="R7" s="360"/>
      <c r="S7" s="334"/>
    </row>
    <row r="8" spans="1:19" s="335" customFormat="1">
      <c r="A8" s="379"/>
      <c r="B8" s="377" t="s">
        <v>160</v>
      </c>
      <c r="C8" s="531" t="s">
        <v>160</v>
      </c>
      <c r="D8" s="531">
        <v>4</v>
      </c>
      <c r="E8" s="379" t="s">
        <v>256</v>
      </c>
      <c r="F8" s="378">
        <v>120000</v>
      </c>
      <c r="G8" s="378">
        <v>120000</v>
      </c>
      <c r="H8" s="552">
        <v>120000</v>
      </c>
      <c r="I8" s="552">
        <v>120000</v>
      </c>
      <c r="J8" s="552">
        <v>120000</v>
      </c>
      <c r="K8" s="552">
        <v>120000</v>
      </c>
      <c r="L8" s="552">
        <v>240000</v>
      </c>
      <c r="M8" s="552">
        <v>240000</v>
      </c>
      <c r="N8" s="552">
        <v>240000</v>
      </c>
      <c r="O8" s="552">
        <v>240000</v>
      </c>
      <c r="P8" s="552">
        <v>240000</v>
      </c>
      <c r="Q8" s="552">
        <v>240000</v>
      </c>
      <c r="R8" s="378"/>
      <c r="S8" s="334"/>
    </row>
    <row r="9" spans="1:19" s="335" customFormat="1">
      <c r="A9" s="379"/>
      <c r="B9" s="377"/>
      <c r="C9" s="531"/>
      <c r="D9" s="531"/>
      <c r="E9" s="379"/>
      <c r="F9" s="378"/>
      <c r="G9" s="378"/>
      <c r="H9" s="552"/>
      <c r="I9" s="552"/>
      <c r="J9" s="552"/>
      <c r="K9" s="552"/>
      <c r="L9" s="552"/>
      <c r="M9" s="552"/>
      <c r="N9" s="552"/>
      <c r="O9" s="552"/>
      <c r="P9" s="552"/>
      <c r="Q9" s="552"/>
      <c r="R9" s="378"/>
      <c r="S9" s="334"/>
    </row>
    <row r="10" spans="1:19" s="335" customFormat="1">
      <c r="A10" s="359"/>
      <c r="B10" s="616" t="s">
        <v>272</v>
      </c>
      <c r="C10" s="531"/>
      <c r="D10" s="531">
        <v>1</v>
      </c>
      <c r="E10" s="359"/>
      <c r="F10" s="360"/>
      <c r="G10" s="360"/>
      <c r="H10" s="553"/>
      <c r="I10" s="553"/>
      <c r="J10" s="553"/>
      <c r="K10" s="553"/>
      <c r="L10" s="553"/>
      <c r="M10" s="553"/>
      <c r="N10" s="553"/>
      <c r="O10" s="553"/>
      <c r="P10" s="553"/>
      <c r="Q10" s="553"/>
      <c r="R10" s="360"/>
      <c r="S10" s="334"/>
    </row>
    <row r="11" spans="1:19" s="335" customFormat="1">
      <c r="A11" s="379"/>
      <c r="B11" s="617"/>
      <c r="C11" s="531"/>
      <c r="D11" s="531">
        <v>2</v>
      </c>
      <c r="E11" s="379"/>
      <c r="F11" s="378">
        <v>180000</v>
      </c>
      <c r="G11" s="378">
        <v>180000</v>
      </c>
      <c r="H11" s="378">
        <v>180000</v>
      </c>
      <c r="I11" s="378">
        <v>180000</v>
      </c>
      <c r="J11" s="378">
        <v>180000</v>
      </c>
      <c r="K11" s="378">
        <v>180000</v>
      </c>
      <c r="L11" s="552">
        <v>450000</v>
      </c>
      <c r="M11" s="552">
        <v>450000</v>
      </c>
      <c r="N11" s="552">
        <v>450000</v>
      </c>
      <c r="O11" s="552">
        <v>450000</v>
      </c>
      <c r="P11" s="552">
        <v>450000</v>
      </c>
      <c r="Q11" s="552">
        <v>450000</v>
      </c>
      <c r="R11" s="378"/>
      <c r="S11" s="334"/>
    </row>
    <row r="12" spans="1:19" s="335" customFormat="1">
      <c r="A12" s="359"/>
      <c r="B12" s="618"/>
      <c r="C12" s="531"/>
      <c r="D12" s="531">
        <v>3</v>
      </c>
      <c r="E12" s="359"/>
      <c r="F12" s="360"/>
      <c r="G12" s="360"/>
      <c r="H12" s="553"/>
      <c r="I12" s="553"/>
      <c r="J12" s="553"/>
      <c r="K12" s="553"/>
      <c r="L12" s="553"/>
      <c r="M12" s="553"/>
      <c r="N12" s="553"/>
      <c r="O12" s="553"/>
      <c r="P12" s="553"/>
      <c r="Q12" s="553"/>
      <c r="R12" s="360"/>
      <c r="S12" s="334"/>
    </row>
    <row r="13" spans="1:19" s="335" customFormat="1">
      <c r="A13" s="379"/>
      <c r="B13" s="377"/>
      <c r="C13" s="531"/>
      <c r="D13" s="531"/>
      <c r="E13" s="379"/>
      <c r="F13" s="378"/>
      <c r="G13" s="378"/>
      <c r="H13" s="552"/>
      <c r="I13" s="552"/>
      <c r="J13" s="552"/>
      <c r="K13" s="552"/>
      <c r="L13" s="552"/>
      <c r="M13" s="552"/>
      <c r="N13" s="552"/>
      <c r="O13" s="552"/>
      <c r="P13" s="552"/>
      <c r="Q13" s="552"/>
      <c r="R13" s="378"/>
      <c r="S13" s="334"/>
    </row>
    <row r="14" spans="1:19" s="335" customFormat="1">
      <c r="A14" s="359"/>
      <c r="B14" s="359"/>
      <c r="C14" s="531"/>
      <c r="D14" s="531"/>
      <c r="E14" s="359"/>
      <c r="F14" s="360"/>
      <c r="G14" s="360"/>
      <c r="H14" s="553"/>
      <c r="I14" s="553"/>
      <c r="J14" s="553"/>
      <c r="K14" s="553"/>
      <c r="L14" s="553"/>
      <c r="M14" s="553"/>
      <c r="N14" s="553"/>
      <c r="O14" s="553"/>
      <c r="P14" s="553"/>
      <c r="Q14" s="553"/>
      <c r="R14" s="360"/>
      <c r="S14" s="334"/>
    </row>
    <row r="15" spans="1:19" s="335" customFormat="1">
      <c r="A15" s="379"/>
      <c r="B15" s="377"/>
      <c r="C15" s="531"/>
      <c r="D15" s="531"/>
      <c r="E15" s="379"/>
      <c r="F15" s="378"/>
      <c r="G15" s="378"/>
      <c r="H15" s="552"/>
      <c r="I15" s="552"/>
      <c r="J15" s="552"/>
      <c r="K15" s="552"/>
      <c r="L15" s="552"/>
      <c r="M15" s="552"/>
      <c r="N15" s="552"/>
      <c r="O15" s="552"/>
      <c r="P15" s="552"/>
      <c r="Q15" s="552"/>
      <c r="R15" s="378"/>
      <c r="S15" s="334"/>
    </row>
    <row r="16" spans="1:19" s="335" customFormat="1">
      <c r="A16" s="359"/>
      <c r="B16" s="359"/>
      <c r="C16" s="531"/>
      <c r="D16" s="531"/>
      <c r="E16" s="359"/>
      <c r="F16" s="360"/>
      <c r="G16" s="360"/>
      <c r="H16" s="553"/>
      <c r="I16" s="553"/>
      <c r="J16" s="553"/>
      <c r="K16" s="553"/>
      <c r="L16" s="553"/>
      <c r="M16" s="553"/>
      <c r="N16" s="553"/>
      <c r="O16" s="553"/>
      <c r="P16" s="553"/>
      <c r="Q16" s="553"/>
      <c r="R16" s="360"/>
      <c r="S16" s="334"/>
    </row>
    <row r="17" spans="1:19" s="335" customFormat="1">
      <c r="A17" s="616" t="s">
        <v>116</v>
      </c>
      <c r="B17" s="616" t="s">
        <v>116</v>
      </c>
      <c r="C17" s="531"/>
      <c r="D17" s="616">
        <v>3</v>
      </c>
      <c r="E17" s="359"/>
      <c r="F17" s="360"/>
      <c r="G17" s="360"/>
      <c r="H17" s="553"/>
      <c r="I17" s="553"/>
      <c r="J17" s="553"/>
      <c r="K17" s="553"/>
      <c r="L17" s="553"/>
      <c r="M17" s="553"/>
      <c r="N17" s="553"/>
      <c r="O17" s="553"/>
      <c r="P17" s="553"/>
      <c r="Q17" s="553"/>
      <c r="R17" s="360"/>
      <c r="S17" s="334"/>
    </row>
    <row r="18" spans="1:19" s="335" customFormat="1">
      <c r="A18" s="617"/>
      <c r="B18" s="617"/>
      <c r="C18" s="530"/>
      <c r="D18" s="617"/>
      <c r="E18" s="379"/>
      <c r="F18" s="378"/>
      <c r="G18" s="378"/>
      <c r="H18" s="552"/>
      <c r="I18" s="552"/>
      <c r="J18" s="552"/>
      <c r="K18" s="552"/>
      <c r="L18" s="552"/>
      <c r="M18" s="552"/>
      <c r="N18" s="552"/>
      <c r="O18" s="552"/>
      <c r="P18" s="552"/>
      <c r="Q18" s="552"/>
      <c r="R18" s="378"/>
      <c r="S18" s="334"/>
    </row>
    <row r="19" spans="1:19" s="335" customFormat="1">
      <c r="A19" s="617"/>
      <c r="B19" s="617"/>
      <c r="C19" s="531"/>
      <c r="D19" s="617"/>
      <c r="E19" s="359" t="s">
        <v>257</v>
      </c>
      <c r="F19" s="360">
        <v>140000</v>
      </c>
      <c r="G19" s="360">
        <v>140000</v>
      </c>
      <c r="H19" s="553">
        <v>140000</v>
      </c>
      <c r="I19" s="553">
        <v>140000</v>
      </c>
      <c r="J19" s="553">
        <v>140000</v>
      </c>
      <c r="K19" s="553">
        <v>140000</v>
      </c>
      <c r="L19" s="553">
        <v>140000</v>
      </c>
      <c r="M19" s="553">
        <v>140000</v>
      </c>
      <c r="N19" s="553">
        <v>140000</v>
      </c>
      <c r="O19" s="553">
        <v>140000</v>
      </c>
      <c r="P19" s="553">
        <v>140000</v>
      </c>
      <c r="Q19" s="553">
        <v>140000</v>
      </c>
      <c r="R19" s="360"/>
      <c r="S19" s="334"/>
    </row>
    <row r="20" spans="1:19" s="335" customFormat="1">
      <c r="A20" s="617"/>
      <c r="B20" s="617"/>
      <c r="C20" s="530"/>
      <c r="D20" s="617"/>
      <c r="E20" s="379"/>
      <c r="F20" s="378"/>
      <c r="G20" s="378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378"/>
      <c r="S20" s="334"/>
    </row>
    <row r="21" spans="1:19" s="335" customFormat="1">
      <c r="A21" s="617"/>
      <c r="B21" s="617"/>
      <c r="C21" s="531"/>
      <c r="D21" s="617"/>
      <c r="E21" s="359"/>
      <c r="F21" s="360"/>
      <c r="G21" s="360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360"/>
      <c r="S21" s="334"/>
    </row>
    <row r="22" spans="1:19" s="335" customFormat="1">
      <c r="A22" s="617"/>
      <c r="B22" s="618"/>
      <c r="C22" s="530"/>
      <c r="D22" s="618"/>
      <c r="E22" s="379"/>
      <c r="F22" s="378"/>
      <c r="G22" s="378"/>
      <c r="H22" s="552"/>
      <c r="I22" s="552"/>
      <c r="J22" s="552"/>
      <c r="K22" s="552"/>
      <c r="L22" s="552"/>
      <c r="M22" s="552"/>
      <c r="N22" s="552"/>
      <c r="O22" s="552"/>
      <c r="P22" s="552"/>
      <c r="Q22" s="552"/>
      <c r="R22" s="378"/>
      <c r="S22" s="334"/>
    </row>
    <row r="23" spans="1:19" s="335" customFormat="1">
      <c r="A23" s="617"/>
      <c r="B23" s="359"/>
      <c r="C23" s="531"/>
      <c r="D23" s="531"/>
      <c r="E23" s="359"/>
      <c r="F23" s="360"/>
      <c r="G23" s="360"/>
      <c r="H23" s="553"/>
      <c r="I23" s="553"/>
      <c r="J23" s="553"/>
      <c r="K23" s="553"/>
      <c r="L23" s="553"/>
      <c r="M23" s="553"/>
      <c r="N23" s="553"/>
      <c r="O23" s="553"/>
      <c r="P23" s="553"/>
      <c r="Q23" s="553"/>
      <c r="R23" s="360"/>
      <c r="S23" s="334"/>
    </row>
    <row r="24" spans="1:19" s="335" customFormat="1">
      <c r="A24" s="617"/>
      <c r="B24" s="619" t="s">
        <v>199</v>
      </c>
      <c r="C24" s="530"/>
      <c r="D24" s="619">
        <v>6</v>
      </c>
      <c r="E24" s="379"/>
      <c r="F24" s="378"/>
      <c r="G24" s="378"/>
      <c r="H24" s="552"/>
      <c r="I24" s="552"/>
      <c r="J24" s="552"/>
      <c r="K24" s="552"/>
      <c r="L24" s="552"/>
      <c r="M24" s="552"/>
      <c r="N24" s="552"/>
      <c r="O24" s="552"/>
      <c r="P24" s="552"/>
      <c r="Q24" s="552"/>
      <c r="R24" s="378"/>
      <c r="S24" s="334"/>
    </row>
    <row r="25" spans="1:19" s="335" customFormat="1">
      <c r="A25" s="617"/>
      <c r="B25" s="620"/>
      <c r="C25" s="531"/>
      <c r="D25" s="620"/>
      <c r="E25" s="359"/>
      <c r="F25" s="360"/>
      <c r="G25" s="360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360"/>
      <c r="S25" s="334"/>
    </row>
    <row r="26" spans="1:19" s="335" customFormat="1">
      <c r="A26" s="617"/>
      <c r="B26" s="620"/>
      <c r="C26" s="531"/>
      <c r="D26" s="620"/>
      <c r="E26" s="359"/>
      <c r="F26" s="360"/>
      <c r="G26" s="360"/>
      <c r="H26" s="553"/>
      <c r="I26" s="553"/>
      <c r="J26" s="553"/>
      <c r="K26" s="553"/>
      <c r="L26" s="553"/>
      <c r="M26" s="553"/>
      <c r="N26" s="553"/>
      <c r="O26" s="553"/>
      <c r="P26" s="553"/>
      <c r="Q26" s="553"/>
      <c r="R26" s="360"/>
      <c r="S26" s="334"/>
    </row>
    <row r="27" spans="1:19" s="335" customFormat="1">
      <c r="A27" s="617"/>
      <c r="B27" s="620"/>
      <c r="C27" s="531"/>
      <c r="D27" s="620"/>
      <c r="E27" s="359"/>
      <c r="F27" s="360"/>
      <c r="G27" s="360"/>
      <c r="H27" s="553"/>
      <c r="I27" s="553"/>
      <c r="J27" s="553"/>
      <c r="K27" s="553"/>
      <c r="L27" s="553"/>
      <c r="M27" s="553"/>
      <c r="N27" s="553"/>
      <c r="O27" s="553"/>
      <c r="P27" s="553"/>
      <c r="Q27" s="553"/>
      <c r="R27" s="360"/>
      <c r="S27" s="334"/>
    </row>
    <row r="28" spans="1:19" s="335" customFormat="1">
      <c r="A28" s="617"/>
      <c r="B28" s="620"/>
      <c r="C28" s="530"/>
      <c r="D28" s="620"/>
      <c r="E28" s="379" t="s">
        <v>257</v>
      </c>
      <c r="F28" s="378">
        <v>220000</v>
      </c>
      <c r="G28" s="378">
        <v>220000</v>
      </c>
      <c r="H28" s="552">
        <v>220000</v>
      </c>
      <c r="I28" s="552">
        <v>220000</v>
      </c>
      <c r="J28" s="552">
        <v>220000</v>
      </c>
      <c r="K28" s="552">
        <v>220000</v>
      </c>
      <c r="L28" s="552">
        <v>220000</v>
      </c>
      <c r="M28" s="552">
        <v>220000</v>
      </c>
      <c r="N28" s="552">
        <v>220000</v>
      </c>
      <c r="O28" s="552">
        <v>220000</v>
      </c>
      <c r="P28" s="552">
        <v>220000</v>
      </c>
      <c r="Q28" s="552">
        <v>220000</v>
      </c>
      <c r="R28" s="378"/>
      <c r="S28" s="334"/>
    </row>
    <row r="29" spans="1:19" s="335" customFormat="1">
      <c r="A29" s="617"/>
      <c r="B29" s="620"/>
      <c r="C29" s="531"/>
      <c r="D29" s="620"/>
      <c r="E29" s="359"/>
      <c r="F29" s="360"/>
      <c r="G29" s="360"/>
      <c r="H29" s="553"/>
      <c r="I29" s="553"/>
      <c r="J29" s="553"/>
      <c r="K29" s="553"/>
      <c r="L29" s="553"/>
      <c r="M29" s="553"/>
      <c r="N29" s="553"/>
      <c r="O29" s="553"/>
      <c r="P29" s="553"/>
      <c r="Q29" s="553"/>
      <c r="R29" s="360"/>
      <c r="S29" s="334"/>
    </row>
    <row r="30" spans="1:19" s="335" customFormat="1">
      <c r="A30" s="617"/>
      <c r="B30" s="620"/>
      <c r="C30" s="536"/>
      <c r="D30" s="620"/>
      <c r="E30" s="379"/>
      <c r="F30" s="378"/>
      <c r="G30" s="378"/>
      <c r="H30" s="552"/>
      <c r="I30" s="552"/>
      <c r="J30" s="552"/>
      <c r="K30" s="552"/>
      <c r="L30" s="552"/>
      <c r="M30" s="552"/>
      <c r="N30" s="552"/>
      <c r="O30" s="552"/>
      <c r="P30" s="552"/>
      <c r="Q30" s="552"/>
      <c r="R30" s="378"/>
      <c r="S30" s="334"/>
    </row>
    <row r="31" spans="1:19" s="335" customFormat="1">
      <c r="A31" s="617"/>
      <c r="B31" s="621"/>
      <c r="C31" s="537"/>
      <c r="D31" s="621"/>
      <c r="E31" s="359"/>
      <c r="F31" s="360"/>
      <c r="G31" s="360"/>
      <c r="H31" s="553"/>
      <c r="I31" s="553"/>
      <c r="J31" s="553"/>
      <c r="K31" s="553"/>
      <c r="L31" s="553"/>
      <c r="M31" s="553"/>
      <c r="N31" s="553"/>
      <c r="O31" s="553"/>
      <c r="P31" s="553"/>
      <c r="Q31" s="553"/>
      <c r="R31" s="360"/>
      <c r="S31" s="334"/>
    </row>
    <row r="32" spans="1:19" s="335" customFormat="1">
      <c r="A32" s="617"/>
      <c r="B32" s="379"/>
      <c r="C32" s="530"/>
      <c r="D32" s="530"/>
      <c r="E32" s="379"/>
      <c r="F32" s="378"/>
      <c r="G32" s="378"/>
      <c r="H32" s="552"/>
      <c r="I32" s="552"/>
      <c r="J32" s="552"/>
      <c r="K32" s="552"/>
      <c r="L32" s="552"/>
      <c r="M32" s="552"/>
      <c r="N32" s="552"/>
      <c r="O32" s="552"/>
      <c r="P32" s="552"/>
      <c r="Q32" s="552"/>
      <c r="R32" s="378"/>
      <c r="S32" s="334"/>
    </row>
    <row r="33" spans="1:19" s="335" customFormat="1" ht="15" customHeight="1">
      <c r="A33" s="617"/>
      <c r="B33" s="622" t="s">
        <v>198</v>
      </c>
      <c r="C33" s="531"/>
      <c r="D33" s="531">
        <v>4</v>
      </c>
      <c r="E33" s="379" t="s">
        <v>257</v>
      </c>
      <c r="F33" s="360">
        <v>120000</v>
      </c>
      <c r="G33" s="360">
        <v>120000</v>
      </c>
      <c r="H33" s="553">
        <v>120000</v>
      </c>
      <c r="I33" s="553">
        <v>120000</v>
      </c>
      <c r="J33" s="553">
        <v>120000</v>
      </c>
      <c r="K33" s="553">
        <v>120000</v>
      </c>
      <c r="L33" s="553">
        <v>240000</v>
      </c>
      <c r="M33" s="553">
        <v>240000</v>
      </c>
      <c r="N33" s="553">
        <v>240000</v>
      </c>
      <c r="O33" s="553">
        <v>240000</v>
      </c>
      <c r="P33" s="553">
        <v>240000</v>
      </c>
      <c r="Q33" s="553">
        <v>240000</v>
      </c>
      <c r="R33" s="360"/>
      <c r="S33" s="334"/>
    </row>
    <row r="34" spans="1:19" s="335" customFormat="1">
      <c r="A34" s="617"/>
      <c r="B34" s="623"/>
      <c r="C34" s="530"/>
      <c r="D34" s="530">
        <v>2</v>
      </c>
      <c r="E34" s="379" t="s">
        <v>257</v>
      </c>
      <c r="F34" s="378">
        <v>60000</v>
      </c>
      <c r="G34" s="378">
        <v>60000</v>
      </c>
      <c r="H34" s="552">
        <v>60000</v>
      </c>
      <c r="I34" s="552">
        <v>60000</v>
      </c>
      <c r="J34" s="552">
        <v>60000</v>
      </c>
      <c r="K34" s="552">
        <v>60000</v>
      </c>
      <c r="L34" s="552">
        <v>120000</v>
      </c>
      <c r="M34" s="552">
        <v>120000</v>
      </c>
      <c r="N34" s="552">
        <v>120000</v>
      </c>
      <c r="O34" s="552">
        <v>120000</v>
      </c>
      <c r="P34" s="552">
        <v>120000</v>
      </c>
      <c r="Q34" s="552">
        <v>120000</v>
      </c>
      <c r="R34" s="378"/>
      <c r="S34" s="334"/>
    </row>
    <row r="35" spans="1:19" s="335" customFormat="1" ht="14.05" customHeight="1">
      <c r="A35" s="617"/>
      <c r="B35" s="623"/>
      <c r="C35" s="538"/>
      <c r="D35" s="532">
        <v>4</v>
      </c>
      <c r="E35" s="379" t="s">
        <v>257</v>
      </c>
      <c r="F35" s="360">
        <v>120000</v>
      </c>
      <c r="G35" s="360">
        <v>120000</v>
      </c>
      <c r="H35" s="553">
        <v>120000</v>
      </c>
      <c r="I35" s="553">
        <v>120000</v>
      </c>
      <c r="J35" s="553">
        <v>120000</v>
      </c>
      <c r="K35" s="553">
        <v>120000</v>
      </c>
      <c r="L35" s="553">
        <v>240000</v>
      </c>
      <c r="M35" s="553">
        <v>240000</v>
      </c>
      <c r="N35" s="553">
        <v>240000</v>
      </c>
      <c r="O35" s="553">
        <v>240000</v>
      </c>
      <c r="P35" s="553">
        <v>240000</v>
      </c>
      <c r="Q35" s="553">
        <v>240000</v>
      </c>
      <c r="R35" s="360"/>
      <c r="S35" s="334"/>
    </row>
    <row r="36" spans="1:19" s="335" customFormat="1">
      <c r="A36" s="617"/>
      <c r="B36" s="623"/>
      <c r="C36" s="533"/>
      <c r="D36" s="533">
        <v>1</v>
      </c>
      <c r="E36" s="379" t="s">
        <v>257</v>
      </c>
      <c r="F36" s="360">
        <v>35000</v>
      </c>
      <c r="G36" s="360">
        <v>35000</v>
      </c>
      <c r="H36" s="553">
        <v>35000</v>
      </c>
      <c r="I36" s="553">
        <v>35000</v>
      </c>
      <c r="J36" s="553">
        <v>35000</v>
      </c>
      <c r="K36" s="553">
        <v>35000</v>
      </c>
      <c r="L36" s="553">
        <v>70000</v>
      </c>
      <c r="M36" s="553">
        <v>70000</v>
      </c>
      <c r="N36" s="553">
        <v>70000</v>
      </c>
      <c r="O36" s="553">
        <v>70000</v>
      </c>
      <c r="P36" s="553">
        <v>70000</v>
      </c>
      <c r="Q36" s="553">
        <v>70000</v>
      </c>
      <c r="R36" s="360"/>
      <c r="S36" s="334"/>
    </row>
    <row r="37" spans="1:19" s="335" customFormat="1">
      <c r="A37" s="617"/>
      <c r="B37" s="623"/>
      <c r="C37" s="534"/>
      <c r="D37" s="534">
        <v>4</v>
      </c>
      <c r="E37" s="379" t="s">
        <v>257</v>
      </c>
      <c r="F37" s="360">
        <v>100000</v>
      </c>
      <c r="G37" s="360">
        <v>100000</v>
      </c>
      <c r="H37" s="553">
        <v>100000</v>
      </c>
      <c r="I37" s="553">
        <v>100000</v>
      </c>
      <c r="J37" s="553">
        <v>100000</v>
      </c>
      <c r="K37" s="553">
        <v>100000</v>
      </c>
      <c r="L37" s="553">
        <v>200000</v>
      </c>
      <c r="M37" s="553">
        <v>200000</v>
      </c>
      <c r="N37" s="553">
        <v>200000</v>
      </c>
      <c r="O37" s="553">
        <v>200000</v>
      </c>
      <c r="P37" s="553">
        <v>200000</v>
      </c>
      <c r="Q37" s="553">
        <v>200000</v>
      </c>
      <c r="R37" s="360"/>
      <c r="S37" s="334"/>
    </row>
    <row r="38" spans="1:19" s="335" customFormat="1">
      <c r="A38" s="617"/>
      <c r="B38" s="623"/>
      <c r="C38" s="534"/>
      <c r="D38" s="534">
        <v>4</v>
      </c>
      <c r="E38" s="379" t="s">
        <v>257</v>
      </c>
      <c r="F38" s="360">
        <v>36000</v>
      </c>
      <c r="G38" s="360">
        <v>36000</v>
      </c>
      <c r="H38" s="553">
        <v>36000</v>
      </c>
      <c r="I38" s="553">
        <v>36000</v>
      </c>
      <c r="J38" s="553">
        <v>36000</v>
      </c>
      <c r="K38" s="553">
        <v>36000</v>
      </c>
      <c r="L38" s="553">
        <v>80000</v>
      </c>
      <c r="M38" s="553">
        <v>80000</v>
      </c>
      <c r="N38" s="553">
        <v>80000</v>
      </c>
      <c r="O38" s="553">
        <v>80000</v>
      </c>
      <c r="P38" s="553">
        <v>80000</v>
      </c>
      <c r="Q38" s="553">
        <v>80000</v>
      </c>
      <c r="R38" s="360"/>
      <c r="S38" s="334"/>
    </row>
    <row r="39" spans="1:19" s="335" customFormat="1">
      <c r="A39" s="617"/>
      <c r="B39" s="623"/>
      <c r="C39" s="534"/>
      <c r="D39" s="534">
        <v>1</v>
      </c>
      <c r="E39" s="379" t="s">
        <v>257</v>
      </c>
      <c r="F39" s="378">
        <v>28000</v>
      </c>
      <c r="G39" s="378">
        <v>28000</v>
      </c>
      <c r="H39" s="552">
        <v>28000</v>
      </c>
      <c r="I39" s="552">
        <v>28000</v>
      </c>
      <c r="J39" s="552">
        <v>28000</v>
      </c>
      <c r="K39" s="552">
        <v>28000</v>
      </c>
      <c r="L39" s="552">
        <v>50000</v>
      </c>
      <c r="M39" s="552">
        <v>50000</v>
      </c>
      <c r="N39" s="552">
        <v>50000</v>
      </c>
      <c r="O39" s="552">
        <v>50000</v>
      </c>
      <c r="P39" s="552">
        <v>50000</v>
      </c>
      <c r="Q39" s="552">
        <v>50000</v>
      </c>
      <c r="R39" s="378"/>
      <c r="S39" s="334"/>
    </row>
    <row r="40" spans="1:19" s="335" customFormat="1">
      <c r="A40" s="617"/>
      <c r="B40" s="623"/>
      <c r="C40" s="534"/>
      <c r="D40" s="534">
        <v>4</v>
      </c>
      <c r="E40" s="379" t="s">
        <v>257</v>
      </c>
      <c r="F40" s="360">
        <v>72000</v>
      </c>
      <c r="G40" s="360">
        <v>72000</v>
      </c>
      <c r="H40" s="553">
        <v>72000</v>
      </c>
      <c r="I40" s="553">
        <v>72000</v>
      </c>
      <c r="J40" s="553">
        <v>72000</v>
      </c>
      <c r="K40" s="553">
        <v>72000</v>
      </c>
      <c r="L40" s="553">
        <v>150000</v>
      </c>
      <c r="M40" s="553">
        <v>150000</v>
      </c>
      <c r="N40" s="553">
        <v>150000</v>
      </c>
      <c r="O40" s="553">
        <v>150000</v>
      </c>
      <c r="P40" s="553">
        <v>150000</v>
      </c>
      <c r="Q40" s="553">
        <v>150000</v>
      </c>
      <c r="R40" s="360"/>
      <c r="S40" s="334"/>
    </row>
    <row r="41" spans="1:19" s="335" customFormat="1">
      <c r="A41" s="618"/>
      <c r="B41" s="624"/>
      <c r="C41" s="531"/>
      <c r="D41" s="531">
        <v>1</v>
      </c>
      <c r="E41" s="379" t="s">
        <v>257</v>
      </c>
      <c r="F41" s="378">
        <v>55000</v>
      </c>
      <c r="G41" s="378">
        <v>55000</v>
      </c>
      <c r="H41" s="552">
        <v>55000</v>
      </c>
      <c r="I41" s="552">
        <v>55000</v>
      </c>
      <c r="J41" s="552">
        <v>55000</v>
      </c>
      <c r="K41" s="552">
        <v>55000</v>
      </c>
      <c r="L41" s="552">
        <v>120000</v>
      </c>
      <c r="M41" s="552">
        <v>120000</v>
      </c>
      <c r="N41" s="552">
        <v>120000</v>
      </c>
      <c r="O41" s="552">
        <v>120000</v>
      </c>
      <c r="P41" s="552">
        <v>120000</v>
      </c>
      <c r="Q41" s="552">
        <v>120000</v>
      </c>
      <c r="R41" s="378"/>
      <c r="S41" s="334"/>
    </row>
    <row r="42" spans="1:19" s="335" customFormat="1">
      <c r="A42" s="359"/>
      <c r="B42" s="359"/>
      <c r="C42" s="531"/>
      <c r="D42" s="531"/>
      <c r="E42" s="359"/>
      <c r="F42" s="360"/>
      <c r="G42" s="360"/>
      <c r="H42" s="553"/>
      <c r="I42" s="553"/>
      <c r="J42" s="553"/>
      <c r="K42" s="553"/>
      <c r="L42" s="553"/>
      <c r="M42" s="553"/>
      <c r="N42" s="553"/>
      <c r="O42" s="553"/>
      <c r="P42" s="553"/>
      <c r="Q42" s="553"/>
      <c r="R42" s="360"/>
      <c r="S42" s="334"/>
    </row>
    <row r="43" spans="1:19" s="335" customFormat="1">
      <c r="A43" s="619" t="s">
        <v>197</v>
      </c>
      <c r="B43" s="619" t="s">
        <v>196</v>
      </c>
      <c r="C43" s="530" t="s">
        <v>195</v>
      </c>
      <c r="D43" s="530"/>
      <c r="E43" s="379"/>
      <c r="F43" s="378"/>
      <c r="G43" s="378"/>
      <c r="H43" s="552"/>
      <c r="I43" s="552"/>
      <c r="J43" s="552"/>
      <c r="K43" s="552"/>
      <c r="L43" s="552"/>
      <c r="M43" s="552"/>
      <c r="N43" s="552"/>
      <c r="O43" s="552"/>
      <c r="P43" s="552"/>
      <c r="Q43" s="552"/>
      <c r="R43" s="378"/>
      <c r="S43" s="334"/>
    </row>
    <row r="44" spans="1:19" s="335" customFormat="1">
      <c r="A44" s="620"/>
      <c r="B44" s="620"/>
      <c r="C44" s="531" t="s">
        <v>194</v>
      </c>
      <c r="D44" s="531"/>
      <c r="E44" s="359"/>
      <c r="F44" s="360"/>
      <c r="G44" s="360"/>
      <c r="H44" s="553"/>
      <c r="I44" s="553"/>
      <c r="J44" s="553"/>
      <c r="K44" s="553"/>
      <c r="L44" s="553"/>
      <c r="M44" s="553"/>
      <c r="N44" s="553"/>
      <c r="O44" s="553"/>
      <c r="P44" s="553"/>
      <c r="Q44" s="553"/>
      <c r="R44" s="360"/>
      <c r="S44" s="334"/>
    </row>
    <row r="45" spans="1:19" s="335" customFormat="1">
      <c r="A45" s="620"/>
      <c r="B45" s="620"/>
      <c r="C45" s="530" t="s">
        <v>193</v>
      </c>
      <c r="D45" s="530"/>
      <c r="E45" s="379"/>
      <c r="F45" s="378"/>
      <c r="G45" s="378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378"/>
      <c r="S45" s="334"/>
    </row>
    <row r="46" spans="1:19" s="335" customFormat="1">
      <c r="A46" s="620"/>
      <c r="B46" s="620"/>
      <c r="C46" s="531" t="s">
        <v>192</v>
      </c>
      <c r="D46" s="531"/>
      <c r="E46" s="359"/>
      <c r="F46" s="360"/>
      <c r="G46" s="360"/>
      <c r="H46" s="553"/>
      <c r="I46" s="553"/>
      <c r="J46" s="553"/>
      <c r="K46" s="553"/>
      <c r="L46" s="553"/>
      <c r="M46" s="553"/>
      <c r="N46" s="553"/>
      <c r="O46" s="553"/>
      <c r="P46" s="553"/>
      <c r="Q46" s="553"/>
      <c r="R46" s="360"/>
      <c r="S46" s="334"/>
    </row>
    <row r="47" spans="1:19" s="335" customFormat="1">
      <c r="A47" s="620"/>
      <c r="B47" s="621"/>
      <c r="C47" s="530" t="s">
        <v>191</v>
      </c>
      <c r="D47" s="530"/>
      <c r="E47" s="379"/>
      <c r="F47" s="378"/>
      <c r="G47" s="378"/>
      <c r="H47" s="552"/>
      <c r="I47" s="552"/>
      <c r="J47" s="552"/>
      <c r="K47" s="552"/>
      <c r="L47" s="552"/>
      <c r="M47" s="552"/>
      <c r="N47" s="552"/>
      <c r="O47" s="552"/>
      <c r="P47" s="552"/>
      <c r="Q47" s="552"/>
      <c r="R47" s="378"/>
      <c r="S47" s="334"/>
    </row>
    <row r="48" spans="1:19" s="335" customFormat="1">
      <c r="A48" s="620"/>
      <c r="B48" s="359"/>
      <c r="C48" s="531"/>
      <c r="D48" s="531"/>
      <c r="E48" s="359"/>
      <c r="F48" s="360"/>
      <c r="G48" s="360"/>
      <c r="H48" s="553"/>
      <c r="I48" s="553"/>
      <c r="J48" s="553"/>
      <c r="K48" s="553"/>
      <c r="L48" s="553"/>
      <c r="M48" s="553"/>
      <c r="N48" s="553"/>
      <c r="O48" s="553"/>
      <c r="P48" s="553"/>
      <c r="Q48" s="553"/>
      <c r="R48" s="360"/>
      <c r="S48" s="334"/>
    </row>
    <row r="49" spans="1:19" s="335" customFormat="1">
      <c r="A49" s="620"/>
      <c r="B49" s="619" t="s">
        <v>190</v>
      </c>
      <c r="C49" s="530" t="s">
        <v>189</v>
      </c>
      <c r="D49" s="530"/>
      <c r="E49" s="379"/>
      <c r="F49" s="378"/>
      <c r="G49" s="378"/>
      <c r="H49" s="552"/>
      <c r="I49" s="552"/>
      <c r="J49" s="552"/>
      <c r="K49" s="552"/>
      <c r="L49" s="552"/>
      <c r="M49" s="552"/>
      <c r="N49" s="552"/>
      <c r="O49" s="552"/>
      <c r="P49" s="552"/>
      <c r="Q49" s="552"/>
      <c r="R49" s="378"/>
      <c r="S49" s="334"/>
    </row>
    <row r="50" spans="1:19" s="335" customFormat="1">
      <c r="A50" s="620"/>
      <c r="B50" s="620"/>
      <c r="C50" s="531" t="s">
        <v>188</v>
      </c>
      <c r="D50" s="531"/>
      <c r="E50" s="359"/>
      <c r="F50" s="360"/>
      <c r="G50" s="360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360"/>
      <c r="S50" s="334"/>
    </row>
    <row r="51" spans="1:19" s="335" customFormat="1">
      <c r="A51" s="620"/>
      <c r="B51" s="621"/>
      <c r="C51" s="530" t="s">
        <v>187</v>
      </c>
      <c r="D51" s="530"/>
      <c r="E51" s="379"/>
      <c r="F51" s="378"/>
      <c r="G51" s="378"/>
      <c r="H51" s="552"/>
      <c r="I51" s="552"/>
      <c r="J51" s="552"/>
      <c r="K51" s="552"/>
      <c r="L51" s="552"/>
      <c r="M51" s="552"/>
      <c r="N51" s="552"/>
      <c r="O51" s="552"/>
      <c r="P51" s="552"/>
      <c r="Q51" s="552"/>
      <c r="R51" s="378"/>
      <c r="S51" s="334"/>
    </row>
    <row r="52" spans="1:19" s="335" customFormat="1">
      <c r="A52" s="620"/>
      <c r="B52" s="359"/>
      <c r="C52" s="531"/>
      <c r="D52" s="531"/>
      <c r="E52" s="359"/>
      <c r="F52" s="360"/>
      <c r="G52" s="360"/>
      <c r="H52" s="553"/>
      <c r="I52" s="553"/>
      <c r="J52" s="553"/>
      <c r="K52" s="553"/>
      <c r="L52" s="553"/>
      <c r="M52" s="553"/>
      <c r="N52" s="553"/>
      <c r="O52" s="553"/>
      <c r="P52" s="553"/>
      <c r="Q52" s="553"/>
      <c r="R52" s="360"/>
      <c r="S52" s="334"/>
    </row>
    <row r="53" spans="1:19" s="335" customFormat="1">
      <c r="A53" s="620"/>
      <c r="B53" s="619" t="s">
        <v>186</v>
      </c>
      <c r="C53" s="530" t="s">
        <v>185</v>
      </c>
      <c r="D53" s="530"/>
      <c r="E53" s="379"/>
      <c r="F53" s="378"/>
      <c r="G53" s="378"/>
      <c r="H53" s="552"/>
      <c r="I53" s="552"/>
      <c r="J53" s="552"/>
      <c r="K53" s="552"/>
      <c r="L53" s="552"/>
      <c r="M53" s="552"/>
      <c r="N53" s="552"/>
      <c r="O53" s="552"/>
      <c r="P53" s="552"/>
      <c r="Q53" s="552"/>
      <c r="R53" s="378"/>
      <c r="S53" s="334"/>
    </row>
    <row r="54" spans="1:19" s="335" customFormat="1">
      <c r="A54" s="620"/>
      <c r="B54" s="620"/>
      <c r="C54" s="531" t="s">
        <v>184</v>
      </c>
      <c r="D54" s="531"/>
      <c r="E54" s="359"/>
      <c r="F54" s="360"/>
      <c r="G54" s="360"/>
      <c r="H54" s="553"/>
      <c r="I54" s="553"/>
      <c r="J54" s="553"/>
      <c r="K54" s="553"/>
      <c r="L54" s="553"/>
      <c r="M54" s="553"/>
      <c r="N54" s="553"/>
      <c r="O54" s="553"/>
      <c r="P54" s="553"/>
      <c r="Q54" s="553"/>
      <c r="R54" s="360"/>
      <c r="S54" s="334"/>
    </row>
    <row r="55" spans="1:19" s="335" customFormat="1">
      <c r="A55" s="620"/>
      <c r="B55" s="620"/>
      <c r="C55" s="530" t="s">
        <v>183</v>
      </c>
      <c r="D55" s="530"/>
      <c r="E55" s="379"/>
      <c r="F55" s="378"/>
      <c r="G55" s="378"/>
      <c r="H55" s="552"/>
      <c r="I55" s="552"/>
      <c r="J55" s="552"/>
      <c r="K55" s="552"/>
      <c r="L55" s="552"/>
      <c r="M55" s="552"/>
      <c r="N55" s="552"/>
      <c r="O55" s="552"/>
      <c r="P55" s="552"/>
      <c r="Q55" s="552"/>
      <c r="R55" s="378"/>
      <c r="S55" s="334"/>
    </row>
    <row r="56" spans="1:19" s="335" customFormat="1">
      <c r="A56" s="620"/>
      <c r="B56" s="621"/>
      <c r="C56" s="531" t="s">
        <v>182</v>
      </c>
      <c r="D56" s="531"/>
      <c r="E56" s="359"/>
      <c r="F56" s="360"/>
      <c r="G56" s="360"/>
      <c r="H56" s="553"/>
      <c r="I56" s="553"/>
      <c r="J56" s="553"/>
      <c r="K56" s="553"/>
      <c r="L56" s="553"/>
      <c r="M56" s="553"/>
      <c r="N56" s="553"/>
      <c r="O56" s="553"/>
      <c r="P56" s="553"/>
      <c r="Q56" s="553"/>
      <c r="R56" s="360"/>
      <c r="S56" s="334"/>
    </row>
    <row r="57" spans="1:19" s="335" customFormat="1">
      <c r="A57" s="620"/>
      <c r="B57" s="379"/>
      <c r="C57" s="530"/>
      <c r="D57" s="530"/>
      <c r="E57" s="379"/>
      <c r="F57" s="378"/>
      <c r="G57" s="378"/>
      <c r="H57" s="552"/>
      <c r="I57" s="552"/>
      <c r="J57" s="552"/>
      <c r="K57" s="552"/>
      <c r="L57" s="552"/>
      <c r="M57" s="552"/>
      <c r="N57" s="552"/>
      <c r="O57" s="552"/>
      <c r="P57" s="552"/>
      <c r="Q57" s="552"/>
      <c r="R57" s="378"/>
      <c r="S57" s="334"/>
    </row>
    <row r="58" spans="1:19" s="335" customFormat="1">
      <c r="A58" s="620"/>
      <c r="B58" s="616" t="s">
        <v>181</v>
      </c>
      <c r="C58" s="531" t="s">
        <v>180</v>
      </c>
      <c r="D58" s="531"/>
      <c r="E58" s="359"/>
      <c r="F58" s="360"/>
      <c r="G58" s="360"/>
      <c r="H58" s="553"/>
      <c r="I58" s="553"/>
      <c r="J58" s="553"/>
      <c r="K58" s="553"/>
      <c r="L58" s="553"/>
      <c r="M58" s="553"/>
      <c r="N58" s="553"/>
      <c r="O58" s="553"/>
      <c r="P58" s="553"/>
      <c r="Q58" s="553"/>
      <c r="R58" s="360"/>
      <c r="S58" s="334"/>
    </row>
    <row r="59" spans="1:19" s="335" customFormat="1">
      <c r="A59" s="620"/>
      <c r="B59" s="617"/>
      <c r="C59" s="530" t="s">
        <v>179</v>
      </c>
      <c r="D59" s="530"/>
      <c r="E59" s="379"/>
      <c r="F59" s="378"/>
      <c r="G59" s="378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378"/>
      <c r="S59" s="334"/>
    </row>
    <row r="60" spans="1:19" s="335" customFormat="1">
      <c r="A60" s="620"/>
      <c r="B60" s="617"/>
      <c r="C60" s="531" t="s">
        <v>178</v>
      </c>
      <c r="D60" s="531"/>
      <c r="E60" s="359"/>
      <c r="F60" s="360"/>
      <c r="G60" s="360"/>
      <c r="H60" s="553"/>
      <c r="I60" s="553"/>
      <c r="J60" s="553"/>
      <c r="K60" s="553"/>
      <c r="L60" s="553"/>
      <c r="M60" s="553"/>
      <c r="N60" s="553"/>
      <c r="O60" s="553"/>
      <c r="P60" s="553"/>
      <c r="Q60" s="553"/>
      <c r="R60" s="360"/>
      <c r="S60" s="334"/>
    </row>
    <row r="61" spans="1:19" s="335" customFormat="1">
      <c r="A61" s="620"/>
      <c r="B61" s="617"/>
      <c r="C61" s="530" t="s">
        <v>177</v>
      </c>
      <c r="D61" s="530"/>
      <c r="E61" s="379"/>
      <c r="F61" s="378"/>
      <c r="G61" s="378"/>
      <c r="H61" s="552"/>
      <c r="I61" s="552"/>
      <c r="J61" s="552"/>
      <c r="K61" s="552"/>
      <c r="L61" s="552"/>
      <c r="M61" s="552"/>
      <c r="N61" s="552"/>
      <c r="O61" s="552"/>
      <c r="P61" s="552"/>
      <c r="Q61" s="552"/>
      <c r="R61" s="378"/>
      <c r="S61" s="334"/>
    </row>
    <row r="62" spans="1:19" s="335" customFormat="1">
      <c r="A62" s="620"/>
      <c r="B62" s="618"/>
      <c r="C62" s="531" t="s">
        <v>176</v>
      </c>
      <c r="D62" s="531"/>
      <c r="E62" s="359"/>
      <c r="F62" s="360"/>
      <c r="G62" s="360"/>
      <c r="H62" s="553"/>
      <c r="I62" s="553"/>
      <c r="J62" s="553"/>
      <c r="K62" s="553"/>
      <c r="L62" s="553"/>
      <c r="M62" s="553"/>
      <c r="N62" s="553"/>
      <c r="O62" s="553"/>
      <c r="P62" s="553"/>
      <c r="Q62" s="553"/>
      <c r="R62" s="360"/>
      <c r="S62" s="334"/>
    </row>
    <row r="63" spans="1:19" s="335" customFormat="1">
      <c r="A63" s="620"/>
      <c r="B63" s="379"/>
      <c r="C63" s="530"/>
      <c r="D63" s="530"/>
      <c r="E63" s="379"/>
      <c r="F63" s="378"/>
      <c r="G63" s="378"/>
      <c r="H63" s="552"/>
      <c r="I63" s="552"/>
      <c r="J63" s="552"/>
      <c r="K63" s="552"/>
      <c r="L63" s="552"/>
      <c r="M63" s="552"/>
      <c r="N63" s="552"/>
      <c r="O63" s="552"/>
      <c r="P63" s="552"/>
      <c r="Q63" s="552"/>
      <c r="R63" s="378"/>
      <c r="S63" s="334"/>
    </row>
    <row r="64" spans="1:19" s="335" customFormat="1">
      <c r="A64" s="621"/>
      <c r="B64" s="359" t="s">
        <v>175</v>
      </c>
      <c r="C64" s="531" t="s">
        <v>174</v>
      </c>
      <c r="D64" s="531"/>
      <c r="E64" s="359"/>
      <c r="F64" s="360"/>
      <c r="G64" s="360"/>
      <c r="H64" s="553"/>
      <c r="I64" s="553"/>
      <c r="J64" s="553"/>
      <c r="K64" s="553"/>
      <c r="L64" s="553"/>
      <c r="M64" s="553"/>
      <c r="N64" s="553"/>
      <c r="O64" s="553"/>
      <c r="P64" s="553"/>
      <c r="Q64" s="553"/>
      <c r="R64" s="360"/>
      <c r="S64" s="334"/>
    </row>
    <row r="65" spans="1:19" s="335" customFormat="1">
      <c r="A65" s="539"/>
      <c r="B65" s="359"/>
      <c r="C65" s="531"/>
      <c r="D65" s="531"/>
      <c r="E65" s="359"/>
      <c r="F65" s="360"/>
      <c r="G65" s="360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360"/>
      <c r="S65" s="334"/>
    </row>
    <row r="66" spans="1:19" s="543" customFormat="1">
      <c r="A66" s="540"/>
      <c r="B66" s="480"/>
      <c r="C66" s="541"/>
      <c r="D66" s="541"/>
      <c r="E66" s="480"/>
      <c r="F66" s="481">
        <f>SUM(F6:F64)</f>
        <v>1286000</v>
      </c>
      <c r="G66" s="481">
        <f>SUM(G6:G64)</f>
        <v>1286000</v>
      </c>
      <c r="H66" s="565">
        <f>SUM(G6:G64)</f>
        <v>1286000</v>
      </c>
      <c r="I66" s="565">
        <f>SUM(I6:I64)</f>
        <v>1286000</v>
      </c>
      <c r="J66" s="565">
        <f>SUM(J6:J64)</f>
        <v>1286000</v>
      </c>
      <c r="K66" s="565">
        <f>SUM(K6:K64)</f>
        <v>1286000</v>
      </c>
      <c r="L66" s="565">
        <f>SUM(L6:L64)</f>
        <v>2320000</v>
      </c>
      <c r="M66" s="565">
        <f>SUM(M6:M64)</f>
        <v>2320000</v>
      </c>
      <c r="N66" s="565">
        <f>SUM(N7:N64)</f>
        <v>2320000</v>
      </c>
      <c r="O66" s="565">
        <f>SUM(O6:O64)</f>
        <v>2320000</v>
      </c>
      <c r="P66" s="565">
        <f>SUM(P6:P64)</f>
        <v>2320000</v>
      </c>
      <c r="Q66" s="565">
        <f>SUM(Q6:Q64)</f>
        <v>2320000</v>
      </c>
      <c r="R66" s="481">
        <f>SUM(H66:Q66,G66,F66)</f>
        <v>21636000</v>
      </c>
      <c r="S66" s="542"/>
    </row>
    <row r="67" spans="1:19" s="335" customFormat="1">
      <c r="A67" s="379"/>
      <c r="B67" s="379"/>
      <c r="C67" s="530"/>
      <c r="D67" s="530"/>
      <c r="E67" s="379"/>
      <c r="F67" s="378"/>
      <c r="G67" s="378"/>
      <c r="H67" s="378"/>
      <c r="I67" s="378"/>
      <c r="J67" s="378"/>
      <c r="K67" s="378"/>
      <c r="L67" s="378"/>
      <c r="M67" s="378"/>
      <c r="N67" s="378"/>
      <c r="O67" s="378"/>
      <c r="P67" s="378"/>
      <c r="Q67" s="378"/>
      <c r="R67" s="378"/>
      <c r="S67" s="334"/>
    </row>
    <row r="68" spans="1:19" s="335" customFormat="1" ht="24.75" customHeight="1">
      <c r="A68" s="381" t="s">
        <v>169</v>
      </c>
      <c r="B68" s="381" t="s">
        <v>169</v>
      </c>
      <c r="C68" s="535" t="s">
        <v>169</v>
      </c>
      <c r="D68" s="535"/>
      <c r="E68" s="381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34"/>
    </row>
    <row r="69" spans="1:19" s="335" customFormat="1">
      <c r="A69" s="614"/>
      <c r="B69" s="614"/>
      <c r="C69" s="614"/>
      <c r="D69" s="467"/>
      <c r="E69" s="614" t="s">
        <v>147</v>
      </c>
      <c r="F69" s="609">
        <v>43831</v>
      </c>
      <c r="G69" s="605">
        <v>43862</v>
      </c>
      <c r="H69" s="609">
        <v>43891</v>
      </c>
      <c r="I69" s="605">
        <v>43922</v>
      </c>
      <c r="J69" s="609">
        <v>43952</v>
      </c>
      <c r="K69" s="605">
        <v>43983</v>
      </c>
      <c r="L69" s="609">
        <v>44013</v>
      </c>
      <c r="M69" s="605">
        <v>44044</v>
      </c>
      <c r="N69" s="609">
        <v>44075</v>
      </c>
      <c r="O69" s="605">
        <v>44105</v>
      </c>
      <c r="P69" s="606">
        <v>44136</v>
      </c>
      <c r="Q69" s="605">
        <v>44166</v>
      </c>
      <c r="R69" s="608" t="s">
        <v>112</v>
      </c>
    </row>
    <row r="70" spans="1:19" s="335" customFormat="1" ht="12" customHeight="1">
      <c r="A70" s="615"/>
      <c r="B70" s="615"/>
      <c r="C70" s="615"/>
      <c r="D70" s="468"/>
      <c r="E70" s="615"/>
      <c r="F70" s="609"/>
      <c r="G70" s="605"/>
      <c r="H70" s="609"/>
      <c r="I70" s="605"/>
      <c r="J70" s="609"/>
      <c r="K70" s="605"/>
      <c r="L70" s="609"/>
      <c r="M70" s="605"/>
      <c r="N70" s="609"/>
      <c r="O70" s="605"/>
      <c r="P70" s="607"/>
      <c r="Q70" s="605"/>
      <c r="R70" s="608"/>
    </row>
    <row r="71" spans="1:19" s="335" customFormat="1">
      <c r="A71" s="359"/>
      <c r="B71" s="359"/>
      <c r="C71" s="359"/>
      <c r="D71" s="359"/>
      <c r="E71" s="359"/>
      <c r="F71" s="360"/>
      <c r="G71" s="360"/>
      <c r="H71" s="360"/>
      <c r="I71" s="360"/>
      <c r="J71" s="360"/>
      <c r="K71" s="360"/>
      <c r="L71" s="564"/>
      <c r="M71" s="564"/>
      <c r="N71" s="564"/>
      <c r="O71" s="564"/>
      <c r="P71" s="564"/>
      <c r="Q71" s="564"/>
      <c r="R71" s="360"/>
      <c r="S71" s="334"/>
    </row>
    <row r="72" spans="1:19" s="335" customFormat="1">
      <c r="A72" s="379"/>
      <c r="B72" s="379" t="s">
        <v>134</v>
      </c>
      <c r="C72" s="530" t="s">
        <v>134</v>
      </c>
      <c r="D72" s="530"/>
      <c r="E72" s="379"/>
      <c r="F72" s="378"/>
      <c r="G72" s="378"/>
      <c r="H72" s="378"/>
      <c r="I72" s="378"/>
      <c r="J72" s="378"/>
      <c r="K72" s="378"/>
      <c r="L72" s="552"/>
      <c r="M72" s="552"/>
      <c r="N72" s="552"/>
      <c r="O72" s="552"/>
      <c r="P72" s="552"/>
      <c r="Q72" s="552"/>
      <c r="R72" s="378"/>
      <c r="S72" s="334"/>
    </row>
    <row r="73" spans="1:19" s="335" customFormat="1">
      <c r="A73" s="359"/>
      <c r="B73" s="377" t="s">
        <v>159</v>
      </c>
      <c r="C73" s="531" t="s">
        <v>159</v>
      </c>
      <c r="D73" s="531"/>
      <c r="E73" s="359"/>
      <c r="F73" s="360"/>
      <c r="G73" s="360"/>
      <c r="H73" s="360"/>
      <c r="I73" s="360"/>
      <c r="J73" s="360"/>
      <c r="K73" s="360"/>
      <c r="L73" s="553"/>
      <c r="M73" s="553"/>
      <c r="N73" s="553"/>
      <c r="O73" s="553"/>
      <c r="P73" s="553"/>
      <c r="Q73" s="553"/>
      <c r="R73" s="360"/>
      <c r="S73" s="334"/>
    </row>
    <row r="74" spans="1:19" s="335" customFormat="1">
      <c r="A74" s="379"/>
      <c r="B74" s="377" t="s">
        <v>160</v>
      </c>
      <c r="C74" s="531" t="s">
        <v>160</v>
      </c>
      <c r="D74" s="531"/>
      <c r="E74" s="379"/>
      <c r="F74" s="378">
        <v>500000</v>
      </c>
      <c r="G74" s="378">
        <v>500000</v>
      </c>
      <c r="H74" s="378">
        <v>500000</v>
      </c>
      <c r="I74" s="378">
        <v>500000</v>
      </c>
      <c r="J74" s="378">
        <v>500000</v>
      </c>
      <c r="K74" s="378">
        <v>500000</v>
      </c>
      <c r="L74" s="552">
        <v>1000000</v>
      </c>
      <c r="M74" s="552">
        <v>1000000</v>
      </c>
      <c r="N74" s="552">
        <v>1000000</v>
      </c>
      <c r="O74" s="552">
        <v>1000000</v>
      </c>
      <c r="P74" s="552">
        <v>1000000</v>
      </c>
      <c r="Q74" s="552">
        <v>1000000</v>
      </c>
      <c r="R74" s="378"/>
      <c r="S74" s="334"/>
    </row>
    <row r="75" spans="1:19" s="335" customFormat="1">
      <c r="A75" s="379"/>
      <c r="B75" s="377"/>
      <c r="C75" s="531"/>
      <c r="D75" s="531"/>
      <c r="E75" s="379"/>
      <c r="F75" s="378"/>
      <c r="G75" s="378"/>
      <c r="H75" s="378"/>
      <c r="I75" s="378"/>
      <c r="J75" s="378"/>
      <c r="K75" s="378"/>
      <c r="L75" s="552"/>
      <c r="M75" s="552"/>
      <c r="N75" s="552"/>
      <c r="O75" s="552"/>
      <c r="P75" s="552"/>
      <c r="Q75" s="552"/>
      <c r="R75" s="378"/>
      <c r="S75" s="334"/>
    </row>
    <row r="76" spans="1:19" s="335" customFormat="1">
      <c r="A76" s="359"/>
      <c r="B76" s="616" t="s">
        <v>272</v>
      </c>
      <c r="C76" s="531"/>
      <c r="D76" s="531"/>
      <c r="E76" s="359"/>
      <c r="F76" s="360"/>
      <c r="G76" s="360"/>
      <c r="H76" s="360"/>
      <c r="I76" s="360"/>
      <c r="J76" s="360"/>
      <c r="K76" s="360"/>
      <c r="L76" s="553"/>
      <c r="M76" s="553"/>
      <c r="N76" s="553"/>
      <c r="O76" s="553"/>
      <c r="P76" s="553"/>
      <c r="Q76" s="553"/>
      <c r="R76" s="360"/>
      <c r="S76" s="334"/>
    </row>
    <row r="77" spans="1:19" s="335" customFormat="1">
      <c r="A77" s="379"/>
      <c r="B77" s="617"/>
      <c r="C77" s="531"/>
      <c r="D77" s="531"/>
      <c r="E77" s="379"/>
      <c r="F77" s="378">
        <v>600000</v>
      </c>
      <c r="G77" s="378">
        <v>600000</v>
      </c>
      <c r="H77" s="378">
        <v>600000</v>
      </c>
      <c r="I77" s="378">
        <v>600000</v>
      </c>
      <c r="J77" s="378">
        <v>600000</v>
      </c>
      <c r="K77" s="378">
        <v>600000</v>
      </c>
      <c r="L77" s="552">
        <v>1200000</v>
      </c>
      <c r="M77" s="552">
        <v>1200000</v>
      </c>
      <c r="N77" s="552">
        <v>1200000</v>
      </c>
      <c r="O77" s="552">
        <v>1200000</v>
      </c>
      <c r="P77" s="552">
        <v>1200000</v>
      </c>
      <c r="Q77" s="552">
        <v>1200000</v>
      </c>
      <c r="R77" s="378"/>
      <c r="S77" s="334"/>
    </row>
    <row r="78" spans="1:19" s="335" customFormat="1">
      <c r="A78" s="359"/>
      <c r="B78" s="618"/>
      <c r="C78" s="531"/>
      <c r="D78" s="531"/>
      <c r="E78" s="359"/>
      <c r="F78" s="360"/>
      <c r="G78" s="360"/>
      <c r="H78" s="360"/>
      <c r="I78" s="360"/>
      <c r="J78" s="360"/>
      <c r="K78" s="360"/>
      <c r="L78" s="553"/>
      <c r="M78" s="553"/>
      <c r="N78" s="553"/>
      <c r="O78" s="553"/>
      <c r="P78" s="553"/>
      <c r="Q78" s="553"/>
      <c r="R78" s="360"/>
      <c r="S78" s="334"/>
    </row>
    <row r="79" spans="1:19" s="335" customFormat="1">
      <c r="A79" s="379"/>
      <c r="B79" s="377"/>
      <c r="C79" s="531"/>
      <c r="D79" s="531"/>
      <c r="E79" s="379"/>
      <c r="F79" s="378"/>
      <c r="G79" s="378"/>
      <c r="H79" s="378"/>
      <c r="I79" s="378"/>
      <c r="J79" s="378"/>
      <c r="K79" s="378"/>
      <c r="L79" s="552"/>
      <c r="M79" s="552"/>
      <c r="N79" s="552"/>
      <c r="O79" s="552"/>
      <c r="P79" s="552"/>
      <c r="Q79" s="552"/>
      <c r="R79" s="378"/>
      <c r="S79" s="334"/>
    </row>
    <row r="80" spans="1:19" s="335" customFormat="1">
      <c r="A80" s="359"/>
      <c r="B80" s="359"/>
      <c r="C80" s="531"/>
      <c r="D80" s="531"/>
      <c r="E80" s="359"/>
      <c r="F80" s="360"/>
      <c r="G80" s="360"/>
      <c r="H80" s="360"/>
      <c r="I80" s="360"/>
      <c r="J80" s="360"/>
      <c r="K80" s="360"/>
      <c r="L80" s="553"/>
      <c r="M80" s="553"/>
      <c r="N80" s="553"/>
      <c r="O80" s="553"/>
      <c r="P80" s="553"/>
      <c r="Q80" s="553"/>
      <c r="R80" s="360"/>
      <c r="S80" s="334"/>
    </row>
    <row r="81" spans="1:19" s="335" customFormat="1">
      <c r="A81" s="379"/>
      <c r="B81" s="377"/>
      <c r="C81" s="531"/>
      <c r="D81" s="531"/>
      <c r="E81" s="379"/>
      <c r="F81" s="378"/>
      <c r="G81" s="378"/>
      <c r="H81" s="378"/>
      <c r="I81" s="378"/>
      <c r="J81" s="378"/>
      <c r="K81" s="378"/>
      <c r="L81" s="552"/>
      <c r="M81" s="552"/>
      <c r="N81" s="552"/>
      <c r="O81" s="552"/>
      <c r="P81" s="552"/>
      <c r="Q81" s="552"/>
      <c r="R81" s="378"/>
      <c r="S81" s="334"/>
    </row>
    <row r="82" spans="1:19" s="335" customFormat="1">
      <c r="A82" s="359"/>
      <c r="B82" s="359"/>
      <c r="C82" s="531"/>
      <c r="D82" s="531"/>
      <c r="E82" s="359"/>
      <c r="F82" s="360"/>
      <c r="G82" s="360"/>
      <c r="H82" s="360"/>
      <c r="I82" s="360"/>
      <c r="J82" s="360"/>
      <c r="K82" s="360"/>
      <c r="L82" s="553"/>
      <c r="M82" s="553"/>
      <c r="N82" s="553"/>
      <c r="O82" s="553"/>
      <c r="P82" s="553"/>
      <c r="Q82" s="553"/>
      <c r="R82" s="360"/>
      <c r="S82" s="334"/>
    </row>
    <row r="83" spans="1:19" s="335" customFormat="1">
      <c r="A83" s="616" t="s">
        <v>116</v>
      </c>
      <c r="B83" s="616" t="s">
        <v>116</v>
      </c>
      <c r="C83" s="531"/>
      <c r="D83" s="616"/>
      <c r="E83" s="359"/>
      <c r="F83" s="360"/>
      <c r="G83" s="360"/>
      <c r="H83" s="360"/>
      <c r="I83" s="360"/>
      <c r="J83" s="360"/>
      <c r="K83" s="360"/>
      <c r="L83" s="553"/>
      <c r="M83" s="553"/>
      <c r="N83" s="553"/>
      <c r="O83" s="553"/>
      <c r="P83" s="553"/>
      <c r="Q83" s="553"/>
      <c r="R83" s="360"/>
      <c r="S83" s="334"/>
    </row>
    <row r="84" spans="1:19" s="335" customFormat="1">
      <c r="A84" s="617"/>
      <c r="B84" s="617"/>
      <c r="C84" s="530"/>
      <c r="D84" s="617"/>
      <c r="E84" s="379"/>
      <c r="F84" s="378"/>
      <c r="G84" s="378"/>
      <c r="H84" s="378"/>
      <c r="I84" s="378"/>
      <c r="J84" s="378"/>
      <c r="K84" s="378"/>
      <c r="L84" s="552"/>
      <c r="M84" s="552"/>
      <c r="N84" s="552"/>
      <c r="O84" s="552"/>
      <c r="P84" s="552"/>
      <c r="Q84" s="552"/>
      <c r="R84" s="378"/>
      <c r="S84" s="334"/>
    </row>
    <row r="85" spans="1:19" s="335" customFormat="1">
      <c r="A85" s="617"/>
      <c r="B85" s="617"/>
      <c r="C85" s="531"/>
      <c r="D85" s="617"/>
      <c r="E85" s="359"/>
      <c r="F85" s="360">
        <v>500000</v>
      </c>
      <c r="G85" s="360">
        <v>500000</v>
      </c>
      <c r="H85" s="360">
        <v>500000</v>
      </c>
      <c r="I85" s="360">
        <v>500000</v>
      </c>
      <c r="J85" s="360">
        <v>500000</v>
      </c>
      <c r="K85" s="360">
        <v>500000</v>
      </c>
      <c r="L85" s="553">
        <v>1000000</v>
      </c>
      <c r="M85" s="553">
        <v>1000000</v>
      </c>
      <c r="N85" s="553">
        <v>1000000</v>
      </c>
      <c r="O85" s="553">
        <v>1000000</v>
      </c>
      <c r="P85" s="553">
        <v>1000000</v>
      </c>
      <c r="Q85" s="553">
        <v>1000000</v>
      </c>
      <c r="R85" s="360"/>
      <c r="S85" s="334"/>
    </row>
    <row r="86" spans="1:19" s="335" customFormat="1">
      <c r="A86" s="617"/>
      <c r="B86" s="617"/>
      <c r="C86" s="530"/>
      <c r="D86" s="617"/>
      <c r="E86" s="379"/>
      <c r="F86" s="378"/>
      <c r="G86" s="378"/>
      <c r="H86" s="378"/>
      <c r="I86" s="378"/>
      <c r="J86" s="378"/>
      <c r="K86" s="378"/>
      <c r="L86" s="552"/>
      <c r="M86" s="552"/>
      <c r="N86" s="552"/>
      <c r="O86" s="552"/>
      <c r="P86" s="552"/>
      <c r="Q86" s="552"/>
      <c r="R86" s="378"/>
      <c r="S86" s="334"/>
    </row>
    <row r="87" spans="1:19" s="335" customFormat="1">
      <c r="A87" s="617"/>
      <c r="B87" s="617"/>
      <c r="C87" s="531"/>
      <c r="D87" s="617"/>
      <c r="E87" s="359"/>
      <c r="F87" s="360"/>
      <c r="G87" s="360"/>
      <c r="H87" s="360"/>
      <c r="I87" s="360"/>
      <c r="J87" s="360"/>
      <c r="K87" s="360"/>
      <c r="L87" s="553"/>
      <c r="M87" s="553"/>
      <c r="N87" s="553"/>
      <c r="O87" s="553"/>
      <c r="P87" s="553"/>
      <c r="Q87" s="553"/>
      <c r="R87" s="360"/>
      <c r="S87" s="334"/>
    </row>
    <row r="88" spans="1:19" s="335" customFormat="1">
      <c r="A88" s="617"/>
      <c r="B88" s="618"/>
      <c r="C88" s="530"/>
      <c r="D88" s="618"/>
      <c r="E88" s="379"/>
      <c r="F88" s="378"/>
      <c r="G88" s="378"/>
      <c r="H88" s="378"/>
      <c r="I88" s="378"/>
      <c r="J88" s="378"/>
      <c r="K88" s="378"/>
      <c r="L88" s="552"/>
      <c r="M88" s="552"/>
      <c r="N88" s="552"/>
      <c r="O88" s="552"/>
      <c r="P88" s="552"/>
      <c r="Q88" s="552"/>
      <c r="R88" s="378"/>
      <c r="S88" s="334"/>
    </row>
    <row r="89" spans="1:19" s="335" customFormat="1">
      <c r="A89" s="617"/>
      <c r="B89" s="359"/>
      <c r="C89" s="531"/>
      <c r="D89" s="531"/>
      <c r="E89" s="359"/>
      <c r="F89" s="360"/>
      <c r="G89" s="360"/>
      <c r="H89" s="360"/>
      <c r="I89" s="360"/>
      <c r="J89" s="360"/>
      <c r="K89" s="360"/>
      <c r="L89" s="553"/>
      <c r="M89" s="553"/>
      <c r="N89" s="553"/>
      <c r="O89" s="553"/>
      <c r="P89" s="553"/>
      <c r="Q89" s="553"/>
      <c r="R89" s="360"/>
      <c r="S89" s="334"/>
    </row>
    <row r="90" spans="1:19" s="335" customFormat="1">
      <c r="A90" s="617"/>
      <c r="B90" s="619" t="s">
        <v>199</v>
      </c>
      <c r="C90" s="530"/>
      <c r="D90" s="619"/>
      <c r="E90" s="379"/>
      <c r="F90" s="378"/>
      <c r="G90" s="378"/>
      <c r="H90" s="378"/>
      <c r="I90" s="378"/>
      <c r="J90" s="378"/>
      <c r="K90" s="378"/>
      <c r="L90" s="552"/>
      <c r="M90" s="552"/>
      <c r="N90" s="552"/>
      <c r="O90" s="552"/>
      <c r="P90" s="552"/>
      <c r="Q90" s="552"/>
      <c r="R90" s="378"/>
      <c r="S90" s="334"/>
    </row>
    <row r="91" spans="1:19" s="335" customFormat="1">
      <c r="A91" s="617"/>
      <c r="B91" s="620"/>
      <c r="C91" s="531"/>
      <c r="D91" s="620"/>
      <c r="E91" s="359"/>
      <c r="F91" s="360"/>
      <c r="G91" s="360"/>
      <c r="H91" s="360"/>
      <c r="I91" s="360"/>
      <c r="J91" s="360"/>
      <c r="K91" s="360"/>
      <c r="L91" s="553"/>
      <c r="M91" s="553"/>
      <c r="N91" s="553"/>
      <c r="O91" s="553"/>
      <c r="P91" s="553"/>
      <c r="Q91" s="553"/>
      <c r="R91" s="360"/>
      <c r="S91" s="334"/>
    </row>
    <row r="92" spans="1:19" s="335" customFormat="1">
      <c r="A92" s="617"/>
      <c r="B92" s="620"/>
      <c r="C92" s="531"/>
      <c r="D92" s="620"/>
      <c r="E92" s="359"/>
      <c r="F92" s="360"/>
      <c r="G92" s="360"/>
      <c r="H92" s="360"/>
      <c r="I92" s="360"/>
      <c r="J92" s="360"/>
      <c r="K92" s="360"/>
      <c r="L92" s="553"/>
      <c r="M92" s="553"/>
      <c r="N92" s="553"/>
      <c r="O92" s="553"/>
      <c r="P92" s="553"/>
      <c r="Q92" s="553"/>
      <c r="R92" s="360"/>
      <c r="S92" s="334"/>
    </row>
    <row r="93" spans="1:19" s="335" customFormat="1">
      <c r="A93" s="617"/>
      <c r="B93" s="620"/>
      <c r="C93" s="531"/>
      <c r="D93" s="620"/>
      <c r="E93" s="359"/>
      <c r="F93" s="360"/>
      <c r="G93" s="360"/>
      <c r="H93" s="360"/>
      <c r="I93" s="360"/>
      <c r="J93" s="360"/>
      <c r="K93" s="360"/>
      <c r="L93" s="553"/>
      <c r="M93" s="553"/>
      <c r="N93" s="553"/>
      <c r="O93" s="553"/>
      <c r="P93" s="553"/>
      <c r="Q93" s="553"/>
      <c r="R93" s="360"/>
      <c r="S93" s="334"/>
    </row>
    <row r="94" spans="1:19" s="335" customFormat="1">
      <c r="A94" s="617"/>
      <c r="B94" s="620"/>
      <c r="C94" s="530"/>
      <c r="D94" s="620"/>
      <c r="E94" s="379"/>
      <c r="F94" s="378">
        <v>1000000</v>
      </c>
      <c r="G94" s="378">
        <v>1000000</v>
      </c>
      <c r="H94" s="378">
        <v>1000000</v>
      </c>
      <c r="I94" s="378">
        <v>1000000</v>
      </c>
      <c r="J94" s="378">
        <v>1000000</v>
      </c>
      <c r="K94" s="378">
        <v>1000000</v>
      </c>
      <c r="L94" s="552">
        <v>1000000</v>
      </c>
      <c r="M94" s="552">
        <v>1000000</v>
      </c>
      <c r="N94" s="552">
        <v>1000000</v>
      </c>
      <c r="O94" s="552">
        <v>1000000</v>
      </c>
      <c r="P94" s="552">
        <v>1000000</v>
      </c>
      <c r="Q94" s="552">
        <v>1000000</v>
      </c>
      <c r="R94" s="378"/>
      <c r="S94" s="334"/>
    </row>
    <row r="95" spans="1:19" s="335" customFormat="1">
      <c r="A95" s="617"/>
      <c r="B95" s="620"/>
      <c r="C95" s="531"/>
      <c r="D95" s="620"/>
      <c r="E95" s="359"/>
      <c r="F95" s="360"/>
      <c r="G95" s="360"/>
      <c r="H95" s="360"/>
      <c r="I95" s="360"/>
      <c r="J95" s="360"/>
      <c r="K95" s="360"/>
      <c r="L95" s="553"/>
      <c r="M95" s="553"/>
      <c r="N95" s="553"/>
      <c r="O95" s="553"/>
      <c r="P95" s="553"/>
      <c r="Q95" s="553"/>
      <c r="R95" s="360"/>
      <c r="S95" s="334"/>
    </row>
    <row r="96" spans="1:19" s="335" customFormat="1">
      <c r="A96" s="617"/>
      <c r="B96" s="620"/>
      <c r="C96" s="536"/>
      <c r="D96" s="620"/>
      <c r="E96" s="379"/>
      <c r="F96" s="378"/>
      <c r="G96" s="378"/>
      <c r="H96" s="378"/>
      <c r="I96" s="378"/>
      <c r="J96" s="378"/>
      <c r="K96" s="378"/>
      <c r="L96" s="552"/>
      <c r="M96" s="552"/>
      <c r="N96" s="552"/>
      <c r="O96" s="552"/>
      <c r="P96" s="552"/>
      <c r="Q96" s="552"/>
      <c r="R96" s="378"/>
      <c r="S96" s="334"/>
    </row>
    <row r="97" spans="1:19" s="335" customFormat="1">
      <c r="A97" s="617"/>
      <c r="B97" s="621"/>
      <c r="C97" s="537"/>
      <c r="D97" s="621"/>
      <c r="E97" s="359"/>
      <c r="F97" s="360"/>
      <c r="G97" s="360"/>
      <c r="H97" s="360"/>
      <c r="I97" s="360"/>
      <c r="J97" s="360"/>
      <c r="K97" s="360"/>
      <c r="L97" s="553"/>
      <c r="M97" s="553"/>
      <c r="N97" s="553"/>
      <c r="O97" s="553"/>
      <c r="P97" s="553"/>
      <c r="Q97" s="553"/>
      <c r="R97" s="360"/>
      <c r="S97" s="334"/>
    </row>
    <row r="98" spans="1:19" s="335" customFormat="1">
      <c r="A98" s="617"/>
      <c r="B98" s="379"/>
      <c r="C98" s="530"/>
      <c r="D98" s="530"/>
      <c r="E98" s="379"/>
      <c r="F98" s="378"/>
      <c r="G98" s="378"/>
      <c r="H98" s="378"/>
      <c r="I98" s="378"/>
      <c r="J98" s="378"/>
      <c r="K98" s="378"/>
      <c r="L98" s="552"/>
      <c r="M98" s="552"/>
      <c r="N98" s="552"/>
      <c r="O98" s="552"/>
      <c r="P98" s="552"/>
      <c r="Q98" s="552"/>
      <c r="R98" s="378"/>
      <c r="S98" s="334"/>
    </row>
    <row r="99" spans="1:19" s="335" customFormat="1" ht="15" customHeight="1">
      <c r="A99" s="617"/>
      <c r="B99" s="622" t="s">
        <v>198</v>
      </c>
      <c r="C99" s="531"/>
      <c r="D99" s="531"/>
      <c r="E99" s="379"/>
      <c r="F99" s="360">
        <v>400000</v>
      </c>
      <c r="G99" s="360">
        <v>400000</v>
      </c>
      <c r="H99" s="360">
        <v>400000</v>
      </c>
      <c r="I99" s="360">
        <v>400000</v>
      </c>
      <c r="J99" s="360">
        <v>400000</v>
      </c>
      <c r="K99" s="360">
        <v>400000</v>
      </c>
      <c r="L99" s="553">
        <v>800000</v>
      </c>
      <c r="M99" s="553">
        <v>800000</v>
      </c>
      <c r="N99" s="553">
        <v>800000</v>
      </c>
      <c r="O99" s="553">
        <v>800000</v>
      </c>
      <c r="P99" s="553">
        <v>800000</v>
      </c>
      <c r="Q99" s="553">
        <v>800000</v>
      </c>
      <c r="R99" s="360"/>
      <c r="S99" s="334"/>
    </row>
    <row r="100" spans="1:19" s="335" customFormat="1">
      <c r="A100" s="617"/>
      <c r="B100" s="623"/>
      <c r="C100" s="530"/>
      <c r="D100" s="530"/>
      <c r="E100" s="379"/>
      <c r="F100" s="378">
        <v>200000</v>
      </c>
      <c r="G100" s="378">
        <v>200000</v>
      </c>
      <c r="H100" s="378">
        <v>200000</v>
      </c>
      <c r="I100" s="378">
        <v>200000</v>
      </c>
      <c r="J100" s="378">
        <v>200000</v>
      </c>
      <c r="K100" s="378">
        <v>200000</v>
      </c>
      <c r="L100" s="552">
        <v>250000</v>
      </c>
      <c r="M100" s="552">
        <v>250000</v>
      </c>
      <c r="N100" s="552">
        <v>250000</v>
      </c>
      <c r="O100" s="552">
        <v>250000</v>
      </c>
      <c r="P100" s="552">
        <v>250000</v>
      </c>
      <c r="Q100" s="552">
        <v>250000</v>
      </c>
      <c r="R100" s="378"/>
      <c r="S100" s="334"/>
    </row>
    <row r="101" spans="1:19" s="335" customFormat="1" ht="14.05" customHeight="1">
      <c r="A101" s="617"/>
      <c r="B101" s="623"/>
      <c r="C101" s="538"/>
      <c r="D101" s="532"/>
      <c r="E101" s="379"/>
      <c r="F101" s="360">
        <v>400000</v>
      </c>
      <c r="G101" s="360">
        <v>400000</v>
      </c>
      <c r="H101" s="360">
        <v>400000</v>
      </c>
      <c r="I101" s="360">
        <v>400000</v>
      </c>
      <c r="J101" s="360">
        <v>400000</v>
      </c>
      <c r="K101" s="360">
        <v>400000</v>
      </c>
      <c r="L101" s="553">
        <v>800000</v>
      </c>
      <c r="M101" s="553">
        <v>800000</v>
      </c>
      <c r="N101" s="553">
        <v>800000</v>
      </c>
      <c r="O101" s="553">
        <v>800000</v>
      </c>
      <c r="P101" s="553">
        <v>800000</v>
      </c>
      <c r="Q101" s="553">
        <v>800000</v>
      </c>
      <c r="R101" s="360"/>
      <c r="S101" s="334"/>
    </row>
    <row r="102" spans="1:19" s="335" customFormat="1">
      <c r="A102" s="617"/>
      <c r="B102" s="623"/>
      <c r="C102" s="533"/>
      <c r="D102" s="533"/>
      <c r="E102" s="379"/>
      <c r="F102" s="360">
        <v>100000</v>
      </c>
      <c r="G102" s="360">
        <v>100000</v>
      </c>
      <c r="H102" s="360">
        <v>100000</v>
      </c>
      <c r="I102" s="360">
        <v>100000</v>
      </c>
      <c r="J102" s="360">
        <v>100000</v>
      </c>
      <c r="K102" s="360">
        <v>100000</v>
      </c>
      <c r="L102" s="553">
        <v>150000</v>
      </c>
      <c r="M102" s="553">
        <v>150000</v>
      </c>
      <c r="N102" s="553">
        <v>150000</v>
      </c>
      <c r="O102" s="553">
        <v>150000</v>
      </c>
      <c r="P102" s="553">
        <v>150000</v>
      </c>
      <c r="Q102" s="553">
        <v>150000</v>
      </c>
      <c r="R102" s="360"/>
      <c r="S102" s="334"/>
    </row>
    <row r="103" spans="1:19" s="335" customFormat="1">
      <c r="A103" s="617"/>
      <c r="B103" s="623"/>
      <c r="C103" s="534"/>
      <c r="D103" s="534"/>
      <c r="E103" s="379"/>
      <c r="F103" s="360">
        <v>300000</v>
      </c>
      <c r="G103" s="360">
        <v>300000</v>
      </c>
      <c r="H103" s="360">
        <v>300000</v>
      </c>
      <c r="I103" s="360">
        <v>300000</v>
      </c>
      <c r="J103" s="360">
        <v>300000</v>
      </c>
      <c r="K103" s="360">
        <v>300000</v>
      </c>
      <c r="L103" s="553">
        <v>600000</v>
      </c>
      <c r="M103" s="553">
        <v>600000</v>
      </c>
      <c r="N103" s="553">
        <v>600000</v>
      </c>
      <c r="O103" s="553">
        <v>600000</v>
      </c>
      <c r="P103" s="553">
        <v>600000</v>
      </c>
      <c r="Q103" s="553">
        <v>600000</v>
      </c>
      <c r="R103" s="360"/>
      <c r="S103" s="334"/>
    </row>
    <row r="104" spans="1:19" s="335" customFormat="1">
      <c r="A104" s="617"/>
      <c r="B104" s="623"/>
      <c r="C104" s="534"/>
      <c r="D104" s="534"/>
      <c r="E104" s="379"/>
      <c r="F104" s="360">
        <v>100000</v>
      </c>
      <c r="G104" s="360">
        <v>100000</v>
      </c>
      <c r="H104" s="360">
        <v>100000</v>
      </c>
      <c r="I104" s="360">
        <v>100000</v>
      </c>
      <c r="J104" s="360">
        <v>100000</v>
      </c>
      <c r="K104" s="360">
        <v>100000</v>
      </c>
      <c r="L104" s="553">
        <v>200000</v>
      </c>
      <c r="M104" s="553">
        <v>200000</v>
      </c>
      <c r="N104" s="553">
        <v>200000</v>
      </c>
      <c r="O104" s="553">
        <v>200000</v>
      </c>
      <c r="P104" s="553">
        <v>200000</v>
      </c>
      <c r="Q104" s="553">
        <v>200000</v>
      </c>
      <c r="R104" s="360"/>
      <c r="S104" s="334"/>
    </row>
    <row r="105" spans="1:19" s="335" customFormat="1">
      <c r="A105" s="617"/>
      <c r="B105" s="623"/>
      <c r="C105" s="534"/>
      <c r="D105" s="534"/>
      <c r="E105" s="379"/>
      <c r="F105" s="378">
        <v>80000</v>
      </c>
      <c r="G105" s="378">
        <v>80000</v>
      </c>
      <c r="H105" s="378">
        <v>80000</v>
      </c>
      <c r="I105" s="378">
        <v>80000</v>
      </c>
      <c r="J105" s="378">
        <v>80000</v>
      </c>
      <c r="K105" s="378">
        <v>80000</v>
      </c>
      <c r="L105" s="552">
        <v>160000</v>
      </c>
      <c r="M105" s="552">
        <v>160000</v>
      </c>
      <c r="N105" s="552">
        <v>160000</v>
      </c>
      <c r="O105" s="552">
        <v>160000</v>
      </c>
      <c r="P105" s="552">
        <v>160000</v>
      </c>
      <c r="Q105" s="552">
        <v>160000</v>
      </c>
      <c r="R105" s="378"/>
      <c r="S105" s="334"/>
    </row>
    <row r="106" spans="1:19" s="335" customFormat="1">
      <c r="A106" s="617"/>
      <c r="B106" s="623"/>
      <c r="C106" s="534"/>
      <c r="D106" s="534"/>
      <c r="E106" s="379"/>
      <c r="F106" s="360">
        <v>280000</v>
      </c>
      <c r="G106" s="360">
        <v>280000</v>
      </c>
      <c r="H106" s="360">
        <v>280000</v>
      </c>
      <c r="I106" s="360">
        <v>280000</v>
      </c>
      <c r="J106" s="360">
        <v>280000</v>
      </c>
      <c r="K106" s="360">
        <v>280000</v>
      </c>
      <c r="L106" s="553">
        <v>550000</v>
      </c>
      <c r="M106" s="553">
        <v>550000</v>
      </c>
      <c r="N106" s="553">
        <v>550000</v>
      </c>
      <c r="O106" s="553">
        <v>550000</v>
      </c>
      <c r="P106" s="553">
        <v>550000</v>
      </c>
      <c r="Q106" s="553">
        <v>550000</v>
      </c>
      <c r="R106" s="360"/>
      <c r="S106" s="334"/>
    </row>
    <row r="107" spans="1:19" s="335" customFormat="1">
      <c r="A107" s="618"/>
      <c r="B107" s="624"/>
      <c r="C107" s="531"/>
      <c r="D107" s="531"/>
      <c r="E107" s="379"/>
      <c r="F107" s="378">
        <v>150000</v>
      </c>
      <c r="G107" s="378">
        <v>150000</v>
      </c>
      <c r="H107" s="378">
        <v>150000</v>
      </c>
      <c r="I107" s="378">
        <v>150000</v>
      </c>
      <c r="J107" s="378">
        <v>150000</v>
      </c>
      <c r="K107" s="378">
        <v>150000</v>
      </c>
      <c r="L107" s="552">
        <v>300000</v>
      </c>
      <c r="M107" s="552">
        <v>300000</v>
      </c>
      <c r="N107" s="552">
        <v>300000</v>
      </c>
      <c r="O107" s="552">
        <v>300000</v>
      </c>
      <c r="P107" s="552">
        <v>300000</v>
      </c>
      <c r="Q107" s="552">
        <v>300000</v>
      </c>
      <c r="R107" s="378"/>
      <c r="S107" s="334"/>
    </row>
    <row r="108" spans="1:19" s="335" customFormat="1">
      <c r="A108" s="359"/>
      <c r="B108" s="359"/>
      <c r="C108" s="531"/>
      <c r="D108" s="531"/>
      <c r="E108" s="359"/>
      <c r="F108" s="360"/>
      <c r="G108" s="360"/>
      <c r="H108" s="553"/>
      <c r="I108" s="553"/>
      <c r="J108" s="553"/>
      <c r="K108" s="553"/>
      <c r="L108" s="553"/>
      <c r="M108" s="553"/>
      <c r="N108" s="553"/>
      <c r="O108" s="553"/>
      <c r="P108" s="553"/>
      <c r="Q108" s="553"/>
      <c r="R108" s="360"/>
      <c r="S108" s="334"/>
    </row>
    <row r="109" spans="1:19" s="335" customFormat="1">
      <c r="A109" s="619" t="s">
        <v>197</v>
      </c>
      <c r="B109" s="619" t="s">
        <v>196</v>
      </c>
      <c r="C109" s="530" t="s">
        <v>195</v>
      </c>
      <c r="D109" s="530"/>
      <c r="E109" s="379"/>
      <c r="F109" s="378"/>
      <c r="G109" s="378"/>
      <c r="H109" s="552"/>
      <c r="I109" s="552"/>
      <c r="J109" s="552"/>
      <c r="K109" s="552"/>
      <c r="L109" s="552"/>
      <c r="M109" s="552"/>
      <c r="N109" s="552"/>
      <c r="O109" s="552"/>
      <c r="P109" s="552"/>
      <c r="Q109" s="552"/>
      <c r="R109" s="378"/>
      <c r="S109" s="334"/>
    </row>
    <row r="110" spans="1:19" s="335" customFormat="1">
      <c r="A110" s="620"/>
      <c r="B110" s="620"/>
      <c r="C110" s="531" t="s">
        <v>194</v>
      </c>
      <c r="D110" s="531"/>
      <c r="E110" s="359"/>
      <c r="F110" s="360"/>
      <c r="G110" s="360"/>
      <c r="H110" s="553"/>
      <c r="I110" s="553"/>
      <c r="J110" s="553"/>
      <c r="K110" s="553"/>
      <c r="L110" s="553"/>
      <c r="M110" s="553"/>
      <c r="N110" s="553"/>
      <c r="O110" s="553"/>
      <c r="P110" s="553"/>
      <c r="Q110" s="553"/>
      <c r="R110" s="360"/>
      <c r="S110" s="334"/>
    </row>
    <row r="111" spans="1:19" s="335" customFormat="1">
      <c r="A111" s="620"/>
      <c r="B111" s="620"/>
      <c r="C111" s="530" t="s">
        <v>193</v>
      </c>
      <c r="D111" s="530"/>
      <c r="E111" s="379"/>
      <c r="F111" s="378"/>
      <c r="G111" s="378"/>
      <c r="H111" s="552"/>
      <c r="I111" s="552"/>
      <c r="J111" s="552"/>
      <c r="K111" s="552"/>
      <c r="L111" s="552"/>
      <c r="M111" s="552"/>
      <c r="N111" s="552"/>
      <c r="O111" s="552"/>
      <c r="P111" s="552"/>
      <c r="Q111" s="552"/>
      <c r="R111" s="378"/>
      <c r="S111" s="334"/>
    </row>
    <row r="112" spans="1:19" s="335" customFormat="1">
      <c r="A112" s="620"/>
      <c r="B112" s="620"/>
      <c r="C112" s="531" t="s">
        <v>192</v>
      </c>
      <c r="D112" s="531"/>
      <c r="E112" s="359"/>
      <c r="F112" s="360"/>
      <c r="G112" s="360"/>
      <c r="H112" s="553"/>
      <c r="I112" s="553"/>
      <c r="J112" s="553"/>
      <c r="K112" s="553"/>
      <c r="L112" s="553"/>
      <c r="M112" s="553"/>
      <c r="N112" s="553"/>
      <c r="O112" s="553"/>
      <c r="P112" s="553"/>
      <c r="Q112" s="553"/>
      <c r="R112" s="360"/>
      <c r="S112" s="334"/>
    </row>
    <row r="113" spans="1:19" s="335" customFormat="1">
      <c r="A113" s="620"/>
      <c r="B113" s="621"/>
      <c r="C113" s="530" t="s">
        <v>191</v>
      </c>
      <c r="D113" s="530"/>
      <c r="E113" s="379"/>
      <c r="F113" s="378"/>
      <c r="G113" s="378"/>
      <c r="H113" s="552"/>
      <c r="I113" s="552"/>
      <c r="J113" s="552"/>
      <c r="K113" s="552"/>
      <c r="L113" s="552"/>
      <c r="M113" s="552"/>
      <c r="N113" s="552"/>
      <c r="O113" s="552"/>
      <c r="P113" s="552"/>
      <c r="Q113" s="552"/>
      <c r="R113" s="378"/>
      <c r="S113" s="334"/>
    </row>
    <row r="114" spans="1:19" s="335" customFormat="1">
      <c r="A114" s="620"/>
      <c r="B114" s="359"/>
      <c r="C114" s="531"/>
      <c r="D114" s="531"/>
      <c r="E114" s="359"/>
      <c r="F114" s="360"/>
      <c r="G114" s="360"/>
      <c r="H114" s="553"/>
      <c r="I114" s="553"/>
      <c r="J114" s="553"/>
      <c r="K114" s="553"/>
      <c r="L114" s="553"/>
      <c r="M114" s="553"/>
      <c r="N114" s="553"/>
      <c r="O114" s="553"/>
      <c r="P114" s="553"/>
      <c r="Q114" s="553"/>
      <c r="R114" s="360"/>
      <c r="S114" s="334"/>
    </row>
    <row r="115" spans="1:19" s="335" customFormat="1">
      <c r="A115" s="620"/>
      <c r="B115" s="619" t="s">
        <v>190</v>
      </c>
      <c r="C115" s="530" t="s">
        <v>189</v>
      </c>
      <c r="D115" s="530"/>
      <c r="E115" s="379"/>
      <c r="F115" s="378"/>
      <c r="G115" s="378"/>
      <c r="H115" s="552"/>
      <c r="I115" s="552"/>
      <c r="J115" s="552"/>
      <c r="K115" s="552"/>
      <c r="L115" s="552"/>
      <c r="M115" s="552"/>
      <c r="N115" s="552"/>
      <c r="O115" s="552"/>
      <c r="P115" s="552"/>
      <c r="Q115" s="552"/>
      <c r="R115" s="378"/>
      <c r="S115" s="334"/>
    </row>
    <row r="116" spans="1:19" s="335" customFormat="1">
      <c r="A116" s="620"/>
      <c r="B116" s="620"/>
      <c r="C116" s="531" t="s">
        <v>188</v>
      </c>
      <c r="D116" s="531"/>
      <c r="E116" s="359"/>
      <c r="F116" s="360"/>
      <c r="G116" s="360"/>
      <c r="H116" s="553"/>
      <c r="I116" s="553"/>
      <c r="J116" s="553"/>
      <c r="K116" s="553"/>
      <c r="L116" s="553"/>
      <c r="M116" s="553"/>
      <c r="N116" s="553"/>
      <c r="O116" s="553"/>
      <c r="P116" s="553"/>
      <c r="Q116" s="553"/>
      <c r="R116" s="360"/>
      <c r="S116" s="334"/>
    </row>
    <row r="117" spans="1:19" s="335" customFormat="1">
      <c r="A117" s="620"/>
      <c r="B117" s="621"/>
      <c r="C117" s="530" t="s">
        <v>187</v>
      </c>
      <c r="D117" s="530"/>
      <c r="E117" s="379"/>
      <c r="F117" s="378"/>
      <c r="G117" s="378"/>
      <c r="H117" s="552"/>
      <c r="I117" s="552"/>
      <c r="J117" s="552"/>
      <c r="K117" s="552"/>
      <c r="L117" s="552"/>
      <c r="M117" s="552"/>
      <c r="N117" s="552"/>
      <c r="O117" s="552"/>
      <c r="P117" s="552"/>
      <c r="Q117" s="552"/>
      <c r="R117" s="378"/>
      <c r="S117" s="334"/>
    </row>
    <row r="118" spans="1:19" s="335" customFormat="1">
      <c r="A118" s="620"/>
      <c r="B118" s="359"/>
      <c r="C118" s="531"/>
      <c r="D118" s="531"/>
      <c r="E118" s="359"/>
      <c r="F118" s="360"/>
      <c r="G118" s="360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360"/>
      <c r="S118" s="334"/>
    </row>
    <row r="119" spans="1:19" s="335" customFormat="1">
      <c r="A119" s="620"/>
      <c r="B119" s="619" t="s">
        <v>186</v>
      </c>
      <c r="C119" s="530" t="s">
        <v>185</v>
      </c>
      <c r="D119" s="530"/>
      <c r="E119" s="379"/>
      <c r="F119" s="378"/>
      <c r="G119" s="378"/>
      <c r="H119" s="552"/>
      <c r="I119" s="552"/>
      <c r="J119" s="552"/>
      <c r="K119" s="552"/>
      <c r="L119" s="552"/>
      <c r="M119" s="552"/>
      <c r="N119" s="552"/>
      <c r="O119" s="552"/>
      <c r="P119" s="552"/>
      <c r="Q119" s="552"/>
      <c r="R119" s="378"/>
      <c r="S119" s="334"/>
    </row>
    <row r="120" spans="1:19" s="335" customFormat="1">
      <c r="A120" s="620"/>
      <c r="B120" s="620"/>
      <c r="C120" s="531" t="s">
        <v>184</v>
      </c>
      <c r="D120" s="531"/>
      <c r="E120" s="359"/>
      <c r="F120" s="360"/>
      <c r="G120" s="360"/>
      <c r="H120" s="553"/>
      <c r="I120" s="553"/>
      <c r="J120" s="553"/>
      <c r="K120" s="553"/>
      <c r="L120" s="553"/>
      <c r="M120" s="553"/>
      <c r="N120" s="553"/>
      <c r="O120" s="553"/>
      <c r="P120" s="553"/>
      <c r="Q120" s="553"/>
      <c r="R120" s="360"/>
      <c r="S120" s="334"/>
    </row>
    <row r="121" spans="1:19" s="335" customFormat="1">
      <c r="A121" s="620"/>
      <c r="B121" s="620"/>
      <c r="C121" s="530" t="s">
        <v>183</v>
      </c>
      <c r="D121" s="530"/>
      <c r="E121" s="379"/>
      <c r="F121" s="378"/>
      <c r="G121" s="378"/>
      <c r="H121" s="552"/>
      <c r="I121" s="552"/>
      <c r="J121" s="552"/>
      <c r="K121" s="552"/>
      <c r="L121" s="552"/>
      <c r="M121" s="552"/>
      <c r="N121" s="552"/>
      <c r="O121" s="552"/>
      <c r="P121" s="552"/>
      <c r="Q121" s="552"/>
      <c r="R121" s="378"/>
      <c r="S121" s="334"/>
    </row>
    <row r="122" spans="1:19" s="335" customFormat="1">
      <c r="A122" s="620"/>
      <c r="B122" s="621"/>
      <c r="C122" s="531" t="s">
        <v>182</v>
      </c>
      <c r="D122" s="531"/>
      <c r="E122" s="359"/>
      <c r="F122" s="360"/>
      <c r="G122" s="360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360"/>
      <c r="S122" s="334"/>
    </row>
    <row r="123" spans="1:19" s="335" customFormat="1">
      <c r="A123" s="620"/>
      <c r="B123" s="379"/>
      <c r="C123" s="530"/>
      <c r="D123" s="530"/>
      <c r="E123" s="379"/>
      <c r="F123" s="378"/>
      <c r="G123" s="378"/>
      <c r="H123" s="552"/>
      <c r="I123" s="552"/>
      <c r="J123" s="552"/>
      <c r="K123" s="552"/>
      <c r="L123" s="552"/>
      <c r="M123" s="552"/>
      <c r="N123" s="552"/>
      <c r="O123" s="552"/>
      <c r="P123" s="552"/>
      <c r="Q123" s="552"/>
      <c r="R123" s="378"/>
      <c r="S123" s="334"/>
    </row>
    <row r="124" spans="1:19" s="335" customFormat="1">
      <c r="A124" s="620"/>
      <c r="B124" s="616" t="s">
        <v>181</v>
      </c>
      <c r="C124" s="531" t="s">
        <v>180</v>
      </c>
      <c r="D124" s="531"/>
      <c r="E124" s="359"/>
      <c r="F124" s="360"/>
      <c r="G124" s="360"/>
      <c r="H124" s="553"/>
      <c r="I124" s="553"/>
      <c r="J124" s="553"/>
      <c r="K124" s="553"/>
      <c r="L124" s="553"/>
      <c r="M124" s="553"/>
      <c r="N124" s="553"/>
      <c r="O124" s="553"/>
      <c r="P124" s="553"/>
      <c r="Q124" s="553"/>
      <c r="R124" s="360"/>
      <c r="S124" s="334"/>
    </row>
    <row r="125" spans="1:19" s="335" customFormat="1">
      <c r="A125" s="620"/>
      <c r="B125" s="617"/>
      <c r="C125" s="530" t="s">
        <v>179</v>
      </c>
      <c r="D125" s="530"/>
      <c r="E125" s="379"/>
      <c r="F125" s="378"/>
      <c r="G125" s="378"/>
      <c r="H125" s="552"/>
      <c r="I125" s="552"/>
      <c r="J125" s="552"/>
      <c r="K125" s="552"/>
      <c r="L125" s="552"/>
      <c r="M125" s="552"/>
      <c r="N125" s="552"/>
      <c r="O125" s="552"/>
      <c r="P125" s="552"/>
      <c r="Q125" s="552"/>
      <c r="R125" s="378"/>
      <c r="S125" s="334"/>
    </row>
    <row r="126" spans="1:19" s="335" customFormat="1">
      <c r="A126" s="620"/>
      <c r="B126" s="617"/>
      <c r="C126" s="531" t="s">
        <v>178</v>
      </c>
      <c r="D126" s="531"/>
      <c r="E126" s="359"/>
      <c r="F126" s="360"/>
      <c r="G126" s="360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360"/>
      <c r="S126" s="334"/>
    </row>
    <row r="127" spans="1:19" s="335" customFormat="1">
      <c r="A127" s="620"/>
      <c r="B127" s="617"/>
      <c r="C127" s="530" t="s">
        <v>177</v>
      </c>
      <c r="D127" s="530"/>
      <c r="E127" s="379"/>
      <c r="F127" s="378"/>
      <c r="G127" s="378"/>
      <c r="H127" s="552"/>
      <c r="I127" s="552"/>
      <c r="J127" s="552"/>
      <c r="K127" s="552"/>
      <c r="L127" s="552"/>
      <c r="M127" s="552"/>
      <c r="N127" s="552"/>
      <c r="O127" s="552"/>
      <c r="P127" s="552"/>
      <c r="Q127" s="552"/>
      <c r="R127" s="378"/>
      <c r="S127" s="334"/>
    </row>
    <row r="128" spans="1:19" s="335" customFormat="1">
      <c r="A128" s="620"/>
      <c r="B128" s="618"/>
      <c r="C128" s="531" t="s">
        <v>176</v>
      </c>
      <c r="D128" s="531"/>
      <c r="E128" s="359"/>
      <c r="F128" s="360"/>
      <c r="G128" s="360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360"/>
      <c r="S128" s="334"/>
    </row>
    <row r="129" spans="1:21" s="335" customFormat="1">
      <c r="A129" s="620"/>
      <c r="B129" s="379"/>
      <c r="C129" s="530"/>
      <c r="D129" s="530"/>
      <c r="E129" s="379"/>
      <c r="F129" s="378"/>
      <c r="G129" s="378"/>
      <c r="H129" s="552"/>
      <c r="I129" s="552"/>
      <c r="J129" s="552"/>
      <c r="K129" s="552"/>
      <c r="L129" s="552"/>
      <c r="M129" s="552"/>
      <c r="N129" s="552"/>
      <c r="O129" s="552"/>
      <c r="P129" s="552"/>
      <c r="Q129" s="552"/>
      <c r="R129" s="378"/>
      <c r="S129" s="334"/>
    </row>
    <row r="130" spans="1:21" s="335" customFormat="1">
      <c r="A130" s="621"/>
      <c r="B130" s="359" t="s">
        <v>175</v>
      </c>
      <c r="C130" s="531" t="s">
        <v>174</v>
      </c>
      <c r="D130" s="531"/>
      <c r="E130" s="359"/>
      <c r="F130" s="360"/>
      <c r="G130" s="360"/>
      <c r="H130" s="553"/>
      <c r="I130" s="553"/>
      <c r="J130" s="553"/>
      <c r="K130" s="553"/>
      <c r="L130" s="553"/>
      <c r="M130" s="553"/>
      <c r="N130" s="553"/>
      <c r="O130" s="553"/>
      <c r="P130" s="553"/>
      <c r="Q130" s="553"/>
      <c r="R130" s="360"/>
      <c r="S130" s="334"/>
    </row>
    <row r="131" spans="1:21" s="335" customFormat="1">
      <c r="A131" s="539"/>
      <c r="B131" s="359"/>
      <c r="C131" s="531"/>
      <c r="D131" s="531"/>
      <c r="E131" s="359"/>
      <c r="F131" s="360"/>
      <c r="G131" s="360"/>
      <c r="H131" s="553"/>
      <c r="I131" s="553"/>
      <c r="J131" s="553"/>
      <c r="K131" s="553"/>
      <c r="L131" s="553"/>
      <c r="M131" s="553"/>
      <c r="N131" s="553"/>
      <c r="O131" s="553"/>
      <c r="P131" s="553"/>
      <c r="Q131" s="553"/>
      <c r="R131" s="360"/>
      <c r="S131" s="334"/>
    </row>
    <row r="132" spans="1:21" s="543" customFormat="1">
      <c r="A132" s="540"/>
      <c r="B132" s="480"/>
      <c r="C132" s="541"/>
      <c r="D132" s="541"/>
      <c r="E132" s="480"/>
      <c r="F132" s="481">
        <f>SUM(F72:F130)</f>
        <v>4610000</v>
      </c>
      <c r="G132" s="481">
        <f>SUM(G72:G130)</f>
        <v>4610000</v>
      </c>
      <c r="H132" s="565">
        <f>SUM(G72:G130)</f>
        <v>4610000</v>
      </c>
      <c r="I132" s="565">
        <f>SUM(I72:I130)</f>
        <v>4610000</v>
      </c>
      <c r="J132" s="565">
        <f>SUM(J72:J130)</f>
        <v>4610000</v>
      </c>
      <c r="K132" s="565">
        <f>SUM(K72:K130)</f>
        <v>4610000</v>
      </c>
      <c r="L132" s="565">
        <f>SUM(L72:L130)</f>
        <v>8010000</v>
      </c>
      <c r="M132" s="565">
        <f>SUM(M72:M130)</f>
        <v>8010000</v>
      </c>
      <c r="N132" s="565">
        <f>SUM(N73:N130)</f>
        <v>8010000</v>
      </c>
      <c r="O132" s="565">
        <f>SUM(O72:O130)</f>
        <v>8010000</v>
      </c>
      <c r="P132" s="565">
        <f>SUM(P72:P130)</f>
        <v>8010000</v>
      </c>
      <c r="Q132" s="565">
        <f>SUM(Q72:Q130)</f>
        <v>8010000</v>
      </c>
      <c r="R132" s="481">
        <f>SUM(H132:Q132,G132,F132)</f>
        <v>75720000</v>
      </c>
      <c r="S132" s="542"/>
    </row>
    <row r="133" spans="1:21" s="335" customFormat="1" ht="24.75" customHeight="1">
      <c r="A133" s="381" t="s">
        <v>170</v>
      </c>
      <c r="B133" s="381" t="s">
        <v>170</v>
      </c>
      <c r="C133" s="535" t="s">
        <v>170</v>
      </c>
      <c r="D133" s="535"/>
      <c r="E133" s="381"/>
      <c r="F133" s="376"/>
      <c r="G133" s="376"/>
      <c r="H133" s="376"/>
      <c r="I133" s="376"/>
      <c r="J133" s="376"/>
      <c r="K133" s="376"/>
      <c r="L133" s="376"/>
      <c r="M133" s="376"/>
      <c r="N133" s="376"/>
      <c r="O133" s="376"/>
      <c r="P133" s="376"/>
      <c r="Q133" s="376"/>
      <c r="R133" s="376"/>
      <c r="S133" s="334"/>
    </row>
    <row r="134" spans="1:21" s="335" customFormat="1" ht="14.05" customHeight="1">
      <c r="A134" s="614"/>
      <c r="B134" s="614"/>
      <c r="C134" s="614"/>
      <c r="D134" s="467"/>
      <c r="E134" s="614" t="s">
        <v>147</v>
      </c>
      <c r="F134" s="609">
        <v>43831</v>
      </c>
      <c r="G134" s="605">
        <v>43862</v>
      </c>
      <c r="H134" s="609">
        <v>43891</v>
      </c>
      <c r="I134" s="605">
        <v>43922</v>
      </c>
      <c r="J134" s="609">
        <v>43952</v>
      </c>
      <c r="K134" s="605">
        <v>43983</v>
      </c>
      <c r="L134" s="609">
        <v>44013</v>
      </c>
      <c r="M134" s="605">
        <v>44044</v>
      </c>
      <c r="N134" s="609">
        <v>44075</v>
      </c>
      <c r="O134" s="605">
        <v>44105</v>
      </c>
      <c r="P134" s="606">
        <v>44136</v>
      </c>
      <c r="Q134" s="605">
        <v>44166</v>
      </c>
      <c r="R134" s="608" t="s">
        <v>112</v>
      </c>
    </row>
    <row r="135" spans="1:21" s="335" customFormat="1" ht="12" customHeight="1">
      <c r="A135" s="615"/>
      <c r="B135" s="615"/>
      <c r="C135" s="615"/>
      <c r="D135" s="468"/>
      <c r="E135" s="615"/>
      <c r="F135" s="609"/>
      <c r="G135" s="605"/>
      <c r="H135" s="609"/>
      <c r="I135" s="605"/>
      <c r="J135" s="609"/>
      <c r="K135" s="605"/>
      <c r="L135" s="609"/>
      <c r="M135" s="605"/>
      <c r="N135" s="609"/>
      <c r="O135" s="605"/>
      <c r="P135" s="607"/>
      <c r="Q135" s="605"/>
      <c r="R135" s="608"/>
    </row>
    <row r="136" spans="1:21" s="335" customFormat="1">
      <c r="A136" s="359"/>
      <c r="B136" s="359"/>
      <c r="C136" s="359"/>
      <c r="D136" s="359"/>
      <c r="E136" s="359"/>
      <c r="F136" s="360"/>
      <c r="G136" s="360"/>
      <c r="H136" s="360"/>
      <c r="I136" s="360"/>
      <c r="J136" s="360"/>
      <c r="K136" s="360"/>
      <c r="L136" s="564"/>
      <c r="M136" s="564"/>
      <c r="N136" s="564"/>
      <c r="O136" s="564"/>
      <c r="P136" s="564"/>
      <c r="Q136" s="564"/>
      <c r="R136" s="360"/>
      <c r="S136" s="334"/>
      <c r="T136" s="350"/>
    </row>
    <row r="137" spans="1:21" s="335" customFormat="1">
      <c r="A137" s="379"/>
      <c r="B137" s="379" t="s">
        <v>134</v>
      </c>
      <c r="C137" s="530" t="s">
        <v>134</v>
      </c>
      <c r="D137" s="530">
        <v>1</v>
      </c>
      <c r="E137" s="379"/>
      <c r="F137" s="552"/>
      <c r="G137" s="552"/>
      <c r="H137" s="552"/>
      <c r="I137" s="552"/>
      <c r="J137" s="552"/>
      <c r="K137" s="552"/>
      <c r="L137" s="552"/>
      <c r="M137" s="552"/>
      <c r="N137" s="552"/>
      <c r="O137" s="552"/>
      <c r="P137" s="552"/>
      <c r="Q137" s="552"/>
      <c r="R137" s="378"/>
      <c r="S137" s="334"/>
      <c r="T137" s="350"/>
    </row>
    <row r="138" spans="1:21">
      <c r="A138" s="359"/>
      <c r="B138" s="377" t="s">
        <v>159</v>
      </c>
      <c r="C138" s="531" t="s">
        <v>159</v>
      </c>
      <c r="D138" s="531">
        <v>1</v>
      </c>
      <c r="E138" s="359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360"/>
      <c r="S138" s="320"/>
      <c r="T138" s="320"/>
      <c r="U138" s="320"/>
    </row>
    <row r="139" spans="1:21">
      <c r="A139" s="379"/>
      <c r="B139" s="377" t="s">
        <v>160</v>
      </c>
      <c r="C139" s="531" t="s">
        <v>160</v>
      </c>
      <c r="D139" s="531">
        <v>4</v>
      </c>
      <c r="E139" s="379" t="s">
        <v>256</v>
      </c>
      <c r="F139" s="552">
        <v>2000000</v>
      </c>
      <c r="G139" s="552">
        <v>2000000</v>
      </c>
      <c r="H139" s="552">
        <v>2000000</v>
      </c>
      <c r="I139" s="552">
        <v>2000000</v>
      </c>
      <c r="J139" s="552">
        <v>2000000</v>
      </c>
      <c r="K139" s="552">
        <v>2000000</v>
      </c>
      <c r="L139" s="552">
        <v>2000000</v>
      </c>
      <c r="M139" s="552">
        <v>2000000</v>
      </c>
      <c r="N139" s="552">
        <v>2000000</v>
      </c>
      <c r="O139" s="552">
        <v>2000000</v>
      </c>
      <c r="P139" s="552">
        <v>2000000</v>
      </c>
      <c r="Q139" s="552">
        <v>2000000</v>
      </c>
      <c r="R139" s="378"/>
      <c r="S139" s="320"/>
      <c r="T139" s="320"/>
      <c r="U139" s="320"/>
    </row>
    <row r="140" spans="1:21">
      <c r="A140" s="379"/>
      <c r="B140" s="377"/>
      <c r="C140" s="531"/>
      <c r="D140" s="531"/>
      <c r="E140" s="379"/>
      <c r="F140" s="552"/>
      <c r="G140" s="552"/>
      <c r="H140" s="552"/>
      <c r="I140" s="552"/>
      <c r="J140" s="552"/>
      <c r="K140" s="552"/>
      <c r="L140" s="552"/>
      <c r="M140" s="552"/>
      <c r="N140" s="552"/>
      <c r="O140" s="552"/>
      <c r="P140" s="552"/>
      <c r="Q140" s="552"/>
      <c r="R140" s="378"/>
      <c r="S140" s="320"/>
      <c r="T140" s="320"/>
      <c r="U140" s="320"/>
    </row>
    <row r="141" spans="1:21">
      <c r="A141" s="359"/>
      <c r="B141" s="616" t="s">
        <v>272</v>
      </c>
      <c r="C141" s="531"/>
      <c r="D141" s="531">
        <v>1</v>
      </c>
      <c r="E141" s="359"/>
      <c r="F141" s="553"/>
      <c r="G141" s="553"/>
      <c r="H141" s="553"/>
      <c r="I141" s="553"/>
      <c r="J141" s="553"/>
      <c r="K141" s="553"/>
      <c r="L141" s="553"/>
      <c r="M141" s="553"/>
      <c r="N141" s="553"/>
      <c r="O141" s="553"/>
      <c r="P141" s="553"/>
      <c r="Q141" s="553"/>
      <c r="R141" s="360"/>
      <c r="S141" s="320"/>
      <c r="T141" s="320"/>
      <c r="U141" s="320"/>
    </row>
    <row r="142" spans="1:21">
      <c r="A142" s="379"/>
      <c r="B142" s="617"/>
      <c r="C142" s="531"/>
      <c r="D142" s="531">
        <v>2</v>
      </c>
      <c r="E142" s="379"/>
      <c r="F142" s="552">
        <v>2400000</v>
      </c>
      <c r="G142" s="552">
        <v>2400000</v>
      </c>
      <c r="H142" s="552">
        <v>2400000</v>
      </c>
      <c r="I142" s="552">
        <v>2400000</v>
      </c>
      <c r="J142" s="552">
        <v>2400000</v>
      </c>
      <c r="K142" s="552">
        <v>2400000</v>
      </c>
      <c r="L142" s="552">
        <v>2400000</v>
      </c>
      <c r="M142" s="552">
        <v>2400000</v>
      </c>
      <c r="N142" s="552">
        <v>2400000</v>
      </c>
      <c r="O142" s="552">
        <v>2400000</v>
      </c>
      <c r="P142" s="552">
        <v>2400000</v>
      </c>
      <c r="Q142" s="552">
        <v>2400000</v>
      </c>
      <c r="R142" s="378"/>
      <c r="S142" s="356"/>
      <c r="T142" s="320"/>
      <c r="U142" s="320"/>
    </row>
    <row r="143" spans="1:21">
      <c r="A143" s="359"/>
      <c r="B143" s="618"/>
      <c r="C143" s="531"/>
      <c r="D143" s="531">
        <v>3</v>
      </c>
      <c r="E143" s="359"/>
      <c r="F143" s="553"/>
      <c r="G143" s="553"/>
      <c r="H143" s="553"/>
      <c r="I143" s="553"/>
      <c r="J143" s="553"/>
      <c r="K143" s="553"/>
      <c r="L143" s="553"/>
      <c r="M143" s="553"/>
      <c r="N143" s="553"/>
      <c r="O143" s="553"/>
      <c r="P143" s="553"/>
      <c r="Q143" s="553"/>
      <c r="R143" s="360"/>
      <c r="S143" s="356"/>
      <c r="T143" s="320"/>
      <c r="U143" s="320"/>
    </row>
    <row r="144" spans="1:21">
      <c r="A144" s="379"/>
      <c r="B144" s="377"/>
      <c r="C144" s="531"/>
      <c r="D144" s="531"/>
      <c r="E144" s="379"/>
      <c r="F144" s="552"/>
      <c r="G144" s="552"/>
      <c r="H144" s="552"/>
      <c r="I144" s="552"/>
      <c r="J144" s="552"/>
      <c r="K144" s="552"/>
      <c r="L144" s="552"/>
      <c r="M144" s="552"/>
      <c r="N144" s="552"/>
      <c r="O144" s="552"/>
      <c r="P144" s="552"/>
      <c r="Q144" s="552"/>
      <c r="R144" s="378"/>
      <c r="S144" s="356"/>
      <c r="T144" s="320"/>
      <c r="U144" s="320"/>
    </row>
    <row r="145" spans="1:21">
      <c r="A145" s="359"/>
      <c r="B145" s="359"/>
      <c r="C145" s="531"/>
      <c r="D145" s="531"/>
      <c r="E145" s="359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360"/>
      <c r="S145" s="356"/>
      <c r="T145" s="320"/>
      <c r="U145" s="320"/>
    </row>
    <row r="146" spans="1:21">
      <c r="A146" s="379"/>
      <c r="B146" s="377"/>
      <c r="C146" s="531"/>
      <c r="D146" s="531"/>
      <c r="E146" s="379"/>
      <c r="F146" s="552"/>
      <c r="G146" s="552"/>
      <c r="H146" s="552"/>
      <c r="I146" s="552"/>
      <c r="J146" s="552"/>
      <c r="K146" s="552"/>
      <c r="L146" s="552"/>
      <c r="M146" s="552"/>
      <c r="N146" s="552"/>
      <c r="O146" s="552"/>
      <c r="P146" s="552"/>
      <c r="Q146" s="552"/>
      <c r="R146" s="378"/>
      <c r="S146" s="320"/>
      <c r="T146" s="320"/>
      <c r="U146" s="320"/>
    </row>
    <row r="147" spans="1:21">
      <c r="A147" s="359"/>
      <c r="B147" s="359"/>
      <c r="C147" s="531"/>
      <c r="D147" s="531"/>
      <c r="E147" s="359"/>
      <c r="F147" s="553"/>
      <c r="G147" s="553"/>
      <c r="H147" s="553"/>
      <c r="I147" s="553"/>
      <c r="J147" s="553"/>
      <c r="K147" s="553"/>
      <c r="L147" s="553"/>
      <c r="M147" s="553"/>
      <c r="N147" s="553"/>
      <c r="O147" s="553"/>
      <c r="P147" s="553"/>
      <c r="Q147" s="553"/>
      <c r="R147" s="360"/>
      <c r="S147" s="356"/>
      <c r="T147" s="320"/>
      <c r="U147" s="320"/>
    </row>
    <row r="148" spans="1:21">
      <c r="A148" s="616" t="s">
        <v>116</v>
      </c>
      <c r="B148" s="616" t="s">
        <v>116</v>
      </c>
      <c r="C148" s="531"/>
      <c r="D148" s="616">
        <v>3</v>
      </c>
      <c r="E148" s="359"/>
      <c r="F148" s="553"/>
      <c r="G148" s="553"/>
      <c r="H148" s="553"/>
      <c r="I148" s="553"/>
      <c r="J148" s="553"/>
      <c r="K148" s="553"/>
      <c r="L148" s="553"/>
      <c r="M148" s="553"/>
      <c r="N148" s="553"/>
      <c r="O148" s="553"/>
      <c r="P148" s="553"/>
      <c r="Q148" s="553"/>
      <c r="R148" s="360"/>
      <c r="S148" s="320"/>
      <c r="T148" s="320"/>
      <c r="U148" s="320"/>
    </row>
    <row r="149" spans="1:21">
      <c r="A149" s="617"/>
      <c r="B149" s="617"/>
      <c r="C149" s="530"/>
      <c r="D149" s="617"/>
      <c r="E149" s="379"/>
      <c r="F149" s="552"/>
      <c r="G149" s="552"/>
      <c r="H149" s="552"/>
      <c r="I149" s="552"/>
      <c r="J149" s="552"/>
      <c r="K149" s="552"/>
      <c r="L149" s="552"/>
      <c r="M149" s="552"/>
      <c r="N149" s="552"/>
      <c r="O149" s="552"/>
      <c r="P149" s="552"/>
      <c r="Q149" s="552"/>
      <c r="R149" s="378"/>
      <c r="S149" s="356"/>
      <c r="T149" s="320"/>
      <c r="U149" s="320"/>
    </row>
    <row r="150" spans="1:21">
      <c r="A150" s="617"/>
      <c r="B150" s="617"/>
      <c r="C150" s="531"/>
      <c r="D150" s="617"/>
      <c r="E150" s="359" t="s">
        <v>257</v>
      </c>
      <c r="F150" s="553">
        <v>2000000</v>
      </c>
      <c r="G150" s="553">
        <v>2000000</v>
      </c>
      <c r="H150" s="553">
        <v>2000000</v>
      </c>
      <c r="I150" s="553">
        <v>2000000</v>
      </c>
      <c r="J150" s="553">
        <v>2000000</v>
      </c>
      <c r="K150" s="553">
        <v>2000000</v>
      </c>
      <c r="L150" s="553">
        <v>2000000</v>
      </c>
      <c r="M150" s="553">
        <v>2000000</v>
      </c>
      <c r="N150" s="553">
        <v>2000000</v>
      </c>
      <c r="O150" s="553">
        <v>2000000</v>
      </c>
      <c r="P150" s="553">
        <v>2000000</v>
      </c>
      <c r="Q150" s="553">
        <v>2000000</v>
      </c>
      <c r="R150" s="360"/>
      <c r="S150" s="356"/>
      <c r="T150" s="320"/>
      <c r="U150" s="320"/>
    </row>
    <row r="151" spans="1:21">
      <c r="A151" s="617"/>
      <c r="B151" s="617"/>
      <c r="C151" s="530"/>
      <c r="D151" s="617"/>
      <c r="E151" s="379"/>
      <c r="F151" s="552"/>
      <c r="G151" s="552"/>
      <c r="H151" s="552"/>
      <c r="I151" s="552"/>
      <c r="J151" s="552"/>
      <c r="K151" s="552"/>
      <c r="L151" s="552"/>
      <c r="M151" s="552"/>
      <c r="N151" s="552"/>
      <c r="O151" s="552"/>
      <c r="P151" s="552"/>
      <c r="Q151" s="552"/>
      <c r="R151" s="378"/>
      <c r="S151" s="356"/>
      <c r="T151" s="320"/>
      <c r="U151" s="320"/>
    </row>
    <row r="152" spans="1:21">
      <c r="A152" s="617"/>
      <c r="B152" s="617"/>
      <c r="C152" s="531"/>
      <c r="D152" s="617"/>
      <c r="E152" s="359"/>
      <c r="F152" s="553"/>
      <c r="G152" s="553"/>
      <c r="H152" s="553"/>
      <c r="I152" s="553"/>
      <c r="J152" s="553"/>
      <c r="K152" s="553"/>
      <c r="L152" s="553"/>
      <c r="M152" s="553"/>
      <c r="N152" s="553"/>
      <c r="O152" s="553"/>
      <c r="P152" s="553"/>
      <c r="Q152" s="553"/>
      <c r="R152" s="360"/>
    </row>
    <row r="153" spans="1:21">
      <c r="A153" s="617"/>
      <c r="B153" s="618"/>
      <c r="C153" s="530"/>
      <c r="D153" s="618"/>
      <c r="E153" s="379"/>
      <c r="F153" s="552"/>
      <c r="G153" s="552"/>
      <c r="H153" s="552"/>
      <c r="I153" s="552"/>
      <c r="J153" s="552"/>
      <c r="K153" s="552"/>
      <c r="L153" s="552"/>
      <c r="M153" s="552"/>
      <c r="N153" s="552"/>
      <c r="O153" s="552"/>
      <c r="P153" s="552"/>
      <c r="Q153" s="552"/>
      <c r="R153" s="378"/>
    </row>
    <row r="154" spans="1:21">
      <c r="A154" s="617"/>
      <c r="B154" s="359"/>
      <c r="C154" s="531"/>
      <c r="D154" s="531"/>
      <c r="E154" s="359"/>
      <c r="F154" s="553"/>
      <c r="G154" s="553"/>
      <c r="H154" s="553"/>
      <c r="I154" s="553"/>
      <c r="J154" s="553"/>
      <c r="K154" s="553"/>
      <c r="L154" s="553"/>
      <c r="M154" s="553"/>
      <c r="N154" s="553"/>
      <c r="O154" s="553"/>
      <c r="P154" s="553"/>
      <c r="Q154" s="553"/>
      <c r="R154" s="360"/>
    </row>
    <row r="155" spans="1:21">
      <c r="A155" s="617"/>
      <c r="B155" s="619" t="s">
        <v>199</v>
      </c>
      <c r="C155" s="530"/>
      <c r="D155" s="619">
        <v>6</v>
      </c>
      <c r="E155" s="379"/>
      <c r="F155" s="552"/>
      <c r="G155" s="552"/>
      <c r="H155" s="552"/>
      <c r="I155" s="552"/>
      <c r="J155" s="552"/>
      <c r="K155" s="552"/>
      <c r="L155" s="552"/>
      <c r="M155" s="552"/>
      <c r="N155" s="552"/>
      <c r="O155" s="552"/>
      <c r="P155" s="552"/>
      <c r="Q155" s="552"/>
      <c r="R155" s="378"/>
    </row>
    <row r="156" spans="1:21">
      <c r="A156" s="617"/>
      <c r="B156" s="620"/>
      <c r="C156" s="531"/>
      <c r="D156" s="620"/>
      <c r="E156" s="359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360"/>
    </row>
    <row r="157" spans="1:21">
      <c r="A157" s="617"/>
      <c r="B157" s="620"/>
      <c r="C157" s="531"/>
      <c r="D157" s="620"/>
      <c r="E157" s="359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360"/>
    </row>
    <row r="158" spans="1:21">
      <c r="A158" s="617"/>
      <c r="B158" s="620"/>
      <c r="C158" s="531"/>
      <c r="D158" s="620"/>
      <c r="E158" s="359"/>
      <c r="F158" s="553"/>
      <c r="G158" s="553"/>
      <c r="H158" s="553"/>
      <c r="I158" s="553"/>
      <c r="J158" s="553"/>
      <c r="K158" s="553"/>
      <c r="L158" s="553"/>
      <c r="M158" s="553"/>
      <c r="N158" s="553"/>
      <c r="O158" s="553"/>
      <c r="P158" s="553"/>
      <c r="Q158" s="553"/>
      <c r="R158" s="360"/>
    </row>
    <row r="159" spans="1:21">
      <c r="A159" s="617"/>
      <c r="B159" s="620"/>
      <c r="C159" s="530"/>
      <c r="D159" s="620"/>
      <c r="E159" s="379" t="s">
        <v>257</v>
      </c>
      <c r="F159" s="552">
        <v>2000000</v>
      </c>
      <c r="G159" s="552">
        <v>2000000</v>
      </c>
      <c r="H159" s="552">
        <v>2000000</v>
      </c>
      <c r="I159" s="552">
        <v>2000000</v>
      </c>
      <c r="J159" s="552">
        <v>2000000</v>
      </c>
      <c r="K159" s="552">
        <v>2000000</v>
      </c>
      <c r="L159" s="552">
        <v>2000000</v>
      </c>
      <c r="M159" s="552">
        <v>2000000</v>
      </c>
      <c r="N159" s="552">
        <v>2000000</v>
      </c>
      <c r="O159" s="552">
        <v>2000000</v>
      </c>
      <c r="P159" s="552">
        <v>2000000</v>
      </c>
      <c r="Q159" s="552">
        <v>2000000</v>
      </c>
      <c r="R159" s="378"/>
    </row>
    <row r="160" spans="1:21">
      <c r="A160" s="617"/>
      <c r="B160" s="620"/>
      <c r="C160" s="531"/>
      <c r="D160" s="620"/>
      <c r="E160" s="359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360"/>
    </row>
    <row r="161" spans="1:18">
      <c r="A161" s="617"/>
      <c r="B161" s="620"/>
      <c r="C161" s="536"/>
      <c r="D161" s="620"/>
      <c r="E161" s="379"/>
      <c r="F161" s="552"/>
      <c r="G161" s="552"/>
      <c r="H161" s="552"/>
      <c r="I161" s="552"/>
      <c r="J161" s="552"/>
      <c r="K161" s="552"/>
      <c r="L161" s="552"/>
      <c r="M161" s="552"/>
      <c r="N161" s="552"/>
      <c r="O161" s="552"/>
      <c r="P161" s="552"/>
      <c r="Q161" s="552"/>
      <c r="R161" s="378"/>
    </row>
    <row r="162" spans="1:18">
      <c r="A162" s="617"/>
      <c r="B162" s="621"/>
      <c r="C162" s="537"/>
      <c r="D162" s="621"/>
      <c r="E162" s="359"/>
      <c r="F162" s="553"/>
      <c r="G162" s="553"/>
      <c r="H162" s="553"/>
      <c r="I162" s="553"/>
      <c r="J162" s="553"/>
      <c r="K162" s="553"/>
      <c r="L162" s="553"/>
      <c r="M162" s="553"/>
      <c r="N162" s="553"/>
      <c r="O162" s="553"/>
      <c r="P162" s="553"/>
      <c r="Q162" s="553"/>
      <c r="R162" s="360"/>
    </row>
    <row r="163" spans="1:18">
      <c r="A163" s="617"/>
      <c r="B163" s="379"/>
      <c r="C163" s="530"/>
      <c r="D163" s="530"/>
      <c r="E163" s="379"/>
      <c r="F163" s="552"/>
      <c r="G163" s="552"/>
      <c r="H163" s="552"/>
      <c r="I163" s="552"/>
      <c r="J163" s="552"/>
      <c r="K163" s="552"/>
      <c r="L163" s="552"/>
      <c r="M163" s="552"/>
      <c r="N163" s="552"/>
      <c r="O163" s="552"/>
      <c r="P163" s="552"/>
      <c r="Q163" s="552"/>
      <c r="R163" s="378"/>
    </row>
    <row r="164" spans="1:18">
      <c r="A164" s="617"/>
      <c r="B164" s="622" t="s">
        <v>198</v>
      </c>
      <c r="C164" s="531"/>
      <c r="D164" s="531">
        <v>4</v>
      </c>
      <c r="E164" s="379" t="s">
        <v>257</v>
      </c>
      <c r="F164" s="553">
        <v>2000000</v>
      </c>
      <c r="G164" s="553">
        <v>2000000</v>
      </c>
      <c r="H164" s="553">
        <v>2000000</v>
      </c>
      <c r="I164" s="553">
        <v>2000000</v>
      </c>
      <c r="J164" s="553">
        <v>2000000</v>
      </c>
      <c r="K164" s="553">
        <v>2000000</v>
      </c>
      <c r="L164" s="553">
        <v>2000000</v>
      </c>
      <c r="M164" s="553">
        <v>2000000</v>
      </c>
      <c r="N164" s="553">
        <v>2000000</v>
      </c>
      <c r="O164" s="553">
        <v>2000000</v>
      </c>
      <c r="P164" s="553">
        <v>2000000</v>
      </c>
      <c r="Q164" s="553">
        <v>2000000</v>
      </c>
      <c r="R164" s="360"/>
    </row>
    <row r="165" spans="1:18">
      <c r="A165" s="617"/>
      <c r="B165" s="623"/>
      <c r="C165" s="530"/>
      <c r="D165" s="530">
        <v>2</v>
      </c>
      <c r="E165" s="379" t="s">
        <v>257</v>
      </c>
      <c r="F165" s="552">
        <v>5000000</v>
      </c>
      <c r="G165" s="552">
        <v>5000000</v>
      </c>
      <c r="H165" s="552">
        <v>5000000</v>
      </c>
      <c r="I165" s="552">
        <v>5000000</v>
      </c>
      <c r="J165" s="552">
        <v>5000000</v>
      </c>
      <c r="K165" s="552">
        <v>5000000</v>
      </c>
      <c r="L165" s="552">
        <v>5000000</v>
      </c>
      <c r="M165" s="552">
        <v>5000000</v>
      </c>
      <c r="N165" s="552">
        <v>5000000</v>
      </c>
      <c r="O165" s="552">
        <v>5000000</v>
      </c>
      <c r="P165" s="552">
        <v>5000000</v>
      </c>
      <c r="Q165" s="552">
        <v>5000000</v>
      </c>
      <c r="R165" s="378"/>
    </row>
    <row r="166" spans="1:18">
      <c r="A166" s="617"/>
      <c r="B166" s="623"/>
      <c r="C166" s="538"/>
      <c r="D166" s="532">
        <v>4</v>
      </c>
      <c r="E166" s="379" t="s">
        <v>257</v>
      </c>
      <c r="F166" s="553">
        <v>2000000</v>
      </c>
      <c r="G166" s="553">
        <v>2000000</v>
      </c>
      <c r="H166" s="553">
        <v>2000000</v>
      </c>
      <c r="I166" s="553">
        <v>2000000</v>
      </c>
      <c r="J166" s="553">
        <v>2000000</v>
      </c>
      <c r="K166" s="553">
        <v>2000000</v>
      </c>
      <c r="L166" s="553">
        <v>2000000</v>
      </c>
      <c r="M166" s="553">
        <v>2000000</v>
      </c>
      <c r="N166" s="553">
        <v>2000000</v>
      </c>
      <c r="O166" s="553">
        <v>2000000</v>
      </c>
      <c r="P166" s="553">
        <v>2000000</v>
      </c>
      <c r="Q166" s="553">
        <v>2000000</v>
      </c>
      <c r="R166" s="360"/>
    </row>
    <row r="167" spans="1:18">
      <c r="A167" s="617"/>
      <c r="B167" s="623"/>
      <c r="C167" s="533"/>
      <c r="D167" s="533">
        <v>1</v>
      </c>
      <c r="E167" s="379" t="s">
        <v>257</v>
      </c>
      <c r="F167" s="553">
        <v>400000</v>
      </c>
      <c r="G167" s="553">
        <v>400000</v>
      </c>
      <c r="H167" s="553">
        <v>400000</v>
      </c>
      <c r="I167" s="553">
        <v>400000</v>
      </c>
      <c r="J167" s="553">
        <v>400000</v>
      </c>
      <c r="K167" s="553">
        <v>400000</v>
      </c>
      <c r="L167" s="553">
        <v>400000</v>
      </c>
      <c r="M167" s="553">
        <v>400000</v>
      </c>
      <c r="N167" s="553">
        <v>400000</v>
      </c>
      <c r="O167" s="553">
        <v>400000</v>
      </c>
      <c r="P167" s="553">
        <v>400000</v>
      </c>
      <c r="Q167" s="553">
        <v>400000</v>
      </c>
      <c r="R167" s="360"/>
    </row>
    <row r="168" spans="1:18">
      <c r="A168" s="617"/>
      <c r="B168" s="623"/>
      <c r="C168" s="534"/>
      <c r="D168" s="534">
        <v>4</v>
      </c>
      <c r="E168" s="379" t="s">
        <v>257</v>
      </c>
      <c r="F168" s="553">
        <v>1500000</v>
      </c>
      <c r="G168" s="553">
        <v>1500000</v>
      </c>
      <c r="H168" s="553">
        <v>1500000</v>
      </c>
      <c r="I168" s="553">
        <v>1500000</v>
      </c>
      <c r="J168" s="553">
        <v>1500000</v>
      </c>
      <c r="K168" s="553">
        <v>1500000</v>
      </c>
      <c r="L168" s="553">
        <v>1500000</v>
      </c>
      <c r="M168" s="553">
        <v>1500000</v>
      </c>
      <c r="N168" s="553">
        <v>1500000</v>
      </c>
      <c r="O168" s="553">
        <v>1500000</v>
      </c>
      <c r="P168" s="553">
        <v>1500000</v>
      </c>
      <c r="Q168" s="553">
        <v>1500000</v>
      </c>
      <c r="R168" s="360"/>
    </row>
    <row r="169" spans="1:18">
      <c r="A169" s="617"/>
      <c r="B169" s="623"/>
      <c r="C169" s="534"/>
      <c r="D169" s="534">
        <v>4</v>
      </c>
      <c r="E169" s="379" t="s">
        <v>257</v>
      </c>
      <c r="F169" s="553">
        <v>4000000</v>
      </c>
      <c r="G169" s="553">
        <v>4000000</v>
      </c>
      <c r="H169" s="553">
        <v>4000000</v>
      </c>
      <c r="I169" s="553">
        <v>4000000</v>
      </c>
      <c r="J169" s="553">
        <v>4000000</v>
      </c>
      <c r="K169" s="553">
        <v>4000000</v>
      </c>
      <c r="L169" s="553">
        <v>4000000</v>
      </c>
      <c r="M169" s="553">
        <v>4000000</v>
      </c>
      <c r="N169" s="553">
        <v>4000000</v>
      </c>
      <c r="O169" s="553">
        <v>4000000</v>
      </c>
      <c r="P169" s="553">
        <v>4000000</v>
      </c>
      <c r="Q169" s="553">
        <v>4000000</v>
      </c>
      <c r="R169" s="360"/>
    </row>
    <row r="170" spans="1:18">
      <c r="A170" s="617"/>
      <c r="B170" s="623"/>
      <c r="C170" s="534"/>
      <c r="D170" s="534">
        <v>1</v>
      </c>
      <c r="E170" s="379" t="s">
        <v>257</v>
      </c>
      <c r="F170" s="552">
        <v>350000</v>
      </c>
      <c r="G170" s="552">
        <v>350000</v>
      </c>
      <c r="H170" s="552">
        <v>350000</v>
      </c>
      <c r="I170" s="552">
        <v>350000</v>
      </c>
      <c r="J170" s="552">
        <v>350000</v>
      </c>
      <c r="K170" s="552">
        <v>350000</v>
      </c>
      <c r="L170" s="552">
        <v>350000</v>
      </c>
      <c r="M170" s="552">
        <v>350000</v>
      </c>
      <c r="N170" s="552">
        <v>350000</v>
      </c>
      <c r="O170" s="552">
        <v>350000</v>
      </c>
      <c r="P170" s="552">
        <v>350000</v>
      </c>
      <c r="Q170" s="552">
        <v>350000</v>
      </c>
      <c r="R170" s="378"/>
    </row>
    <row r="171" spans="1:18">
      <c r="A171" s="617"/>
      <c r="B171" s="623"/>
      <c r="C171" s="534"/>
      <c r="D171" s="534">
        <v>4</v>
      </c>
      <c r="E171" s="379" t="s">
        <v>257</v>
      </c>
      <c r="F171" s="553">
        <v>1500000</v>
      </c>
      <c r="G171" s="553">
        <v>1500000</v>
      </c>
      <c r="H171" s="553">
        <v>1500000</v>
      </c>
      <c r="I171" s="553">
        <v>1500000</v>
      </c>
      <c r="J171" s="553">
        <v>1500000</v>
      </c>
      <c r="K171" s="553">
        <v>1500000</v>
      </c>
      <c r="L171" s="553">
        <v>1500000</v>
      </c>
      <c r="M171" s="553">
        <v>1500000</v>
      </c>
      <c r="N171" s="553">
        <v>1500000</v>
      </c>
      <c r="O171" s="553">
        <v>1500000</v>
      </c>
      <c r="P171" s="553">
        <v>1500000</v>
      </c>
      <c r="Q171" s="553">
        <v>1500000</v>
      </c>
      <c r="R171" s="360"/>
    </row>
    <row r="172" spans="1:18">
      <c r="A172" s="618"/>
      <c r="B172" s="624"/>
      <c r="C172" s="531"/>
      <c r="D172" s="531">
        <v>1</v>
      </c>
      <c r="E172" s="379" t="s">
        <v>257</v>
      </c>
      <c r="F172" s="552">
        <v>1000000</v>
      </c>
      <c r="G172" s="552">
        <v>1000000</v>
      </c>
      <c r="H172" s="552">
        <v>1000000</v>
      </c>
      <c r="I172" s="552">
        <v>1000000</v>
      </c>
      <c r="J172" s="552">
        <v>1000000</v>
      </c>
      <c r="K172" s="552">
        <v>1000000</v>
      </c>
      <c r="L172" s="552">
        <v>1000000</v>
      </c>
      <c r="M172" s="552">
        <v>1000000</v>
      </c>
      <c r="N172" s="552">
        <v>1000000</v>
      </c>
      <c r="O172" s="552">
        <v>1000000</v>
      </c>
      <c r="P172" s="552">
        <v>1000000</v>
      </c>
      <c r="Q172" s="552">
        <v>1000000</v>
      </c>
      <c r="R172" s="378"/>
    </row>
    <row r="173" spans="1:18">
      <c r="A173" s="359"/>
      <c r="B173" s="359"/>
      <c r="C173" s="531"/>
      <c r="D173" s="531"/>
      <c r="E173" s="359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360"/>
    </row>
    <row r="174" spans="1:18">
      <c r="A174" s="619" t="s">
        <v>197</v>
      </c>
      <c r="B174" s="619" t="s">
        <v>196</v>
      </c>
      <c r="C174" s="530" t="s">
        <v>195</v>
      </c>
      <c r="D174" s="530"/>
      <c r="E174" s="379"/>
      <c r="F174" s="378"/>
      <c r="G174" s="378"/>
      <c r="H174" s="552"/>
      <c r="I174" s="552"/>
      <c r="J174" s="552"/>
      <c r="K174" s="552"/>
      <c r="L174" s="552"/>
      <c r="M174" s="552"/>
      <c r="N174" s="552"/>
      <c r="O174" s="552"/>
      <c r="P174" s="552"/>
      <c r="Q174" s="552"/>
      <c r="R174" s="378"/>
    </row>
    <row r="175" spans="1:18">
      <c r="A175" s="620"/>
      <c r="B175" s="620"/>
      <c r="C175" s="531" t="s">
        <v>194</v>
      </c>
      <c r="D175" s="531"/>
      <c r="E175" s="359"/>
      <c r="F175" s="360"/>
      <c r="G175" s="360"/>
      <c r="H175" s="553"/>
      <c r="I175" s="553"/>
      <c r="J175" s="553"/>
      <c r="K175" s="553"/>
      <c r="L175" s="553"/>
      <c r="M175" s="553"/>
      <c r="N175" s="553"/>
      <c r="O175" s="553"/>
      <c r="P175" s="553"/>
      <c r="Q175" s="553"/>
      <c r="R175" s="360"/>
    </row>
    <row r="176" spans="1:18">
      <c r="A176" s="620"/>
      <c r="B176" s="620"/>
      <c r="C176" s="530" t="s">
        <v>193</v>
      </c>
      <c r="D176" s="530"/>
      <c r="E176" s="379"/>
      <c r="F176" s="378"/>
      <c r="G176" s="378"/>
      <c r="H176" s="552"/>
      <c r="I176" s="552"/>
      <c r="J176" s="552"/>
      <c r="K176" s="552"/>
      <c r="L176" s="552"/>
      <c r="M176" s="552"/>
      <c r="N176" s="552"/>
      <c r="O176" s="552"/>
      <c r="P176" s="552"/>
      <c r="Q176" s="552"/>
      <c r="R176" s="378"/>
    </row>
    <row r="177" spans="1:18">
      <c r="A177" s="620"/>
      <c r="B177" s="620"/>
      <c r="C177" s="531" t="s">
        <v>192</v>
      </c>
      <c r="D177" s="531"/>
      <c r="E177" s="359"/>
      <c r="F177" s="360"/>
      <c r="G177" s="360"/>
      <c r="H177" s="553"/>
      <c r="I177" s="553"/>
      <c r="J177" s="553"/>
      <c r="K177" s="553"/>
      <c r="L177" s="553"/>
      <c r="M177" s="553"/>
      <c r="N177" s="553"/>
      <c r="O177" s="553"/>
      <c r="P177" s="553"/>
      <c r="Q177" s="553"/>
      <c r="R177" s="360"/>
    </row>
    <row r="178" spans="1:18">
      <c r="A178" s="620"/>
      <c r="B178" s="621"/>
      <c r="C178" s="530" t="s">
        <v>191</v>
      </c>
      <c r="D178" s="530"/>
      <c r="E178" s="379"/>
      <c r="F178" s="378"/>
      <c r="G178" s="378"/>
      <c r="H178" s="552"/>
      <c r="I178" s="552"/>
      <c r="J178" s="552"/>
      <c r="K178" s="552"/>
      <c r="L178" s="552"/>
      <c r="M178" s="552"/>
      <c r="N178" s="552"/>
      <c r="O178" s="552"/>
      <c r="P178" s="552"/>
      <c r="Q178" s="552"/>
      <c r="R178" s="378"/>
    </row>
    <row r="179" spans="1:18">
      <c r="A179" s="620"/>
      <c r="B179" s="359"/>
      <c r="C179" s="531"/>
      <c r="D179" s="531"/>
      <c r="E179" s="359"/>
      <c r="F179" s="360"/>
      <c r="G179" s="360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360"/>
    </row>
    <row r="180" spans="1:18">
      <c r="A180" s="620"/>
      <c r="B180" s="619" t="s">
        <v>190</v>
      </c>
      <c r="C180" s="530" t="s">
        <v>189</v>
      </c>
      <c r="D180" s="530"/>
      <c r="E180" s="379"/>
      <c r="F180" s="378"/>
      <c r="G180" s="378"/>
      <c r="H180" s="552"/>
      <c r="I180" s="552"/>
      <c r="J180" s="552"/>
      <c r="K180" s="552"/>
      <c r="L180" s="552"/>
      <c r="M180" s="552"/>
      <c r="N180" s="552"/>
      <c r="O180" s="552"/>
      <c r="P180" s="552"/>
      <c r="Q180" s="552"/>
      <c r="R180" s="378"/>
    </row>
    <row r="181" spans="1:18">
      <c r="A181" s="620"/>
      <c r="B181" s="620"/>
      <c r="C181" s="531" t="s">
        <v>188</v>
      </c>
      <c r="D181" s="531"/>
      <c r="E181" s="359"/>
      <c r="F181" s="360"/>
      <c r="G181" s="360"/>
      <c r="H181" s="553"/>
      <c r="I181" s="553"/>
      <c r="J181" s="553"/>
      <c r="K181" s="553"/>
      <c r="L181" s="553"/>
      <c r="M181" s="553"/>
      <c r="N181" s="553"/>
      <c r="O181" s="553"/>
      <c r="P181" s="553"/>
      <c r="Q181" s="553"/>
      <c r="R181" s="360"/>
    </row>
    <row r="182" spans="1:18">
      <c r="A182" s="620"/>
      <c r="B182" s="621"/>
      <c r="C182" s="530" t="s">
        <v>187</v>
      </c>
      <c r="D182" s="530"/>
      <c r="E182" s="379"/>
      <c r="F182" s="378"/>
      <c r="G182" s="378"/>
      <c r="H182" s="552"/>
      <c r="I182" s="552"/>
      <c r="J182" s="552"/>
      <c r="K182" s="552"/>
      <c r="L182" s="552"/>
      <c r="M182" s="552"/>
      <c r="N182" s="552"/>
      <c r="O182" s="552"/>
      <c r="P182" s="552"/>
      <c r="Q182" s="552"/>
      <c r="R182" s="378"/>
    </row>
    <row r="183" spans="1:18">
      <c r="A183" s="620"/>
      <c r="B183" s="359"/>
      <c r="C183" s="531"/>
      <c r="D183" s="531"/>
      <c r="E183" s="359"/>
      <c r="F183" s="360"/>
      <c r="G183" s="360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360"/>
    </row>
    <row r="184" spans="1:18">
      <c r="A184" s="620"/>
      <c r="B184" s="619" t="s">
        <v>186</v>
      </c>
      <c r="C184" s="530" t="s">
        <v>185</v>
      </c>
      <c r="D184" s="530"/>
      <c r="E184" s="379"/>
      <c r="F184" s="378"/>
      <c r="G184" s="378"/>
      <c r="H184" s="552"/>
      <c r="I184" s="552"/>
      <c r="J184" s="552"/>
      <c r="K184" s="552"/>
      <c r="L184" s="552"/>
      <c r="M184" s="552"/>
      <c r="N184" s="552"/>
      <c r="O184" s="552"/>
      <c r="P184" s="552"/>
      <c r="Q184" s="552"/>
      <c r="R184" s="378"/>
    </row>
    <row r="185" spans="1:18">
      <c r="A185" s="620"/>
      <c r="B185" s="620"/>
      <c r="C185" s="531" t="s">
        <v>184</v>
      </c>
      <c r="D185" s="531"/>
      <c r="E185" s="359"/>
      <c r="F185" s="360"/>
      <c r="G185" s="360"/>
      <c r="H185" s="553"/>
      <c r="I185" s="553"/>
      <c r="J185" s="553"/>
      <c r="K185" s="553"/>
      <c r="L185" s="553"/>
      <c r="M185" s="553"/>
      <c r="N185" s="553"/>
      <c r="O185" s="553"/>
      <c r="P185" s="553"/>
      <c r="Q185" s="553"/>
      <c r="R185" s="360"/>
    </row>
    <row r="186" spans="1:18">
      <c r="A186" s="620"/>
      <c r="B186" s="620"/>
      <c r="C186" s="530" t="s">
        <v>183</v>
      </c>
      <c r="D186" s="530"/>
      <c r="E186" s="379"/>
      <c r="F186" s="378"/>
      <c r="G186" s="378"/>
      <c r="H186" s="552"/>
      <c r="I186" s="552"/>
      <c r="J186" s="552"/>
      <c r="K186" s="552"/>
      <c r="L186" s="552"/>
      <c r="M186" s="552"/>
      <c r="N186" s="552"/>
      <c r="O186" s="552"/>
      <c r="P186" s="552"/>
      <c r="Q186" s="552"/>
      <c r="R186" s="378"/>
    </row>
    <row r="187" spans="1:18">
      <c r="A187" s="620"/>
      <c r="B187" s="621"/>
      <c r="C187" s="531" t="s">
        <v>182</v>
      </c>
      <c r="D187" s="531"/>
      <c r="E187" s="359"/>
      <c r="F187" s="360"/>
      <c r="G187" s="360"/>
      <c r="H187" s="553"/>
      <c r="I187" s="553"/>
      <c r="J187" s="553"/>
      <c r="K187" s="553"/>
      <c r="L187" s="553"/>
      <c r="M187" s="553"/>
      <c r="N187" s="553"/>
      <c r="O187" s="553"/>
      <c r="P187" s="553"/>
      <c r="Q187" s="553"/>
      <c r="R187" s="360"/>
    </row>
    <row r="188" spans="1:18">
      <c r="A188" s="620"/>
      <c r="B188" s="379"/>
      <c r="C188" s="530"/>
      <c r="D188" s="530"/>
      <c r="E188" s="379"/>
      <c r="F188" s="378"/>
      <c r="G188" s="378"/>
      <c r="H188" s="552"/>
      <c r="I188" s="552"/>
      <c r="J188" s="552"/>
      <c r="K188" s="552"/>
      <c r="L188" s="552"/>
      <c r="M188" s="552"/>
      <c r="N188" s="552"/>
      <c r="O188" s="552"/>
      <c r="P188" s="552"/>
      <c r="Q188" s="552"/>
      <c r="R188" s="378"/>
    </row>
    <row r="189" spans="1:18">
      <c r="A189" s="620"/>
      <c r="B189" s="616" t="s">
        <v>181</v>
      </c>
      <c r="C189" s="531" t="s">
        <v>180</v>
      </c>
      <c r="D189" s="531"/>
      <c r="E189" s="359"/>
      <c r="F189" s="360"/>
      <c r="G189" s="360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360"/>
    </row>
    <row r="190" spans="1:18">
      <c r="A190" s="620"/>
      <c r="B190" s="617"/>
      <c r="C190" s="530" t="s">
        <v>179</v>
      </c>
      <c r="D190" s="530"/>
      <c r="E190" s="379"/>
      <c r="F190" s="378"/>
      <c r="G190" s="378"/>
      <c r="H190" s="552"/>
      <c r="I190" s="552"/>
      <c r="J190" s="552"/>
      <c r="K190" s="552"/>
      <c r="L190" s="552"/>
      <c r="M190" s="552"/>
      <c r="N190" s="552"/>
      <c r="O190" s="552"/>
      <c r="P190" s="552"/>
      <c r="Q190" s="552"/>
      <c r="R190" s="378"/>
    </row>
    <row r="191" spans="1:18">
      <c r="A191" s="620"/>
      <c r="B191" s="617"/>
      <c r="C191" s="531" t="s">
        <v>178</v>
      </c>
      <c r="D191" s="531"/>
      <c r="E191" s="359"/>
      <c r="F191" s="360"/>
      <c r="G191" s="360"/>
      <c r="H191" s="553"/>
      <c r="I191" s="553"/>
      <c r="J191" s="553"/>
      <c r="K191" s="553"/>
      <c r="L191" s="553"/>
      <c r="M191" s="553"/>
      <c r="N191" s="553"/>
      <c r="O191" s="553"/>
      <c r="P191" s="553"/>
      <c r="Q191" s="553"/>
      <c r="R191" s="360"/>
    </row>
    <row r="192" spans="1:18">
      <c r="A192" s="620"/>
      <c r="B192" s="617"/>
      <c r="C192" s="530" t="s">
        <v>177</v>
      </c>
      <c r="D192" s="530"/>
      <c r="E192" s="379"/>
      <c r="F192" s="378"/>
      <c r="G192" s="378"/>
      <c r="H192" s="552"/>
      <c r="I192" s="552"/>
      <c r="J192" s="552"/>
      <c r="K192" s="552"/>
      <c r="L192" s="552"/>
      <c r="M192" s="552"/>
      <c r="N192" s="552"/>
      <c r="O192" s="552"/>
      <c r="P192" s="552"/>
      <c r="Q192" s="552"/>
      <c r="R192" s="378"/>
    </row>
    <row r="193" spans="1:18">
      <c r="A193" s="620"/>
      <c r="B193" s="618"/>
      <c r="C193" s="531" t="s">
        <v>176</v>
      </c>
      <c r="D193" s="531"/>
      <c r="E193" s="359"/>
      <c r="F193" s="360"/>
      <c r="G193" s="360"/>
      <c r="H193" s="553"/>
      <c r="I193" s="553"/>
      <c r="J193" s="553"/>
      <c r="K193" s="553"/>
      <c r="L193" s="553"/>
      <c r="M193" s="553"/>
      <c r="N193" s="553"/>
      <c r="O193" s="553"/>
      <c r="P193" s="553"/>
      <c r="Q193" s="553"/>
      <c r="R193" s="360"/>
    </row>
    <row r="194" spans="1:18">
      <c r="A194" s="620"/>
      <c r="B194" s="379"/>
      <c r="C194" s="530"/>
      <c r="D194" s="530"/>
      <c r="E194" s="379"/>
      <c r="F194" s="378"/>
      <c r="G194" s="378"/>
      <c r="H194" s="552"/>
      <c r="I194" s="552"/>
      <c r="J194" s="552"/>
      <c r="K194" s="552"/>
      <c r="L194" s="552"/>
      <c r="M194" s="552"/>
      <c r="N194" s="552"/>
      <c r="O194" s="552"/>
      <c r="P194" s="552"/>
      <c r="Q194" s="552"/>
      <c r="R194" s="378"/>
    </row>
    <row r="195" spans="1:18">
      <c r="A195" s="621"/>
      <c r="B195" s="359" t="s">
        <v>175</v>
      </c>
      <c r="C195" s="531" t="s">
        <v>174</v>
      </c>
      <c r="D195" s="531"/>
      <c r="E195" s="359"/>
      <c r="F195" s="360"/>
      <c r="G195" s="360"/>
      <c r="H195" s="553"/>
      <c r="I195" s="553"/>
      <c r="J195" s="553"/>
      <c r="K195" s="553"/>
      <c r="L195" s="553"/>
      <c r="M195" s="553"/>
      <c r="N195" s="553"/>
      <c r="O195" s="553"/>
      <c r="P195" s="553"/>
      <c r="Q195" s="553"/>
      <c r="R195" s="360"/>
    </row>
    <row r="196" spans="1:18">
      <c r="A196" s="539"/>
      <c r="B196" s="359"/>
      <c r="C196" s="531"/>
      <c r="D196" s="531"/>
      <c r="E196" s="359"/>
      <c r="F196" s="360"/>
      <c r="G196" s="360"/>
      <c r="H196" s="553"/>
      <c r="I196" s="553"/>
      <c r="J196" s="553"/>
      <c r="K196" s="553"/>
      <c r="L196" s="553"/>
      <c r="M196" s="553"/>
      <c r="N196" s="553"/>
      <c r="O196" s="553"/>
      <c r="P196" s="553"/>
      <c r="Q196" s="553"/>
      <c r="R196" s="360"/>
    </row>
    <row r="197" spans="1:18">
      <c r="A197" s="540"/>
      <c r="B197" s="480"/>
      <c r="C197" s="541"/>
      <c r="D197" s="541"/>
      <c r="E197" s="480"/>
      <c r="F197" s="481">
        <f>SUM(F137:F195)</f>
        <v>26150000</v>
      </c>
      <c r="G197" s="481">
        <f>SUM(G137:G195)</f>
        <v>26150000</v>
      </c>
      <c r="H197" s="565">
        <f>SUM(G137:G195)</f>
        <v>26150000</v>
      </c>
      <c r="I197" s="565">
        <f>SUM(I137:I195)</f>
        <v>26150000</v>
      </c>
      <c r="J197" s="565">
        <f>SUM(J137:J195)</f>
        <v>26150000</v>
      </c>
      <c r="K197" s="565">
        <f>SUM(K137:K195)</f>
        <v>26150000</v>
      </c>
      <c r="L197" s="565">
        <f>SUM(L137:L195)</f>
        <v>26150000</v>
      </c>
      <c r="M197" s="565">
        <f>SUM(M137:M195)</f>
        <v>26150000</v>
      </c>
      <c r="N197" s="565">
        <f>SUM(N138:N195)</f>
        <v>26150000</v>
      </c>
      <c r="O197" s="565">
        <f>SUM(O137:O195)</f>
        <v>26150000</v>
      </c>
      <c r="P197" s="565">
        <f>SUM(P137:P195)</f>
        <v>26150000</v>
      </c>
      <c r="Q197" s="565">
        <f>SUM(Q137:Q195)</f>
        <v>26150000</v>
      </c>
      <c r="R197" s="481">
        <f>SUM(H197:Q197,G197,F197)</f>
        <v>313800000</v>
      </c>
    </row>
  </sheetData>
  <mergeCells count="88">
    <mergeCell ref="B17:B22"/>
    <mergeCell ref="A17:A41"/>
    <mergeCell ref="D17:D22"/>
    <mergeCell ref="D24:D31"/>
    <mergeCell ref="B10:B12"/>
    <mergeCell ref="B3:B4"/>
    <mergeCell ref="B69:B70"/>
    <mergeCell ref="B134:B135"/>
    <mergeCell ref="A3:A4"/>
    <mergeCell ref="A69:A70"/>
    <mergeCell ref="A134:A135"/>
    <mergeCell ref="B58:B62"/>
    <mergeCell ref="B53:B56"/>
    <mergeCell ref="B49:B51"/>
    <mergeCell ref="B43:B47"/>
    <mergeCell ref="A43:A64"/>
    <mergeCell ref="B33:B41"/>
    <mergeCell ref="B24:B31"/>
    <mergeCell ref="A109:A130"/>
    <mergeCell ref="B109:B113"/>
    <mergeCell ref="B115:B117"/>
    <mergeCell ref="G69:G70"/>
    <mergeCell ref="H69:H70"/>
    <mergeCell ref="I69:I70"/>
    <mergeCell ref="E69:E70"/>
    <mergeCell ref="C1:S1"/>
    <mergeCell ref="K3:K4"/>
    <mergeCell ref="L3:L4"/>
    <mergeCell ref="C3:C4"/>
    <mergeCell ref="F3:F4"/>
    <mergeCell ref="G3:G4"/>
    <mergeCell ref="H3:H4"/>
    <mergeCell ref="I3:I4"/>
    <mergeCell ref="J3:J4"/>
    <mergeCell ref="E3:E4"/>
    <mergeCell ref="O69:O70"/>
    <mergeCell ref="P69:P70"/>
    <mergeCell ref="O134:O135"/>
    <mergeCell ref="P134:P135"/>
    <mergeCell ref="Q134:Q135"/>
    <mergeCell ref="R134:R135"/>
    <mergeCell ref="J69:J70"/>
    <mergeCell ref="Q69:Q70"/>
    <mergeCell ref="K69:K70"/>
    <mergeCell ref="L69:L70"/>
    <mergeCell ref="M69:M70"/>
    <mergeCell ref="N69:N70"/>
    <mergeCell ref="J134:J135"/>
    <mergeCell ref="K134:K135"/>
    <mergeCell ref="L134:L135"/>
    <mergeCell ref="M134:M135"/>
    <mergeCell ref="N134:N135"/>
    <mergeCell ref="C134:C135"/>
    <mergeCell ref="F134:F135"/>
    <mergeCell ref="G134:G135"/>
    <mergeCell ref="H134:H135"/>
    <mergeCell ref="I134:I135"/>
    <mergeCell ref="E134:E135"/>
    <mergeCell ref="R3:R4"/>
    <mergeCell ref="B76:B78"/>
    <mergeCell ref="A83:A107"/>
    <mergeCell ref="B83:B88"/>
    <mergeCell ref="D83:D88"/>
    <mergeCell ref="B90:B97"/>
    <mergeCell ref="D90:D97"/>
    <mergeCell ref="B99:B107"/>
    <mergeCell ref="M3:M4"/>
    <mergeCell ref="N3:N4"/>
    <mergeCell ref="O3:O4"/>
    <mergeCell ref="P3:P4"/>
    <mergeCell ref="Q3:Q4"/>
    <mergeCell ref="R69:R70"/>
    <mergeCell ref="C69:C70"/>
    <mergeCell ref="F69:F70"/>
    <mergeCell ref="B119:B122"/>
    <mergeCell ref="B124:B128"/>
    <mergeCell ref="B141:B143"/>
    <mergeCell ref="A148:A172"/>
    <mergeCell ref="B148:B153"/>
    <mergeCell ref="D148:D153"/>
    <mergeCell ref="B155:B162"/>
    <mergeCell ref="D155:D162"/>
    <mergeCell ref="B164:B172"/>
    <mergeCell ref="A174:A195"/>
    <mergeCell ref="B174:B178"/>
    <mergeCell ref="B180:B182"/>
    <mergeCell ref="B184:B187"/>
    <mergeCell ref="B189:B193"/>
  </mergeCells>
  <phoneticPr fontId="11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Q34"/>
  <sheetViews>
    <sheetView workbookViewId="0">
      <selection activeCell="A2" sqref="A2"/>
    </sheetView>
  </sheetViews>
  <sheetFormatPr defaultColWidth="9.15234375" defaultRowHeight="12.9"/>
  <cols>
    <col min="1" max="1" width="36" style="319" bestFit="1" customWidth="1"/>
    <col min="2" max="13" width="14.4609375" style="319" bestFit="1" customWidth="1"/>
    <col min="14" max="16" width="17.3046875" style="319" bestFit="1" customWidth="1"/>
    <col min="17" max="16384" width="9.15234375" style="319"/>
  </cols>
  <sheetData>
    <row r="1" spans="1:16" ht="26.15">
      <c r="A1" s="611" t="s">
        <v>164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</row>
    <row r="2" spans="1:16" s="335" customFormat="1" ht="24.75" customHeight="1">
      <c r="A2" s="381" t="s">
        <v>168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34"/>
    </row>
    <row r="3" spans="1:16" s="335" customFormat="1">
      <c r="A3" s="610" t="s">
        <v>115</v>
      </c>
      <c r="B3" s="613">
        <v>43586</v>
      </c>
      <c r="C3" s="612">
        <v>43617</v>
      </c>
      <c r="D3" s="613">
        <v>43647</v>
      </c>
      <c r="E3" s="605">
        <v>43678</v>
      </c>
      <c r="F3" s="609">
        <v>43709</v>
      </c>
      <c r="G3" s="605">
        <v>43739</v>
      </c>
      <c r="H3" s="609">
        <v>43770</v>
      </c>
      <c r="I3" s="605">
        <v>43800</v>
      </c>
      <c r="J3" s="609">
        <v>43831</v>
      </c>
      <c r="K3" s="605">
        <v>43862</v>
      </c>
      <c r="L3" s="609">
        <v>43891</v>
      </c>
      <c r="M3" s="605">
        <v>43922</v>
      </c>
      <c r="N3" s="608" t="s">
        <v>112</v>
      </c>
      <c r="O3" s="339"/>
    </row>
    <row r="4" spans="1:16" s="335" customFormat="1">
      <c r="A4" s="610"/>
      <c r="B4" s="613"/>
      <c r="C4" s="612"/>
      <c r="D4" s="613"/>
      <c r="E4" s="605"/>
      <c r="F4" s="609"/>
      <c r="G4" s="605"/>
      <c r="H4" s="609"/>
      <c r="I4" s="605"/>
      <c r="J4" s="609"/>
      <c r="K4" s="605"/>
      <c r="L4" s="609"/>
      <c r="M4" s="605"/>
      <c r="N4" s="608"/>
      <c r="O4" s="339"/>
    </row>
    <row r="5" spans="1:16" s="335" customFormat="1">
      <c r="A5" s="377"/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34"/>
    </row>
    <row r="6" spans="1:16" s="335" customFormat="1">
      <c r="A6" s="377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34"/>
    </row>
    <row r="7" spans="1:16" s="335" customFormat="1">
      <c r="A7" s="359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34"/>
    </row>
    <row r="8" spans="1:16" s="335" customFormat="1">
      <c r="A8" s="359"/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34"/>
    </row>
    <row r="9" spans="1:16" s="335" customFormat="1">
      <c r="A9" s="359"/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34"/>
    </row>
    <row r="10" spans="1:16" s="335" customFormat="1">
      <c r="A10" s="379"/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34"/>
    </row>
    <row r="11" spans="1:16" s="335" customFormat="1" ht="24.75" customHeight="1">
      <c r="A11" s="381" t="s">
        <v>169</v>
      </c>
      <c r="B11" s="376"/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34"/>
    </row>
    <row r="12" spans="1:16" s="335" customFormat="1">
      <c r="A12" s="610" t="s">
        <v>115</v>
      </c>
      <c r="B12" s="613">
        <v>43952</v>
      </c>
      <c r="C12" s="612">
        <v>43983</v>
      </c>
      <c r="D12" s="613">
        <v>44013</v>
      </c>
      <c r="E12" s="612">
        <v>44044</v>
      </c>
      <c r="F12" s="613">
        <v>44075</v>
      </c>
      <c r="G12" s="612">
        <v>44105</v>
      </c>
      <c r="H12" s="613">
        <v>44136</v>
      </c>
      <c r="I12" s="612">
        <v>44166</v>
      </c>
      <c r="J12" s="613">
        <v>44197</v>
      </c>
      <c r="K12" s="612">
        <v>44228</v>
      </c>
      <c r="L12" s="613">
        <v>44256</v>
      </c>
      <c r="M12" s="605">
        <v>44287</v>
      </c>
      <c r="N12" s="608" t="s">
        <v>112</v>
      </c>
      <c r="O12" s="334"/>
    </row>
    <row r="13" spans="1:16" s="335" customFormat="1">
      <c r="A13" s="610"/>
      <c r="B13" s="613"/>
      <c r="C13" s="612"/>
      <c r="D13" s="613"/>
      <c r="E13" s="612"/>
      <c r="F13" s="613"/>
      <c r="G13" s="612"/>
      <c r="H13" s="613"/>
      <c r="I13" s="612"/>
      <c r="J13" s="613"/>
      <c r="K13" s="612"/>
      <c r="L13" s="613"/>
      <c r="M13" s="605"/>
      <c r="N13" s="608"/>
      <c r="O13" s="334"/>
    </row>
    <row r="14" spans="1:16" s="335" customFormat="1" ht="13.5" customHeight="1">
      <c r="A14" s="377"/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34"/>
    </row>
    <row r="15" spans="1:16" s="349" customFormat="1">
      <c r="A15" s="359"/>
      <c r="B15" s="360"/>
      <c r="C15" s="360"/>
      <c r="D15" s="360"/>
      <c r="E15" s="360"/>
      <c r="F15" s="360"/>
      <c r="G15" s="360"/>
      <c r="H15" s="360"/>
      <c r="I15" s="360"/>
      <c r="J15" s="360"/>
      <c r="K15" s="360"/>
      <c r="L15" s="360"/>
      <c r="M15" s="360"/>
      <c r="N15" s="361"/>
      <c r="O15" s="342"/>
      <c r="P15" s="348"/>
    </row>
    <row r="16" spans="1:16" s="349" customFormat="1">
      <c r="A16" s="359"/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  <c r="O16" s="342"/>
      <c r="P16" s="348"/>
    </row>
    <row r="17" spans="1:17" s="349" customFormat="1">
      <c r="A17" s="359"/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42"/>
      <c r="P17" s="348"/>
    </row>
    <row r="18" spans="1:17" s="349" customFormat="1">
      <c r="A18" s="359"/>
      <c r="B18" s="362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0"/>
      <c r="O18" s="342"/>
      <c r="P18" s="348"/>
    </row>
    <row r="19" spans="1:17" s="335" customFormat="1" ht="12" customHeight="1">
      <c r="A19" s="379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34"/>
      <c r="P19" s="350"/>
    </row>
    <row r="20" spans="1:17" s="335" customFormat="1" ht="24.75" customHeight="1">
      <c r="A20" s="381" t="s">
        <v>170</v>
      </c>
      <c r="B20" s="376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34"/>
    </row>
    <row r="21" spans="1:17" s="335" customFormat="1">
      <c r="A21" s="610" t="s">
        <v>115</v>
      </c>
      <c r="B21" s="613">
        <v>44317</v>
      </c>
      <c r="C21" s="612">
        <v>44348</v>
      </c>
      <c r="D21" s="613">
        <v>44378</v>
      </c>
      <c r="E21" s="612">
        <v>44409</v>
      </c>
      <c r="F21" s="613">
        <v>44440</v>
      </c>
      <c r="G21" s="612">
        <v>44470</v>
      </c>
      <c r="H21" s="613">
        <v>44501</v>
      </c>
      <c r="I21" s="612">
        <v>44531</v>
      </c>
      <c r="J21" s="613">
        <v>44562</v>
      </c>
      <c r="K21" s="612">
        <v>44593</v>
      </c>
      <c r="L21" s="613">
        <v>44621</v>
      </c>
      <c r="M21" s="612">
        <v>44652</v>
      </c>
      <c r="N21" s="608" t="s">
        <v>112</v>
      </c>
      <c r="O21" s="334"/>
      <c r="P21" s="350"/>
    </row>
    <row r="22" spans="1:17" s="335" customFormat="1">
      <c r="A22" s="610"/>
      <c r="B22" s="613"/>
      <c r="C22" s="612"/>
      <c r="D22" s="613"/>
      <c r="E22" s="612"/>
      <c r="F22" s="613"/>
      <c r="G22" s="612"/>
      <c r="H22" s="613"/>
      <c r="I22" s="612"/>
      <c r="J22" s="613"/>
      <c r="K22" s="612"/>
      <c r="L22" s="613"/>
      <c r="M22" s="612"/>
      <c r="N22" s="608"/>
      <c r="O22" s="334"/>
      <c r="P22" s="350"/>
    </row>
    <row r="23" spans="1:17" s="335" customFormat="1">
      <c r="A23" s="377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34"/>
      <c r="P23" s="350"/>
    </row>
    <row r="24" spans="1:17" s="349" customFormat="1">
      <c r="A24" s="359"/>
      <c r="B24" s="362"/>
      <c r="C24" s="362"/>
      <c r="D24" s="362"/>
      <c r="E24" s="362"/>
      <c r="F24" s="362"/>
      <c r="G24" s="362"/>
      <c r="H24" s="362"/>
      <c r="I24" s="362"/>
      <c r="J24" s="362"/>
      <c r="K24" s="362"/>
      <c r="L24" s="362"/>
      <c r="M24" s="362"/>
      <c r="N24" s="361"/>
      <c r="O24" s="342"/>
      <c r="P24" s="348"/>
    </row>
    <row r="25" spans="1:17" s="335" customFormat="1">
      <c r="A25" s="359"/>
      <c r="B25" s="360"/>
      <c r="C25" s="360"/>
      <c r="D25" s="360"/>
      <c r="E25" s="360"/>
      <c r="F25" s="360"/>
      <c r="G25" s="360"/>
      <c r="H25" s="360"/>
      <c r="I25" s="360"/>
      <c r="J25" s="360"/>
      <c r="K25" s="360"/>
      <c r="L25" s="360"/>
      <c r="M25" s="360"/>
      <c r="N25" s="361"/>
      <c r="O25" s="334"/>
      <c r="P25" s="350"/>
    </row>
    <row r="26" spans="1:17" s="349" customFormat="1">
      <c r="A26" s="359"/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0"/>
      <c r="O26" s="342"/>
      <c r="P26" s="348"/>
    </row>
    <row r="27" spans="1:17" s="349" customFormat="1">
      <c r="A27" s="359"/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42"/>
      <c r="P27" s="348"/>
    </row>
    <row r="28" spans="1:17" s="335" customFormat="1">
      <c r="A28" s="379"/>
      <c r="B28" s="378"/>
      <c r="C28" s="378"/>
      <c r="D28" s="378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34"/>
      <c r="P28" s="350"/>
    </row>
    <row r="29" spans="1:17" s="335" customFormat="1">
      <c r="A29" s="379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78"/>
      <c r="O29" s="334"/>
      <c r="P29" s="350"/>
    </row>
    <row r="30" spans="1:17">
      <c r="A30" s="364"/>
      <c r="B30" s="369"/>
      <c r="C30" s="369"/>
      <c r="D30" s="369"/>
      <c r="E30" s="320"/>
      <c r="F30" s="320"/>
      <c r="G30" s="320"/>
      <c r="H30" s="320"/>
      <c r="I30" s="320"/>
      <c r="J30" s="320"/>
      <c r="K30" s="320"/>
      <c r="L30" s="320"/>
      <c r="M30" s="320"/>
      <c r="N30" s="320"/>
      <c r="O30" s="320"/>
      <c r="P30" s="320"/>
      <c r="Q30" s="320"/>
    </row>
    <row r="31" spans="1:17">
      <c r="A31" s="364"/>
      <c r="B31" s="369"/>
      <c r="C31" s="369"/>
      <c r="D31" s="369"/>
      <c r="E31" s="320"/>
      <c r="F31" s="320"/>
      <c r="G31" s="320"/>
      <c r="H31" s="320"/>
      <c r="I31" s="320"/>
      <c r="J31" s="320"/>
      <c r="K31" s="320"/>
      <c r="L31" s="320"/>
      <c r="M31" s="320"/>
      <c r="N31" s="320"/>
      <c r="O31" s="320"/>
      <c r="P31" s="320"/>
      <c r="Q31" s="320"/>
    </row>
    <row r="32" spans="1:17">
      <c r="A32" s="364" t="s">
        <v>168</v>
      </c>
      <c r="B32" s="320">
        <f>SUM(B5:B10)</f>
        <v>0</v>
      </c>
      <c r="C32" s="320">
        <f t="shared" ref="C32:K32" si="0">SUM(C5:C10)</f>
        <v>0</v>
      </c>
      <c r="D32" s="320">
        <f t="shared" si="0"/>
        <v>0</v>
      </c>
      <c r="E32" s="320">
        <f t="shared" si="0"/>
        <v>0</v>
      </c>
      <c r="F32" s="320">
        <f t="shared" si="0"/>
        <v>0</v>
      </c>
      <c r="G32" s="320">
        <f t="shared" si="0"/>
        <v>0</v>
      </c>
      <c r="H32" s="320">
        <f t="shared" si="0"/>
        <v>0</v>
      </c>
      <c r="I32" s="320">
        <f t="shared" si="0"/>
        <v>0</v>
      </c>
      <c r="J32" s="320">
        <f t="shared" si="0"/>
        <v>0</v>
      </c>
      <c r="K32" s="320">
        <f t="shared" si="0"/>
        <v>0</v>
      </c>
      <c r="L32" s="320">
        <f>SUM(L5:L10)</f>
        <v>0</v>
      </c>
      <c r="M32" s="320">
        <f t="shared" ref="M32" si="1">SUM(M5:M10)</f>
        <v>0</v>
      </c>
      <c r="N32" s="320"/>
      <c r="O32" s="320"/>
      <c r="P32" s="320"/>
      <c r="Q32" s="320"/>
    </row>
    <row r="33" spans="1:13">
      <c r="A33" s="364" t="s">
        <v>169</v>
      </c>
      <c r="B33" s="357">
        <f>SUM(B14:B19)</f>
        <v>0</v>
      </c>
      <c r="C33" s="357">
        <f t="shared" ref="C33:K33" si="2">SUM(C14:C19)</f>
        <v>0</v>
      </c>
      <c r="D33" s="357">
        <f t="shared" si="2"/>
        <v>0</v>
      </c>
      <c r="E33" s="357">
        <f t="shared" si="2"/>
        <v>0</v>
      </c>
      <c r="F33" s="357">
        <f t="shared" si="2"/>
        <v>0</v>
      </c>
      <c r="G33" s="357">
        <f t="shared" si="2"/>
        <v>0</v>
      </c>
      <c r="H33" s="357">
        <f t="shared" si="2"/>
        <v>0</v>
      </c>
      <c r="I33" s="357">
        <f t="shared" si="2"/>
        <v>0</v>
      </c>
      <c r="J33" s="357">
        <f t="shared" si="2"/>
        <v>0</v>
      </c>
      <c r="K33" s="357">
        <f t="shared" si="2"/>
        <v>0</v>
      </c>
      <c r="L33" s="357">
        <f>SUM(L14:L19)</f>
        <v>0</v>
      </c>
      <c r="M33" s="357">
        <f t="shared" ref="M33" si="3">SUM(M14:M19)</f>
        <v>0</v>
      </c>
    </row>
    <row r="34" spans="1:13">
      <c r="A34" s="364" t="s">
        <v>170</v>
      </c>
      <c r="B34" s="357">
        <f>SUM(B23:B29)</f>
        <v>0</v>
      </c>
      <c r="C34" s="357">
        <f t="shared" ref="C34:K34" si="4">SUM(C23:C29)</f>
        <v>0</v>
      </c>
      <c r="D34" s="357">
        <f t="shared" si="4"/>
        <v>0</v>
      </c>
      <c r="E34" s="357">
        <f t="shared" si="4"/>
        <v>0</v>
      </c>
      <c r="F34" s="357">
        <f t="shared" si="4"/>
        <v>0</v>
      </c>
      <c r="G34" s="357">
        <f t="shared" si="4"/>
        <v>0</v>
      </c>
      <c r="H34" s="357">
        <f t="shared" si="4"/>
        <v>0</v>
      </c>
      <c r="I34" s="357">
        <f t="shared" si="4"/>
        <v>0</v>
      </c>
      <c r="J34" s="357">
        <f t="shared" si="4"/>
        <v>0</v>
      </c>
      <c r="K34" s="357">
        <f t="shared" si="4"/>
        <v>0</v>
      </c>
      <c r="L34" s="357">
        <f>SUM(L23:L29)</f>
        <v>0</v>
      </c>
      <c r="M34" s="357">
        <f t="shared" ref="M34" si="5">SUM(M23:M29)</f>
        <v>0</v>
      </c>
    </row>
  </sheetData>
  <mergeCells count="43">
    <mergeCell ref="A1:O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F21:F22"/>
    <mergeCell ref="G21:G22"/>
    <mergeCell ref="H21:H22"/>
    <mergeCell ref="I21:I22"/>
    <mergeCell ref="J21:J22"/>
    <mergeCell ref="A21:A22"/>
    <mergeCell ref="B21:B22"/>
    <mergeCell ref="C21:C22"/>
    <mergeCell ref="D21:D22"/>
    <mergeCell ref="E21:E22"/>
    <mergeCell ref="M21:M22"/>
    <mergeCell ref="N21:N22"/>
    <mergeCell ref="K12:K13"/>
    <mergeCell ref="L12:L13"/>
    <mergeCell ref="M12:M13"/>
    <mergeCell ref="N12:N13"/>
    <mergeCell ref="K21:K22"/>
    <mergeCell ref="L21:L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39"/>
  <sheetViews>
    <sheetView workbookViewId="0">
      <selection activeCell="C17" sqref="C17"/>
    </sheetView>
  </sheetViews>
  <sheetFormatPr defaultColWidth="8.84375" defaultRowHeight="14.6" outlineLevelRow="2"/>
  <cols>
    <col min="2" max="2" width="29.15234375" bestFit="1" customWidth="1"/>
    <col min="3" max="3" width="18.4609375" customWidth="1"/>
    <col min="4" max="4" width="21.3046875" customWidth="1"/>
    <col min="5" max="5" width="23.4609375" customWidth="1"/>
    <col min="6" max="6" width="20" customWidth="1"/>
    <col min="7" max="7" width="19.84375" customWidth="1"/>
  </cols>
  <sheetData>
    <row r="2" spans="2:7" ht="20.6">
      <c r="B2" s="307" t="s">
        <v>128</v>
      </c>
      <c r="C2" s="310" t="s">
        <v>120</v>
      </c>
      <c r="D2" s="310" t="s">
        <v>121</v>
      </c>
      <c r="E2" s="310" t="s">
        <v>122</v>
      </c>
      <c r="F2" s="305"/>
      <c r="G2" s="305"/>
    </row>
    <row r="3" spans="2:7">
      <c r="B3" t="str">
        <f>REVENUE!A7</f>
        <v>xxxx</v>
      </c>
      <c r="C3" s="297">
        <f>REVENUE!AA7</f>
        <v>0</v>
      </c>
      <c r="D3" s="297">
        <f>REVENUE!AA288</f>
        <v>0</v>
      </c>
      <c r="E3" s="297" t="e">
        <f>REVENUE!#REF!</f>
        <v>#REF!</v>
      </c>
    </row>
    <row r="4" spans="2:7">
      <c r="B4">
        <f>REVENUE!A8</f>
        <v>0</v>
      </c>
      <c r="C4" s="297">
        <f>REVENUE!AA281</f>
        <v>0</v>
      </c>
      <c r="D4" s="297">
        <f>REVENUE!AA289</f>
        <v>0</v>
      </c>
      <c r="E4" s="297">
        <f>REVENUE!AA577</f>
        <v>0</v>
      </c>
    </row>
    <row r="5" spans="2:7">
      <c r="B5">
        <f>REVENUE!A281</f>
        <v>0</v>
      </c>
      <c r="C5" s="297">
        <f>REVENUE!AA281</f>
        <v>0</v>
      </c>
      <c r="D5" s="297">
        <f>REVENUE!AA290</f>
        <v>0</v>
      </c>
      <c r="E5" s="297">
        <f>REVENUE!AA592</f>
        <v>0</v>
      </c>
    </row>
    <row r="6" spans="2:7">
      <c r="C6" s="297"/>
      <c r="D6" s="297"/>
      <c r="E6" s="297"/>
    </row>
    <row r="7" spans="2:7">
      <c r="B7" s="303"/>
      <c r="C7" s="304"/>
      <c r="D7" s="304"/>
      <c r="E7" s="304"/>
      <c r="F7" s="303"/>
      <c r="G7" s="303"/>
    </row>
    <row r="8" spans="2:7" s="108" customFormat="1" ht="20.6">
      <c r="B8" s="310" t="s">
        <v>100</v>
      </c>
      <c r="C8" s="310" t="s">
        <v>120</v>
      </c>
      <c r="D8" s="310" t="s">
        <v>121</v>
      </c>
      <c r="E8" s="310" t="s">
        <v>122</v>
      </c>
      <c r="F8" s="310" t="s">
        <v>112</v>
      </c>
      <c r="G8" s="310" t="s">
        <v>76</v>
      </c>
    </row>
    <row r="9" spans="2:7">
      <c r="B9" s="294" t="str">
        <f>'Budget Plan'!A20</f>
        <v>Revenue</v>
      </c>
      <c r="C9" s="298">
        <f>SUM(C11:C14)</f>
        <v>0</v>
      </c>
      <c r="D9" s="298">
        <f>SUM(D11:D14)</f>
        <v>0</v>
      </c>
      <c r="E9" s="298">
        <f>SUM(E11:E14)</f>
        <v>0</v>
      </c>
      <c r="F9" s="298">
        <f>SUM(C9:E9)</f>
        <v>0</v>
      </c>
      <c r="G9" s="302" t="e">
        <f>F9/$F$9</f>
        <v>#DIV/0!</v>
      </c>
    </row>
    <row r="10" spans="2:7" outlineLevel="1">
      <c r="B10" s="295" t="s">
        <v>124</v>
      </c>
      <c r="C10" s="298"/>
      <c r="D10" s="298"/>
      <c r="E10" s="298"/>
      <c r="F10" s="298"/>
      <c r="G10" s="302"/>
    </row>
    <row r="11" spans="2:7" outlineLevel="1">
      <c r="B11" s="293" t="str">
        <f>'Budget Plan'!A22</f>
        <v>Revenue From sales</v>
      </c>
      <c r="C11" s="296">
        <f>SUM('Budget Plan'!G22:R22)</f>
        <v>0</v>
      </c>
      <c r="D11" s="296">
        <f>SUM('Budget Plan'!S22:AD22)</f>
        <v>0</v>
      </c>
      <c r="E11" s="296">
        <f>SUM('Budget Plan'!AE22:AP22)</f>
        <v>0</v>
      </c>
      <c r="F11" s="296">
        <f t="shared" ref="F11:F22" si="0">SUM(C11:E11)</f>
        <v>0</v>
      </c>
      <c r="G11" s="300" t="e">
        <f t="shared" ref="G11:G19" si="1">F11/$F$9</f>
        <v>#DIV/0!</v>
      </c>
    </row>
    <row r="12" spans="2:7" outlineLevel="1">
      <c r="B12" s="293"/>
      <c r="C12" s="296"/>
      <c r="D12" s="296"/>
      <c r="E12" s="296"/>
      <c r="F12" s="296"/>
      <c r="G12" s="300"/>
    </row>
    <row r="13" spans="2:7" outlineLevel="1">
      <c r="B13" s="293"/>
      <c r="C13" s="296"/>
      <c r="D13" s="296"/>
      <c r="E13" s="296"/>
      <c r="F13" s="296"/>
      <c r="G13" s="300"/>
    </row>
    <row r="14" spans="2:7" outlineLevel="1">
      <c r="B14" s="293"/>
      <c r="C14" s="296"/>
      <c r="D14" s="296"/>
      <c r="E14" s="296"/>
      <c r="F14" s="296"/>
      <c r="G14" s="300"/>
    </row>
    <row r="15" spans="2:7">
      <c r="B15" s="294" t="str">
        <f>'Budget Plan'!A28</f>
        <v xml:space="preserve">Direct Cost </v>
      </c>
      <c r="C15" s="298">
        <f>SUM(C16:C18)</f>
        <v>0</v>
      </c>
      <c r="D15" s="298">
        <f>SUM(D16:D18)</f>
        <v>0</v>
      </c>
      <c r="E15" s="298">
        <f>SUM(E16:E18)</f>
        <v>0</v>
      </c>
      <c r="F15" s="298">
        <f t="shared" si="0"/>
        <v>0</v>
      </c>
      <c r="G15" s="302" t="e">
        <f t="shared" si="1"/>
        <v>#DIV/0!</v>
      </c>
    </row>
    <row r="16" spans="2:7" outlineLevel="1">
      <c r="B16" s="293" t="str">
        <f>'Budget Plan'!A29</f>
        <v>Onetime</v>
      </c>
      <c r="C16" s="296">
        <f>SUM('Budget Plan'!G29:R29)</f>
        <v>0</v>
      </c>
      <c r="D16" s="296">
        <f>SUM('Budget Plan'!S29:AD29)</f>
        <v>0</v>
      </c>
      <c r="E16" s="296">
        <f>SUM('Budget Plan'!AE29:AP29)</f>
        <v>0</v>
      </c>
      <c r="F16" s="296">
        <f t="shared" si="0"/>
        <v>0</v>
      </c>
      <c r="G16" s="300" t="e">
        <f t="shared" si="1"/>
        <v>#DIV/0!</v>
      </c>
    </row>
    <row r="17" spans="2:7" outlineLevel="1">
      <c r="B17" s="293">
        <f>'Budget Plan'!A33</f>
        <v>0</v>
      </c>
      <c r="C17" s="296">
        <f>SUM('Budget Plan'!G33:R33)</f>
        <v>0</v>
      </c>
      <c r="D17" s="296">
        <f>SUM('Budget Plan'!S33:AD33)</f>
        <v>0</v>
      </c>
      <c r="E17" s="296">
        <f>SUM('Budget Plan'!AE33:AP33)</f>
        <v>0</v>
      </c>
      <c r="F17" s="296">
        <f t="shared" si="0"/>
        <v>0</v>
      </c>
      <c r="G17" s="300" t="e">
        <f t="shared" si="1"/>
        <v>#DIV/0!</v>
      </c>
    </row>
    <row r="18" spans="2:7" outlineLevel="1">
      <c r="B18" s="295" t="str">
        <f>'Budget Plan'!A50</f>
        <v>Revenue Share</v>
      </c>
      <c r="C18" s="296">
        <f>SUM('Budget Plan'!G50:R50)</f>
        <v>0</v>
      </c>
      <c r="D18" s="296">
        <f>SUM('Budget Plan'!S50:AD50)</f>
        <v>0</v>
      </c>
      <c r="E18" s="296">
        <f>SUM('Budget Plan'!AE50:AP50)</f>
        <v>0</v>
      </c>
      <c r="F18" s="296">
        <f t="shared" si="0"/>
        <v>0</v>
      </c>
      <c r="G18" s="300" t="e">
        <f t="shared" si="1"/>
        <v>#DIV/0!</v>
      </c>
    </row>
    <row r="19" spans="2:7">
      <c r="B19" s="294" t="str">
        <f>'Budget Plan'!A53</f>
        <v>Gross Profit</v>
      </c>
      <c r="C19" s="299">
        <f>SUM('Budget Plan'!G53:R53)</f>
        <v>0</v>
      </c>
      <c r="D19" s="299">
        <f>SUM('Budget Plan'!S53:AD53)</f>
        <v>0</v>
      </c>
      <c r="E19" s="299">
        <f>SUM('Budget Plan'!AE53:AE53)</f>
        <v>0</v>
      </c>
      <c r="F19" s="299">
        <f t="shared" si="0"/>
        <v>0</v>
      </c>
      <c r="G19" s="301" t="e">
        <f t="shared" si="1"/>
        <v>#DIV/0!</v>
      </c>
    </row>
    <row r="20" spans="2:7">
      <c r="B20" s="306" t="str">
        <f>'Budget Plan'!A54</f>
        <v>SG&amp;A</v>
      </c>
      <c r="C20" s="312" t="e">
        <f>SUM('Budget Plan'!G54:R54)</f>
        <v>#REF!</v>
      </c>
      <c r="D20" s="312" t="e">
        <f>SUM('Budget Plan'!S54:AD54)</f>
        <v>#REF!</v>
      </c>
      <c r="E20" s="312" t="e">
        <f>SUM('Budget Plan'!AE54:AP54)</f>
        <v>#REF!</v>
      </c>
      <c r="F20" s="312" t="e">
        <f t="shared" si="0"/>
        <v>#REF!</v>
      </c>
      <c r="G20" s="313" t="e">
        <f>F20/$F$9</f>
        <v>#REF!</v>
      </c>
    </row>
    <row r="21" spans="2:7">
      <c r="B21" s="294" t="str">
        <f>'Budget Plan'!A76</f>
        <v>Net Profit</v>
      </c>
      <c r="C21" s="299" t="e">
        <f>SUM('Budget Plan'!G76:R76)</f>
        <v>#REF!</v>
      </c>
      <c r="D21" s="299" t="e">
        <f>SUM('Budget Plan'!S76:AD76)</f>
        <v>#REF!</v>
      </c>
      <c r="E21" s="299" t="e">
        <f>SUM('Budget Plan'!AE76:AP76)</f>
        <v>#REF!</v>
      </c>
      <c r="F21" s="299" t="e">
        <f t="shared" si="0"/>
        <v>#REF!</v>
      </c>
      <c r="G21" s="301" t="e">
        <f>F21/$F$9</f>
        <v>#REF!</v>
      </c>
    </row>
    <row r="22" spans="2:7">
      <c r="B22" s="294" t="s">
        <v>94</v>
      </c>
      <c r="C22" s="299" t="e">
        <f>'Budget Plan'!R77</f>
        <v>#REF!</v>
      </c>
      <c r="D22" s="299" t="e">
        <f>'Budget Plan'!AD77</f>
        <v>#REF!</v>
      </c>
      <c r="E22" s="299" t="e">
        <f>'Budget Plan'!AP77</f>
        <v>#REF!</v>
      </c>
      <c r="F22" s="299" t="e">
        <f t="shared" si="0"/>
        <v>#REF!</v>
      </c>
      <c r="G22" s="301"/>
    </row>
    <row r="23" spans="2:7">
      <c r="B23" s="303"/>
      <c r="C23" s="303"/>
      <c r="D23" s="303"/>
      <c r="E23" s="303"/>
      <c r="F23" s="303"/>
      <c r="G23" s="303"/>
    </row>
    <row r="24" spans="2:7" s="108" customFormat="1" ht="20.6">
      <c r="B24" s="310" t="s">
        <v>127</v>
      </c>
      <c r="C24" s="311" t="s">
        <v>120</v>
      </c>
      <c r="D24" s="310" t="s">
        <v>121</v>
      </c>
      <c r="E24" s="310" t="s">
        <v>122</v>
      </c>
      <c r="F24" s="310" t="s">
        <v>112</v>
      </c>
      <c r="G24" s="310" t="s">
        <v>76</v>
      </c>
    </row>
    <row r="25" spans="2:7">
      <c r="B25" s="299" t="s">
        <v>84</v>
      </c>
      <c r="C25" s="299">
        <f>SUM(C26:C27)</f>
        <v>0</v>
      </c>
      <c r="D25" s="299">
        <f>SUM(D26:D27)</f>
        <v>0</v>
      </c>
      <c r="E25" s="299">
        <f>SUM(E26:E27)</f>
        <v>0</v>
      </c>
      <c r="F25" s="299">
        <f>SUM(C25:E25)</f>
        <v>0</v>
      </c>
      <c r="G25" s="301" t="e">
        <f t="shared" ref="G25:G35" si="2">F25/$F$25</f>
        <v>#DIV/0!</v>
      </c>
    </row>
    <row r="26" spans="2:7" hidden="1" outlineLevel="1">
      <c r="B26" s="295" t="s">
        <v>124</v>
      </c>
      <c r="C26" s="296">
        <f>SUM('Budget Plan'!G80:R80)</f>
        <v>0</v>
      </c>
      <c r="D26" s="296">
        <f>SUM('Budget Plan'!H80:S80)</f>
        <v>0</v>
      </c>
      <c r="E26" s="296">
        <f>SUM('Budget Plan'!I80:T80)</f>
        <v>0</v>
      </c>
      <c r="F26" s="296">
        <f t="shared" ref="F26:F36" si="3">SUM(C26:E26)</f>
        <v>0</v>
      </c>
      <c r="G26" s="300" t="e">
        <f t="shared" si="2"/>
        <v>#DIV/0!</v>
      </c>
    </row>
    <row r="27" spans="2:7" hidden="1" outlineLevel="1">
      <c r="B27" s="293" t="s">
        <v>125</v>
      </c>
      <c r="C27" s="296">
        <f>SUM('Budget Plan'!G81:R82)</f>
        <v>0</v>
      </c>
      <c r="D27" s="296">
        <f>SUM('Budget Plan'!S81:AD82)</f>
        <v>0</v>
      </c>
      <c r="E27" s="296">
        <f>SUM('Budget Plan'!AE81:AP82)</f>
        <v>0</v>
      </c>
      <c r="F27" s="296">
        <f t="shared" si="3"/>
        <v>0</v>
      </c>
      <c r="G27" s="300" t="e">
        <f t="shared" si="2"/>
        <v>#DIV/0!</v>
      </c>
    </row>
    <row r="28" spans="2:7" collapsed="1">
      <c r="B28" s="294" t="s">
        <v>85</v>
      </c>
      <c r="C28" s="299" t="e">
        <f>SUM(C29,C32:C33)</f>
        <v>#REF!</v>
      </c>
      <c r="D28" s="299" t="e">
        <f>SUM(D29,D32:D33)</f>
        <v>#REF!</v>
      </c>
      <c r="E28" s="299" t="e">
        <f>SUM(E29,E32:E33)</f>
        <v>#REF!</v>
      </c>
      <c r="F28" s="299" t="e">
        <f>SUM(C28:E28)</f>
        <v>#REF!</v>
      </c>
      <c r="G28" s="301" t="e">
        <f t="shared" si="2"/>
        <v>#REF!</v>
      </c>
    </row>
    <row r="29" spans="2:7" outlineLevel="1">
      <c r="B29" t="str">
        <f>'Budget Plan'!A84</f>
        <v>Direct Cost</v>
      </c>
      <c r="C29" s="296">
        <f>SUM(C30:C31)</f>
        <v>0</v>
      </c>
      <c r="D29" s="296">
        <f>SUM(D30:D31)</f>
        <v>0</v>
      </c>
      <c r="E29" s="296">
        <f>SUM(E30:E31)</f>
        <v>0</v>
      </c>
      <c r="F29" s="296">
        <f t="shared" si="3"/>
        <v>0</v>
      </c>
      <c r="G29" s="300" t="e">
        <f t="shared" si="2"/>
        <v>#DIV/0!</v>
      </c>
    </row>
    <row r="30" spans="2:7" outlineLevel="2">
      <c r="B30" s="309" t="str">
        <f>'Budget Plan'!A85</f>
        <v>One Time</v>
      </c>
      <c r="C30" s="308">
        <f>SUM('Budget Plan'!G85:R85)</f>
        <v>0</v>
      </c>
      <c r="D30" s="308">
        <f>SUM('Budget Plan'!S85:AD85)</f>
        <v>0</v>
      </c>
      <c r="E30" s="308">
        <f>SUM('Budget Plan'!AE85:AP85)</f>
        <v>0</v>
      </c>
      <c r="F30" s="308">
        <f t="shared" si="3"/>
        <v>0</v>
      </c>
      <c r="G30" s="300" t="e">
        <f t="shared" si="2"/>
        <v>#DIV/0!</v>
      </c>
    </row>
    <row r="31" spans="2:7" outlineLevel="2">
      <c r="B31" s="309" t="str">
        <f>'Budget Plan'!A88</f>
        <v>Recurring</v>
      </c>
      <c r="C31" s="308">
        <f>SUM('Budget Plan'!G88:R88)</f>
        <v>0</v>
      </c>
      <c r="D31" s="308">
        <f>SUM('Budget Plan'!S88:AD88)</f>
        <v>0</v>
      </c>
      <c r="E31" s="308">
        <f>SUM('Budget Plan'!AE88:AP88)</f>
        <v>0</v>
      </c>
      <c r="F31" s="308">
        <f t="shared" si="3"/>
        <v>0</v>
      </c>
      <c r="G31" s="300" t="e">
        <f t="shared" si="2"/>
        <v>#DIV/0!</v>
      </c>
    </row>
    <row r="32" spans="2:7" outlineLevel="2">
      <c r="B32" s="309" t="str">
        <f>'Budget Plan'!A92</f>
        <v>Revshare</v>
      </c>
      <c r="C32" s="308">
        <f>SUM('Budget Plan'!G92:R92)</f>
        <v>0</v>
      </c>
      <c r="D32" s="308">
        <f>SUM('Budget Plan'!S92:AD92)</f>
        <v>0</v>
      </c>
      <c r="E32" s="308">
        <f>SUM('Budget Plan'!AE92:AP92)</f>
        <v>0</v>
      </c>
      <c r="F32" s="308">
        <f t="shared" si="3"/>
        <v>0</v>
      </c>
      <c r="G32" s="300" t="e">
        <f t="shared" si="2"/>
        <v>#DIV/0!</v>
      </c>
    </row>
    <row r="33" spans="2:7" outlineLevel="1">
      <c r="B33" t="str">
        <f>'Budget Plan'!A93</f>
        <v>SG&amp;A</v>
      </c>
      <c r="C33" s="296" t="e">
        <f>SUM(C34:C34)</f>
        <v>#REF!</v>
      </c>
      <c r="D33" s="296" t="e">
        <f>SUM(D34:D34)</f>
        <v>#REF!</v>
      </c>
      <c r="E33" s="296" t="e">
        <f>SUM(E34:E34)</f>
        <v>#REF!</v>
      </c>
      <c r="F33" s="296" t="e">
        <f t="shared" si="3"/>
        <v>#REF!</v>
      </c>
      <c r="G33" s="300" t="e">
        <f t="shared" si="2"/>
        <v>#REF!</v>
      </c>
    </row>
    <row r="34" spans="2:7" outlineLevel="1">
      <c r="B34" s="309" t="s">
        <v>123</v>
      </c>
      <c r="C34" s="308" t="e">
        <f>SUM('Budget Plan'!G93:R93)</f>
        <v>#REF!</v>
      </c>
      <c r="D34" s="308" t="e">
        <f>SUM('Budget Plan'!S93:AD93)</f>
        <v>#REF!</v>
      </c>
      <c r="E34" s="308" t="e">
        <f>SUM('Budget Plan'!AE93:AP93)</f>
        <v>#REF!</v>
      </c>
      <c r="F34" s="308" t="e">
        <f t="shared" si="3"/>
        <v>#REF!</v>
      </c>
      <c r="G34" s="300" t="e">
        <f t="shared" si="2"/>
        <v>#REF!</v>
      </c>
    </row>
    <row r="35" spans="2:7">
      <c r="B35" s="294" t="str">
        <f>'Budget Plan'!A96</f>
        <v xml:space="preserve">Net Cash </v>
      </c>
      <c r="C35" s="299" t="e">
        <f>SUM('Budget Plan'!G96:R96)</f>
        <v>#REF!</v>
      </c>
      <c r="D35" s="299" t="e">
        <f>SUM('Budget Plan'!S96:AD96)</f>
        <v>#REF!</v>
      </c>
      <c r="E35" s="299" t="e">
        <f>SUM('Budget Plan'!AE96:AP96)</f>
        <v>#REF!</v>
      </c>
      <c r="F35" s="299" t="e">
        <f t="shared" si="3"/>
        <v>#REF!</v>
      </c>
      <c r="G35" s="301" t="e">
        <f t="shared" si="2"/>
        <v>#REF!</v>
      </c>
    </row>
    <row r="36" spans="2:7">
      <c r="B36" s="294" t="s">
        <v>126</v>
      </c>
      <c r="C36" s="299" t="e">
        <f>'Budget Plan'!R98</f>
        <v>#REF!</v>
      </c>
      <c r="D36" s="299" t="e">
        <f>'Budget Plan'!AD98</f>
        <v>#REF!</v>
      </c>
      <c r="E36" s="299" t="e">
        <f>'Budget Plan'!AP98</f>
        <v>#REF!</v>
      </c>
      <c r="F36" s="299" t="e">
        <f t="shared" si="3"/>
        <v>#REF!</v>
      </c>
      <c r="G36" s="300"/>
    </row>
    <row r="39" spans="2:7">
      <c r="C39" s="38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MK48"/>
  <sheetViews>
    <sheetView workbookViewId="0"/>
  </sheetViews>
  <sheetFormatPr defaultColWidth="8.84375" defaultRowHeight="14.6"/>
  <cols>
    <col min="1" max="1" width="8.84375" style="1"/>
    <col min="2" max="2" width="90.69140625" style="1" customWidth="1"/>
    <col min="3" max="3" width="8.84375" style="2"/>
    <col min="4" max="4" width="12.84375" style="2" bestFit="1" customWidth="1"/>
    <col min="5" max="5" width="14.69140625" style="1" bestFit="1" customWidth="1"/>
    <col min="6" max="6" width="19.15234375" style="1" customWidth="1"/>
    <col min="7" max="7" width="18.4609375" style="1" bestFit="1" customWidth="1"/>
    <col min="8" max="8" width="18.4609375" style="1" customWidth="1"/>
    <col min="9" max="9" width="19.69140625" style="1" customWidth="1"/>
    <col min="10" max="10" width="20" style="1" customWidth="1"/>
    <col min="11" max="1025" width="8.84375" style="1"/>
  </cols>
  <sheetData>
    <row r="1" spans="1:1025" s="20" customFormat="1" ht="15.9">
      <c r="A1" s="3"/>
      <c r="B1" s="4"/>
      <c r="C1" s="131" t="s">
        <v>0</v>
      </c>
      <c r="D1" s="6"/>
      <c r="E1" s="7"/>
      <c r="F1" s="5" t="s">
        <v>1</v>
      </c>
      <c r="G1" s="8"/>
      <c r="H1" s="9" t="s">
        <v>2</v>
      </c>
      <c r="I1" s="10" t="s">
        <v>3</v>
      </c>
      <c r="J1" s="11"/>
    </row>
    <row r="2" spans="1:1025" ht="16.3">
      <c r="A2" s="12"/>
      <c r="B2" s="13"/>
      <c r="C2" s="131" t="s">
        <v>4</v>
      </c>
      <c r="D2" s="14"/>
      <c r="E2" s="15"/>
      <c r="F2" s="16" t="s">
        <v>5</v>
      </c>
      <c r="G2" s="8"/>
      <c r="H2" s="5" t="s">
        <v>6</v>
      </c>
      <c r="I2" s="17" t="s">
        <v>7</v>
      </c>
      <c r="J2" s="18" t="s">
        <v>8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5" ht="15.45">
      <c r="A3"/>
      <c r="B3" s="19" t="s">
        <v>9</v>
      </c>
      <c r="C3" s="627"/>
      <c r="D3" s="627"/>
      <c r="E3" s="627"/>
      <c r="F3" s="20"/>
      <c r="G3" s="21"/>
      <c r="H3" s="20"/>
      <c r="I3" s="20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5">
      <c r="A4" s="20"/>
      <c r="B4" s="22" t="s">
        <v>70</v>
      </c>
      <c r="C4" s="132"/>
      <c r="D4" s="23"/>
      <c r="E4" s="20"/>
      <c r="F4" s="20"/>
      <c r="G4" s="21"/>
      <c r="H4" s="20"/>
      <c r="I4" s="20"/>
      <c r="J4" s="20"/>
      <c r="K4" s="20"/>
      <c r="L4" s="28"/>
      <c r="M4" s="28"/>
      <c r="N4" s="28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5">
      <c r="A5" s="20"/>
      <c r="B5" s="22" t="s">
        <v>71</v>
      </c>
      <c r="C5" s="132"/>
      <c r="D5" s="23"/>
      <c r="E5" s="20"/>
      <c r="F5" s="628" t="s">
        <v>10</v>
      </c>
      <c r="G5" s="629" t="e">
        <f>G35</f>
        <v>#REF!</v>
      </c>
      <c r="H5" s="630" t="s">
        <v>11</v>
      </c>
      <c r="I5" s="625" t="e">
        <f>I35</f>
        <v>#REF!</v>
      </c>
      <c r="J5" s="20"/>
      <c r="K5" s="20"/>
      <c r="L5" s="28"/>
      <c r="M5" s="28"/>
      <c r="N5" s="28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5">
      <c r="A6" s="20"/>
      <c r="B6" s="22" t="s">
        <v>74</v>
      </c>
      <c r="C6" s="23"/>
      <c r="D6" s="23"/>
      <c r="E6" s="20"/>
      <c r="F6" s="628"/>
      <c r="G6" s="629"/>
      <c r="H6" s="630"/>
      <c r="I6" s="625"/>
      <c r="J6" s="20"/>
      <c r="K6" s="20"/>
      <c r="L6" s="28"/>
      <c r="M6" s="28"/>
      <c r="N6" s="28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5">
      <c r="A7" s="20"/>
      <c r="B7" s="22" t="s">
        <v>75</v>
      </c>
      <c r="C7" s="24"/>
      <c r="D7" s="25"/>
      <c r="E7" s="26"/>
      <c r="F7" s="628"/>
      <c r="G7" s="629"/>
      <c r="H7" s="630"/>
      <c r="I7" s="625"/>
      <c r="J7" s="28"/>
      <c r="K7" s="28"/>
      <c r="L7" s="28"/>
      <c r="M7" s="28"/>
      <c r="N7" s="28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5" ht="18.75" customHeight="1" thickBot="1">
      <c r="A8" s="20"/>
      <c r="B8" s="22" t="s">
        <v>67</v>
      </c>
      <c r="C8" s="24"/>
      <c r="D8" s="25"/>
      <c r="E8" s="26"/>
      <c r="F8" s="22"/>
      <c r="G8" s="27"/>
      <c r="H8" s="28"/>
      <c r="I8" s="29"/>
      <c r="J8" s="28"/>
      <c r="K8" s="28"/>
      <c r="L8" s="28"/>
      <c r="M8" s="28"/>
      <c r="N8" s="2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5" ht="15.75" customHeight="1" thickBot="1">
      <c r="A9"/>
      <c r="B9" s="30"/>
      <c r="C9" s="31"/>
      <c r="D9" s="32" t="s">
        <v>13</v>
      </c>
      <c r="E9" s="33">
        <v>2</v>
      </c>
      <c r="F9" s="32" t="s">
        <v>14</v>
      </c>
      <c r="G9" s="34"/>
      <c r="H9" s="34"/>
      <c r="I9" s="35">
        <v>0.8</v>
      </c>
      <c r="J9" s="36"/>
      <c r="K9" s="37"/>
      <c r="L9" s="37"/>
      <c r="M9" s="37"/>
      <c r="N9" s="37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5">
      <c r="A10" s="38" t="s">
        <v>15</v>
      </c>
      <c r="B10" s="39" t="str">
        <f>B3</f>
        <v>Cost Project  :MBKC</v>
      </c>
      <c r="C10" s="40" t="s">
        <v>16</v>
      </c>
      <c r="D10" s="41"/>
      <c r="E10" s="42" t="s">
        <v>17</v>
      </c>
      <c r="F10" s="43" t="s">
        <v>18</v>
      </c>
      <c r="G10" s="43" t="s">
        <v>10</v>
      </c>
      <c r="H10" s="44"/>
      <c r="I10" s="45" t="s">
        <v>19</v>
      </c>
      <c r="J10" s="46" t="s">
        <v>20</v>
      </c>
      <c r="K10" s="37"/>
      <c r="L10" s="37"/>
      <c r="M10" s="37"/>
      <c r="N10" s="37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5" ht="15.75" customHeight="1">
      <c r="A11" s="47"/>
      <c r="B11" s="48" t="s">
        <v>21</v>
      </c>
      <c r="C11" s="49"/>
      <c r="D11" s="50"/>
      <c r="E11" s="51"/>
      <c r="F11" s="52"/>
      <c r="G11" s="53"/>
      <c r="H11" s="54"/>
      <c r="I11" s="55"/>
      <c r="J11" s="56"/>
      <c r="K11" s="37"/>
      <c r="L11" s="37"/>
      <c r="M11" s="37"/>
      <c r="N11" s="37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5">
      <c r="A12" s="47"/>
      <c r="B12" s="57" t="s">
        <v>42</v>
      </c>
      <c r="C12" s="58">
        <v>0</v>
      </c>
      <c r="D12" s="59"/>
      <c r="E12" s="51"/>
      <c r="F12" s="51">
        <f>C12*E12</f>
        <v>0</v>
      </c>
      <c r="G12" s="60">
        <f>F12*$E$9</f>
        <v>0</v>
      </c>
      <c r="H12" s="61" t="e">
        <f>G12/$G$5</f>
        <v>#REF!</v>
      </c>
      <c r="I12" s="62">
        <f>G12/$I$9</f>
        <v>0</v>
      </c>
      <c r="J12" s="63">
        <f>I12/$E$9</f>
        <v>0</v>
      </c>
      <c r="K12" s="37"/>
      <c r="L12" s="37"/>
      <c r="M12" s="37"/>
      <c r="N12" s="37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5" s="152" customFormat="1" ht="20.6">
      <c r="A13" s="141"/>
      <c r="B13" s="142" t="s">
        <v>69</v>
      </c>
      <c r="C13" s="143">
        <v>0</v>
      </c>
      <c r="D13" s="144" t="s">
        <v>29</v>
      </c>
      <c r="E13" s="145">
        <f>5000*0.8</f>
        <v>4000</v>
      </c>
      <c r="F13" s="145">
        <f>C13*E13</f>
        <v>0</v>
      </c>
      <c r="G13" s="146">
        <f>F13</f>
        <v>0</v>
      </c>
      <c r="H13" s="147" t="e">
        <f>G13/$G$5</f>
        <v>#REF!</v>
      </c>
      <c r="I13" s="148">
        <f>G13/$I$9</f>
        <v>0</v>
      </c>
      <c r="J13" s="149">
        <f>I13/$E$9</f>
        <v>0</v>
      </c>
      <c r="K13" s="150"/>
      <c r="L13" s="151"/>
      <c r="M13" s="151"/>
      <c r="N13" s="151"/>
      <c r="AMK13" s="153"/>
    </row>
    <row r="14" spans="1:1025">
      <c r="A14" s="47"/>
      <c r="B14" s="67"/>
      <c r="C14" s="49"/>
      <c r="D14" s="50"/>
      <c r="E14" s="51"/>
      <c r="F14" s="52"/>
      <c r="G14" s="53"/>
      <c r="H14" s="54"/>
      <c r="I14" s="55"/>
      <c r="J14" s="56"/>
      <c r="K14" s="3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5" ht="15.9">
      <c r="A15" s="47"/>
      <c r="B15" s="68" t="s">
        <v>22</v>
      </c>
      <c r="C15" s="69"/>
      <c r="D15" s="70"/>
      <c r="E15" s="71"/>
      <c r="F15" s="71"/>
      <c r="G15" s="71"/>
      <c r="H15" s="71"/>
      <c r="I15" s="72"/>
      <c r="J15" s="73"/>
      <c r="K15" s="3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5" ht="20.6">
      <c r="A16" s="47"/>
      <c r="B16" s="74" t="s">
        <v>23</v>
      </c>
      <c r="C16" s="58"/>
      <c r="D16" s="59"/>
      <c r="E16" s="51"/>
      <c r="F16" s="51"/>
      <c r="G16" s="60"/>
      <c r="H16" s="61"/>
      <c r="I16" s="62"/>
      <c r="J16" s="56"/>
      <c r="K16" s="6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37" customFormat="1" ht="33" customHeight="1">
      <c r="A17" s="47"/>
      <c r="B17" s="75" t="s">
        <v>38</v>
      </c>
      <c r="C17" s="58">
        <v>0</v>
      </c>
      <c r="D17" s="64"/>
      <c r="E17" s="65"/>
      <c r="F17" s="51">
        <f>C17*E17</f>
        <v>0</v>
      </c>
      <c r="G17" s="60">
        <f>F17*$E$9</f>
        <v>0</v>
      </c>
      <c r="H17" s="61" t="e">
        <f>G17/$G$5</f>
        <v>#REF!</v>
      </c>
      <c r="I17" s="62">
        <f>G17/$I$9</f>
        <v>0</v>
      </c>
      <c r="J17" s="63">
        <f>I17/$E$9</f>
        <v>0</v>
      </c>
      <c r="K17" s="76"/>
    </row>
    <row r="18" spans="1:1024" ht="20.6">
      <c r="A18" s="77" t="s">
        <v>24</v>
      </c>
      <c r="B18" s="67" t="s">
        <v>25</v>
      </c>
      <c r="C18" s="135" t="e">
        <f>#REF!</f>
        <v>#REF!</v>
      </c>
      <c r="D18" s="78" t="s">
        <v>26</v>
      </c>
      <c r="E18" s="79">
        <f>105*0.8</f>
        <v>84</v>
      </c>
      <c r="F18" s="51" t="e">
        <f>C18*E18</f>
        <v>#REF!</v>
      </c>
      <c r="G18" s="60" t="e">
        <f>F18*$E$9</f>
        <v>#REF!</v>
      </c>
      <c r="H18" s="61" t="e">
        <f>G18/$G$5</f>
        <v>#REF!</v>
      </c>
      <c r="I18" s="62" t="e">
        <f>G18/$I$9</f>
        <v>#REF!</v>
      </c>
      <c r="J18" s="63" t="e">
        <f>I18/$E$9</f>
        <v>#REF!</v>
      </c>
      <c r="K18" s="76"/>
      <c r="L18" s="37"/>
      <c r="M18" s="37"/>
      <c r="N18" s="37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20.6">
      <c r="A19" s="77" t="s">
        <v>24</v>
      </c>
      <c r="B19" s="67" t="s">
        <v>39</v>
      </c>
      <c r="C19" s="58" t="e">
        <f>#REF!</f>
        <v>#REF!</v>
      </c>
      <c r="D19" s="78" t="s">
        <v>27</v>
      </c>
      <c r="E19" s="79">
        <f>100*0.8</f>
        <v>80</v>
      </c>
      <c r="F19" s="51" t="e">
        <f t="shared" ref="F19:F32" si="0">C19*E19</f>
        <v>#REF!</v>
      </c>
      <c r="G19" s="60" t="e">
        <f t="shared" ref="G19:G32" si="1">F19*$E$9</f>
        <v>#REF!</v>
      </c>
      <c r="H19" s="61" t="e">
        <f t="shared" ref="H19:H32" si="2">G19/$G$5</f>
        <v>#REF!</v>
      </c>
      <c r="I19" s="62" t="e">
        <f t="shared" ref="I19:I32" si="3">G19/$I$9</f>
        <v>#REF!</v>
      </c>
      <c r="J19" s="63" t="e">
        <f t="shared" ref="J19:J32" si="4">I19/$E$9</f>
        <v>#REF!</v>
      </c>
      <c r="K19" s="76"/>
      <c r="L19" s="37"/>
      <c r="M19" s="37"/>
      <c r="N19" s="37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20.6">
      <c r="A20" s="77" t="s">
        <v>24</v>
      </c>
      <c r="B20" s="67" t="s">
        <v>68</v>
      </c>
      <c r="C20" s="138" t="e">
        <f>#REF!</f>
        <v>#REF!</v>
      </c>
      <c r="D20" s="139" t="s">
        <v>27</v>
      </c>
      <c r="E20" s="79">
        <f>3*0.8</f>
        <v>2.4000000000000004</v>
      </c>
      <c r="F20" s="51" t="e">
        <f t="shared" si="0"/>
        <v>#REF!</v>
      </c>
      <c r="G20" s="60" t="e">
        <f t="shared" si="1"/>
        <v>#REF!</v>
      </c>
      <c r="H20" s="136" t="e">
        <f t="shared" si="2"/>
        <v>#REF!</v>
      </c>
      <c r="I20" s="62" t="e">
        <f t="shared" si="3"/>
        <v>#REF!</v>
      </c>
      <c r="J20" s="63" t="e">
        <f t="shared" si="4"/>
        <v>#REF!</v>
      </c>
      <c r="K20" s="76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20.6">
      <c r="A21" s="77" t="s">
        <v>24</v>
      </c>
      <c r="B21" s="134" t="s">
        <v>73</v>
      </c>
      <c r="C21" s="138" t="e">
        <f>C20*4*0</f>
        <v>#REF!</v>
      </c>
      <c r="D21" s="139" t="s">
        <v>27</v>
      </c>
      <c r="E21" s="79">
        <f>2.8*0.8</f>
        <v>2.2399999999999998</v>
      </c>
      <c r="F21" s="51" t="e">
        <f t="shared" si="0"/>
        <v>#REF!</v>
      </c>
      <c r="G21" s="60" t="e">
        <f t="shared" si="1"/>
        <v>#REF!</v>
      </c>
      <c r="H21" s="136" t="e">
        <f t="shared" si="2"/>
        <v>#REF!</v>
      </c>
      <c r="I21" s="62" t="e">
        <f t="shared" si="3"/>
        <v>#REF!</v>
      </c>
      <c r="J21" s="63" t="e">
        <f t="shared" si="4"/>
        <v>#REF!</v>
      </c>
      <c r="K21" s="76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>
      <c r="A22" s="77" t="s">
        <v>24</v>
      </c>
      <c r="B22" s="80" t="s">
        <v>28</v>
      </c>
      <c r="C22" s="58">
        <v>2</v>
      </c>
      <c r="D22" s="59" t="s">
        <v>29</v>
      </c>
      <c r="E22" s="51">
        <f>300*0.8</f>
        <v>240</v>
      </c>
      <c r="F22" s="51">
        <f t="shared" si="0"/>
        <v>480</v>
      </c>
      <c r="G22" s="60">
        <f t="shared" si="1"/>
        <v>960</v>
      </c>
      <c r="H22" s="61" t="e">
        <f t="shared" si="2"/>
        <v>#REF!</v>
      </c>
      <c r="I22" s="62">
        <f t="shared" si="3"/>
        <v>1200</v>
      </c>
      <c r="J22" s="63">
        <f t="shared" si="4"/>
        <v>600</v>
      </c>
      <c r="K22"/>
      <c r="L22" s="37"/>
      <c r="M22" s="37"/>
      <c r="N22" s="37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>
      <c r="A23" s="77" t="s">
        <v>24</v>
      </c>
      <c r="B23" s="67" t="s">
        <v>30</v>
      </c>
      <c r="C23" s="58">
        <v>2</v>
      </c>
      <c r="D23" s="78" t="s">
        <v>31</v>
      </c>
      <c r="E23" s="79">
        <f>80*0.8</f>
        <v>64</v>
      </c>
      <c r="F23" s="51">
        <f t="shared" si="0"/>
        <v>128</v>
      </c>
      <c r="G23" s="60">
        <f t="shared" si="1"/>
        <v>256</v>
      </c>
      <c r="H23" s="61" t="e">
        <f t="shared" si="2"/>
        <v>#REF!</v>
      </c>
      <c r="I23" s="62">
        <f t="shared" si="3"/>
        <v>320</v>
      </c>
      <c r="J23" s="63">
        <f t="shared" si="4"/>
        <v>160</v>
      </c>
      <c r="K23" s="37"/>
      <c r="L23" s="37"/>
      <c r="M23" s="37"/>
      <c r="N23" s="37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37" customFormat="1">
      <c r="A24" s="77" t="s">
        <v>24</v>
      </c>
      <c r="B24" s="80" t="s">
        <v>32</v>
      </c>
      <c r="C24" s="58">
        <v>2</v>
      </c>
      <c r="D24" s="59" t="s">
        <v>33</v>
      </c>
      <c r="E24" s="51">
        <f>150*0.8</f>
        <v>120</v>
      </c>
      <c r="F24" s="51">
        <f t="shared" si="0"/>
        <v>240</v>
      </c>
      <c r="G24" s="60">
        <f t="shared" si="1"/>
        <v>480</v>
      </c>
      <c r="H24" s="61" t="e">
        <f t="shared" si="2"/>
        <v>#REF!</v>
      </c>
      <c r="I24" s="62">
        <f t="shared" si="3"/>
        <v>600</v>
      </c>
      <c r="J24" s="63">
        <f t="shared" si="4"/>
        <v>300</v>
      </c>
    </row>
    <row r="25" spans="1:1024" s="37" customFormat="1">
      <c r="A25" s="77" t="s">
        <v>24</v>
      </c>
      <c r="B25" s="80" t="s">
        <v>34</v>
      </c>
      <c r="C25" s="58">
        <v>2</v>
      </c>
      <c r="D25" s="59" t="s">
        <v>33</v>
      </c>
      <c r="E25" s="51">
        <f>150*0.8</f>
        <v>120</v>
      </c>
      <c r="F25" s="51">
        <f t="shared" si="0"/>
        <v>240</v>
      </c>
      <c r="G25" s="60">
        <f t="shared" si="1"/>
        <v>480</v>
      </c>
      <c r="H25" s="61" t="e">
        <f t="shared" si="2"/>
        <v>#REF!</v>
      </c>
      <c r="I25" s="62">
        <f t="shared" si="3"/>
        <v>600</v>
      </c>
      <c r="J25" s="63">
        <f t="shared" si="4"/>
        <v>300</v>
      </c>
    </row>
    <row r="26" spans="1:1024">
      <c r="A26" s="77" t="s">
        <v>24</v>
      </c>
      <c r="B26" s="81" t="s">
        <v>35</v>
      </c>
      <c r="C26" s="58">
        <v>2</v>
      </c>
      <c r="D26" s="59" t="s">
        <v>33</v>
      </c>
      <c r="E26" s="51">
        <f>200*0.8</f>
        <v>160</v>
      </c>
      <c r="F26" s="51">
        <f t="shared" si="0"/>
        <v>320</v>
      </c>
      <c r="G26" s="60">
        <f t="shared" si="1"/>
        <v>640</v>
      </c>
      <c r="H26" s="61" t="e">
        <f t="shared" si="2"/>
        <v>#REF!</v>
      </c>
      <c r="I26" s="62">
        <f t="shared" si="3"/>
        <v>800</v>
      </c>
      <c r="J26" s="63">
        <f t="shared" si="4"/>
        <v>400</v>
      </c>
      <c r="K26" s="37"/>
      <c r="L26" s="37"/>
      <c r="M26" s="37"/>
      <c r="N26" s="37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>
      <c r="A27" s="77" t="s">
        <v>24</v>
      </c>
      <c r="B27" s="81" t="s">
        <v>37</v>
      </c>
      <c r="C27" s="58"/>
      <c r="D27" s="82" t="s">
        <v>36</v>
      </c>
      <c r="E27" s="79">
        <f>510*0.8</f>
        <v>408</v>
      </c>
      <c r="F27" s="51">
        <f t="shared" si="0"/>
        <v>0</v>
      </c>
      <c r="G27" s="60">
        <f t="shared" si="1"/>
        <v>0</v>
      </c>
      <c r="H27" s="61" t="e">
        <f t="shared" si="2"/>
        <v>#REF!</v>
      </c>
      <c r="I27" s="62">
        <f t="shared" si="3"/>
        <v>0</v>
      </c>
      <c r="J27" s="63">
        <f t="shared" si="4"/>
        <v>0</v>
      </c>
      <c r="K27" s="37"/>
      <c r="L27" s="37"/>
      <c r="M27" s="37"/>
      <c r="N27" s="3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>
      <c r="A28" s="47"/>
      <c r="B28" s="57" t="s">
        <v>40</v>
      </c>
      <c r="C28" s="58">
        <v>0</v>
      </c>
      <c r="D28" s="59"/>
      <c r="E28" s="51"/>
      <c r="F28" s="51">
        <f t="shared" si="0"/>
        <v>0</v>
      </c>
      <c r="G28" s="60">
        <f t="shared" si="1"/>
        <v>0</v>
      </c>
      <c r="H28" s="61" t="e">
        <f t="shared" si="2"/>
        <v>#REF!</v>
      </c>
      <c r="I28" s="62">
        <f t="shared" si="3"/>
        <v>0</v>
      </c>
      <c r="J28" s="63">
        <f t="shared" si="4"/>
        <v>0</v>
      </c>
      <c r="K28" s="37"/>
      <c r="L28" s="37"/>
      <c r="M28" s="37"/>
      <c r="N28" s="37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>
      <c r="A29" s="77" t="s">
        <v>24</v>
      </c>
      <c r="B29" s="83" t="s">
        <v>41</v>
      </c>
      <c r="C29" s="58">
        <v>1</v>
      </c>
      <c r="D29" s="59" t="s">
        <v>16</v>
      </c>
      <c r="E29" s="51">
        <f>8000*0.8</f>
        <v>6400</v>
      </c>
      <c r="F29" s="51">
        <f t="shared" si="0"/>
        <v>6400</v>
      </c>
      <c r="G29" s="60">
        <f t="shared" si="1"/>
        <v>12800</v>
      </c>
      <c r="H29" s="136" t="e">
        <f t="shared" si="2"/>
        <v>#REF!</v>
      </c>
      <c r="I29" s="62">
        <f t="shared" si="3"/>
        <v>16000</v>
      </c>
      <c r="J29" s="63">
        <f t="shared" si="4"/>
        <v>8000</v>
      </c>
      <c r="K29" s="37"/>
      <c r="L29" s="37"/>
      <c r="M29" s="37"/>
      <c r="N29" s="37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>
      <c r="A30" s="47"/>
      <c r="B30" s="57" t="s">
        <v>42</v>
      </c>
      <c r="C30" s="58">
        <v>0</v>
      </c>
      <c r="D30" s="59"/>
      <c r="E30" s="51"/>
      <c r="F30" s="51">
        <f t="shared" si="0"/>
        <v>0</v>
      </c>
      <c r="G30" s="60">
        <f t="shared" si="1"/>
        <v>0</v>
      </c>
      <c r="H30" s="61" t="e">
        <f t="shared" si="2"/>
        <v>#REF!</v>
      </c>
      <c r="I30" s="62">
        <f t="shared" si="3"/>
        <v>0</v>
      </c>
      <c r="J30" s="63">
        <f t="shared" si="4"/>
        <v>0</v>
      </c>
      <c r="K30" s="37"/>
      <c r="L30" s="37"/>
      <c r="M30" s="37"/>
      <c r="N30" s="37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>
      <c r="A31" s="77" t="s">
        <v>65</v>
      </c>
      <c r="B31" s="83" t="s">
        <v>43</v>
      </c>
      <c r="C31" s="138">
        <v>2</v>
      </c>
      <c r="D31" s="140" t="s">
        <v>33</v>
      </c>
      <c r="E31" s="51">
        <f>1000*0.8</f>
        <v>800</v>
      </c>
      <c r="F31" s="51">
        <f t="shared" si="0"/>
        <v>1600</v>
      </c>
      <c r="G31" s="60">
        <f t="shared" si="1"/>
        <v>3200</v>
      </c>
      <c r="H31" s="61" t="e">
        <f t="shared" si="2"/>
        <v>#REF!</v>
      </c>
      <c r="I31" s="62">
        <f t="shared" si="3"/>
        <v>4000</v>
      </c>
      <c r="J31" s="63">
        <f t="shared" si="4"/>
        <v>2000</v>
      </c>
      <c r="K31" s="37"/>
      <c r="L31" s="37"/>
      <c r="M31" s="37"/>
      <c r="N31" s="37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>
      <c r="A32" s="77" t="s">
        <v>65</v>
      </c>
      <c r="B32" s="83" t="s">
        <v>72</v>
      </c>
      <c r="C32" s="58">
        <v>0</v>
      </c>
      <c r="D32" s="59" t="s">
        <v>29</v>
      </c>
      <c r="E32" s="51">
        <f>15000*0.8</f>
        <v>12000</v>
      </c>
      <c r="F32" s="51">
        <f t="shared" si="0"/>
        <v>0</v>
      </c>
      <c r="G32" s="60">
        <f t="shared" si="1"/>
        <v>0</v>
      </c>
      <c r="H32" s="136" t="e">
        <f t="shared" si="2"/>
        <v>#REF!</v>
      </c>
      <c r="I32" s="62">
        <f t="shared" si="3"/>
        <v>0</v>
      </c>
      <c r="J32" s="63">
        <f t="shared" si="4"/>
        <v>0</v>
      </c>
      <c r="K32" s="37"/>
      <c r="L32" s="37"/>
      <c r="M32" s="37"/>
      <c r="N32" s="37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5">
      <c r="A33" s="77"/>
      <c r="B33" s="57" t="s">
        <v>63</v>
      </c>
      <c r="C33" s="58"/>
      <c r="D33" s="59"/>
      <c r="E33" s="51">
        <v>0</v>
      </c>
      <c r="F33" s="51">
        <f>C33*E33</f>
        <v>0</v>
      </c>
      <c r="G33" s="60">
        <f>F33*$E$9</f>
        <v>0</v>
      </c>
      <c r="H33" s="163" t="e">
        <f>G33/$G$5</f>
        <v>#REF!</v>
      </c>
      <c r="I33" s="62">
        <f>G33/$I$9</f>
        <v>0</v>
      </c>
      <c r="J33" s="63">
        <f>I33/$E$9</f>
        <v>0</v>
      </c>
      <c r="K33" s="37"/>
      <c r="L33" s="37"/>
      <c r="M33" s="37"/>
      <c r="N33" s="37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5" s="152" customFormat="1">
      <c r="A34" s="154" t="s">
        <v>15</v>
      </c>
      <c r="B34" s="155" t="s">
        <v>64</v>
      </c>
      <c r="C34" s="143">
        <v>1</v>
      </c>
      <c r="D34" s="156" t="s">
        <v>62</v>
      </c>
      <c r="E34" s="157"/>
      <c r="F34" s="158">
        <f>C34*E34</f>
        <v>0</v>
      </c>
      <c r="G34" s="159">
        <f>F34*$E$9</f>
        <v>0</v>
      </c>
      <c r="H34" s="160" t="e">
        <f>G34/$G$5</f>
        <v>#REF!</v>
      </c>
      <c r="I34" s="161">
        <f>G34/$I$9</f>
        <v>0</v>
      </c>
      <c r="J34" s="162">
        <f>I34/$E$9</f>
        <v>0</v>
      </c>
      <c r="K34" s="151"/>
      <c r="L34" s="151"/>
      <c r="M34" s="151"/>
      <c r="N34" s="151"/>
      <c r="AMK34" s="153"/>
    </row>
    <row r="35" spans="1:1025" ht="15" thickBot="1">
      <c r="A35" s="77"/>
      <c r="B35" s="84" t="s">
        <v>44</v>
      </c>
      <c r="C35" s="85"/>
      <c r="D35" s="86"/>
      <c r="E35" s="87"/>
      <c r="F35" s="88"/>
      <c r="G35" s="89" t="e">
        <f>SUM(G11:G34)</f>
        <v>#REF!</v>
      </c>
      <c r="H35" s="90" t="e">
        <f>G35/$G$5</f>
        <v>#REF!</v>
      </c>
      <c r="I35" s="89" t="e">
        <f>SUM(I11:I34)</f>
        <v>#REF!</v>
      </c>
      <c r="J35" s="89" t="e">
        <f>SUM(J11:J34)</f>
        <v>#REF!</v>
      </c>
    </row>
    <row r="36" spans="1:1025">
      <c r="A36" s="77"/>
      <c r="B36" s="91" t="s">
        <v>45</v>
      </c>
      <c r="C36" s="92">
        <f>E9</f>
        <v>2</v>
      </c>
      <c r="D36" s="93" t="s">
        <v>14</v>
      </c>
      <c r="E36" s="94"/>
      <c r="F36" s="95" t="e">
        <f>I35</f>
        <v>#REF!</v>
      </c>
      <c r="G36" s="96"/>
      <c r="H36" s="37"/>
      <c r="I36" s="37"/>
    </row>
    <row r="37" spans="1:1025">
      <c r="A37" s="77"/>
      <c r="B37" s="91" t="s">
        <v>46</v>
      </c>
      <c r="C37" s="97">
        <v>1</v>
      </c>
      <c r="D37" s="98" t="str">
        <f>D36</f>
        <v>Month</v>
      </c>
      <c r="E37" s="99"/>
      <c r="F37" s="100" t="e">
        <f>F36/C36</f>
        <v>#REF!</v>
      </c>
      <c r="G37" s="96"/>
      <c r="H37" s="101"/>
      <c r="I37" s="37"/>
    </row>
    <row r="38" spans="1:1025">
      <c r="A38" s="77"/>
      <c r="B38" s="102" t="s">
        <v>47</v>
      </c>
      <c r="C38" s="133"/>
      <c r="D38" s="103"/>
      <c r="E38" s="103"/>
      <c r="F38" s="104" t="e">
        <f>F37*0.9</f>
        <v>#REF!</v>
      </c>
      <c r="G38" s="105"/>
    </row>
    <row r="39" spans="1:1025" ht="15" thickBot="1">
      <c r="A39" s="106"/>
      <c r="B39" s="626" t="s">
        <v>48</v>
      </c>
      <c r="C39" s="626"/>
      <c r="D39" s="626"/>
      <c r="E39" s="626"/>
      <c r="F39" s="107" t="e">
        <f>F38/F37</f>
        <v>#REF!</v>
      </c>
      <c r="G39"/>
    </row>
    <row r="40" spans="1:1025">
      <c r="A40" s="37"/>
      <c r="B40"/>
      <c r="C40" s="108"/>
      <c r="D40" s="108"/>
      <c r="F40"/>
      <c r="G40"/>
    </row>
    <row r="41" spans="1:1025">
      <c r="A41" s="37"/>
      <c r="B41" s="109" t="s">
        <v>49</v>
      </c>
      <c r="C41" s="108"/>
      <c r="D41" s="108"/>
      <c r="F41"/>
      <c r="G41"/>
    </row>
    <row r="42" spans="1:1025">
      <c r="B42" s="1" t="s">
        <v>58</v>
      </c>
    </row>
    <row r="43" spans="1:1025">
      <c r="B43" s="1" t="s">
        <v>60</v>
      </c>
    </row>
    <row r="44" spans="1:1025">
      <c r="B44" s="1" t="s">
        <v>61</v>
      </c>
    </row>
    <row r="46" spans="1:1025">
      <c r="B46" s="1" t="s">
        <v>59</v>
      </c>
    </row>
    <row r="48" spans="1:1025">
      <c r="B48" s="1" t="s">
        <v>66</v>
      </c>
    </row>
  </sheetData>
  <mergeCells count="6">
    <mergeCell ref="I5:I7"/>
    <mergeCell ref="B39:E39"/>
    <mergeCell ref="C3:E3"/>
    <mergeCell ref="F5:F7"/>
    <mergeCell ref="G5:G7"/>
    <mergeCell ref="H5:H7"/>
  </mergeCell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R26"/>
  <sheetViews>
    <sheetView workbookViewId="0"/>
  </sheetViews>
  <sheetFormatPr defaultColWidth="8.84375" defaultRowHeight="14.6"/>
  <cols>
    <col min="1" max="18" width="8.84375" style="1"/>
  </cols>
  <sheetData>
    <row r="1" spans="1:18">
      <c r="A1"/>
      <c r="B1" s="110"/>
      <c r="C1" s="111"/>
      <c r="D1" s="111"/>
      <c r="E1" s="9" t="s">
        <v>0</v>
      </c>
      <c r="F1" s="112"/>
      <c r="G1" s="113"/>
      <c r="H1" s="9" t="s">
        <v>1</v>
      </c>
      <c r="I1" s="114"/>
      <c r="J1" s="114"/>
      <c r="K1" s="112"/>
      <c r="L1" s="9" t="s">
        <v>2</v>
      </c>
      <c r="M1" s="113"/>
      <c r="N1" s="113"/>
      <c r="O1" s="10" t="s">
        <v>3</v>
      </c>
      <c r="P1" s="111"/>
      <c r="Q1" s="111"/>
      <c r="R1" s="115"/>
    </row>
    <row r="2" spans="1:18">
      <c r="A2"/>
      <c r="B2" s="116"/>
      <c r="C2" s="113"/>
      <c r="D2" s="113"/>
      <c r="E2" s="9" t="s">
        <v>4</v>
      </c>
      <c r="F2" s="117"/>
      <c r="G2" s="118"/>
      <c r="H2" s="113"/>
      <c r="I2" s="16" t="s">
        <v>5</v>
      </c>
      <c r="J2" s="113"/>
      <c r="K2" s="113"/>
      <c r="L2" s="9" t="s">
        <v>6</v>
      </c>
      <c r="M2" s="119" t="s">
        <v>7</v>
      </c>
      <c r="N2" s="114"/>
      <c r="O2" s="118"/>
      <c r="P2" s="114"/>
      <c r="Q2" s="120" t="s">
        <v>8</v>
      </c>
      <c r="R2" s="112"/>
    </row>
    <row r="3" spans="1:18" ht="20.25" customHeight="1">
      <c r="A3" s="20"/>
      <c r="B3" s="121" t="s">
        <v>50</v>
      </c>
      <c r="C3" s="121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</row>
    <row r="4" spans="1:18" ht="20.25" customHeight="1">
      <c r="B4" s="19" t="s">
        <v>51</v>
      </c>
      <c r="C4" s="19"/>
      <c r="D4" s="632"/>
      <c r="E4" s="632"/>
      <c r="F4" s="632"/>
      <c r="G4" s="632"/>
      <c r="H4"/>
      <c r="I4"/>
      <c r="J4"/>
      <c r="K4"/>
      <c r="L4"/>
      <c r="M4"/>
      <c r="N4"/>
      <c r="O4"/>
      <c r="P4"/>
      <c r="Q4"/>
      <c r="R4"/>
    </row>
    <row r="5" spans="1:18" ht="20.25" customHeight="1">
      <c r="B5" s="22" t="s">
        <v>52</v>
      </c>
      <c r="C5"/>
      <c r="D5" s="633"/>
      <c r="E5" s="633"/>
      <c r="F5" s="633"/>
      <c r="G5" s="633"/>
      <c r="H5"/>
      <c r="I5"/>
      <c r="J5"/>
      <c r="K5"/>
      <c r="L5"/>
      <c r="M5"/>
      <c r="N5"/>
      <c r="O5"/>
      <c r="P5"/>
      <c r="Q5"/>
      <c r="R5"/>
    </row>
    <row r="6" spans="1:18" ht="20.25" customHeight="1">
      <c r="B6" s="22" t="s">
        <v>53</v>
      </c>
      <c r="C6"/>
      <c r="D6" s="633"/>
      <c r="E6" s="633"/>
      <c r="F6" s="633"/>
      <c r="G6" s="633"/>
      <c r="H6"/>
      <c r="I6"/>
      <c r="J6"/>
      <c r="K6"/>
      <c r="L6"/>
      <c r="M6"/>
      <c r="N6"/>
      <c r="O6"/>
      <c r="P6"/>
      <c r="Q6"/>
      <c r="R6"/>
    </row>
    <row r="7" spans="1:18" ht="20.25" customHeight="1">
      <c r="B7" s="22" t="s">
        <v>12</v>
      </c>
      <c r="C7"/>
      <c r="D7" s="634"/>
      <c r="E7" s="634"/>
      <c r="F7" s="634"/>
      <c r="G7" s="634"/>
      <c r="H7"/>
      <c r="I7"/>
      <c r="J7"/>
      <c r="K7"/>
      <c r="L7"/>
      <c r="M7"/>
      <c r="N7"/>
      <c r="O7"/>
      <c r="P7"/>
      <c r="Q7"/>
      <c r="R7"/>
    </row>
    <row r="8" spans="1:18" ht="20.25" customHeight="1">
      <c r="B8" s="123" t="s">
        <v>54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124"/>
    </row>
    <row r="9" spans="1:18" ht="20.25" customHeight="1">
      <c r="B9" s="125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26"/>
    </row>
    <row r="10" spans="1:18" ht="20.25" customHeight="1">
      <c r="B10" s="125"/>
      <c r="C10" s="20"/>
      <c r="D10" s="20"/>
      <c r="E10" s="20"/>
      <c r="F10" s="20"/>
      <c r="G10" s="127" t="s">
        <v>55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26"/>
    </row>
    <row r="11" spans="1:18" ht="20.25" customHeight="1">
      <c r="B11" s="125"/>
      <c r="C11" s="20"/>
      <c r="D11" s="20"/>
      <c r="E11" s="20"/>
      <c r="F11" s="20"/>
      <c r="G11" s="20" t="s">
        <v>56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26"/>
    </row>
    <row r="12" spans="1:18" ht="20.25" customHeight="1">
      <c r="B12" s="125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26"/>
    </row>
    <row r="13" spans="1:18" ht="20.25" customHeight="1">
      <c r="B13" s="12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26"/>
    </row>
    <row r="14" spans="1:18" ht="20.25" customHeight="1">
      <c r="B14" s="125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26"/>
    </row>
    <row r="15" spans="1:18" ht="20.25" customHeight="1">
      <c r="B15" s="125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26"/>
    </row>
    <row r="16" spans="1:18" ht="20.25" customHeight="1">
      <c r="B16" s="125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26"/>
    </row>
    <row r="17" spans="2:18" ht="20.25" customHeight="1">
      <c r="B17" s="125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26"/>
    </row>
    <row r="18" spans="2:18" ht="20.25" customHeight="1">
      <c r="B18" s="128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29"/>
    </row>
    <row r="19" spans="2:18" ht="20.25" customHeight="1">
      <c r="B19" s="130" t="s">
        <v>57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26"/>
    </row>
    <row r="20" spans="2:18" ht="20.25" customHeight="1">
      <c r="B20" s="125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126"/>
    </row>
    <row r="21" spans="2:18" ht="20.25" customHeight="1">
      <c r="B21" s="125"/>
      <c r="C21" s="631"/>
      <c r="D21" s="631"/>
      <c r="E21" s="631"/>
      <c r="F21" s="631"/>
      <c r="G21" s="631"/>
      <c r="H21" s="631"/>
      <c r="I21" s="631"/>
      <c r="J21" s="631"/>
      <c r="K21" s="631"/>
      <c r="L21" s="631"/>
      <c r="M21" s="631"/>
      <c r="N21" s="631"/>
      <c r="O21" s="631"/>
      <c r="P21" s="631"/>
      <c r="Q21" s="631"/>
      <c r="R21" s="126"/>
    </row>
    <row r="22" spans="2:18" ht="20.25" customHeight="1">
      <c r="B22" s="125"/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1"/>
      <c r="N22" s="631"/>
      <c r="O22" s="631"/>
      <c r="P22" s="631"/>
      <c r="Q22" s="631"/>
      <c r="R22" s="126"/>
    </row>
    <row r="23" spans="2:18" ht="20.25" customHeight="1">
      <c r="B23" s="125"/>
      <c r="C23" s="631"/>
      <c r="D23" s="631"/>
      <c r="E23" s="631"/>
      <c r="F23" s="631"/>
      <c r="G23" s="631"/>
      <c r="H23" s="631"/>
      <c r="I23" s="631"/>
      <c r="J23" s="631"/>
      <c r="K23" s="631"/>
      <c r="L23" s="631"/>
      <c r="M23" s="631"/>
      <c r="N23" s="631"/>
      <c r="O23" s="631"/>
      <c r="P23" s="631"/>
      <c r="Q23" s="631"/>
      <c r="R23" s="126"/>
    </row>
    <row r="24" spans="2:18" ht="20.25" customHeight="1">
      <c r="B24" s="125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1"/>
      <c r="P24" s="631"/>
      <c r="Q24" s="631"/>
      <c r="R24" s="126"/>
    </row>
    <row r="25" spans="2:18" ht="20.25" customHeight="1">
      <c r="B25" s="125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Q25" s="631"/>
      <c r="R25" s="126"/>
    </row>
    <row r="26" spans="2:18" ht="20.25" customHeight="1">
      <c r="B26" s="128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29"/>
    </row>
  </sheetData>
  <mergeCells count="10">
    <mergeCell ref="C22:Q22"/>
    <mergeCell ref="C23:Q23"/>
    <mergeCell ref="C24:Q24"/>
    <mergeCell ref="C25:Q25"/>
    <mergeCell ref="D4:G4"/>
    <mergeCell ref="D5:G5"/>
    <mergeCell ref="D6:G6"/>
    <mergeCell ref="D7:G7"/>
    <mergeCell ref="C20:Q20"/>
    <mergeCell ref="C21:Q2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2:L14"/>
  <sheetViews>
    <sheetView workbookViewId="0"/>
  </sheetViews>
  <sheetFormatPr defaultColWidth="8.84375" defaultRowHeight="14.6"/>
  <cols>
    <col min="12" max="12" width="10.4609375" bestFit="1" customWidth="1"/>
  </cols>
  <sheetData>
    <row r="12" spans="12:12">
      <c r="L12" s="137">
        <v>25000</v>
      </c>
    </row>
    <row r="13" spans="12:12">
      <c r="L13" s="137"/>
    </row>
    <row r="14" spans="12:12">
      <c r="L14" s="137">
        <v>15000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ASSUMP.</vt:lpstr>
      <vt:lpstr>Budget Plan</vt:lpstr>
      <vt:lpstr>REVENUE</vt:lpstr>
      <vt:lpstr>Infrastructure (Direct Cost)</vt:lpstr>
      <vt:lpstr>Developer (Direct Cost)</vt:lpstr>
      <vt:lpstr>Marketing (SGA)</vt:lpstr>
      <vt:lpstr>Officer ( SGA) พนักงาน</vt:lpstr>
      <vt:lpstr>Other Expense (SGA)</vt:lpstr>
      <vt:lpstr>Summary Year (original)</vt:lpstr>
      <vt:lpstr>BOM 4 vm 99.90% Disk SSD</vt:lpstr>
      <vt:lpstr>Diagram-99.90%</vt:lpstr>
      <vt:lpstr>Cost Managed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saranl</dc:creator>
  <cp:lastModifiedBy>santi T.</cp:lastModifiedBy>
  <cp:revision>2</cp:revision>
  <cp:lastPrinted>2018-11-12T10:32:18Z</cp:lastPrinted>
  <dcterms:created xsi:type="dcterms:W3CDTF">2015-06-03T03:07:34Z</dcterms:created>
  <dcterms:modified xsi:type="dcterms:W3CDTF">2025-06-17T00:25:20Z</dcterms:modified>
  <dc:language>th-TH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